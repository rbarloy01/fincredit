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syscap/Downloads/"/>
    </mc:Choice>
  </mc:AlternateContent>
  <xr:revisionPtr revIDLastSave="0" documentId="13_ncr:1_{5F1D069C-C941-0345-9144-485B7FA8C2AD}" xr6:coauthVersionLast="47" xr6:coauthVersionMax="47" xr10:uidLastSave="{00000000-0000-0000-0000-000000000000}"/>
  <bookViews>
    <workbookView xWindow="9780" yWindow="1320" windowWidth="19020" windowHeight="15400" activeTab="1" xr2:uid="{00000000-000D-0000-FFFF-FFFF00000000}"/>
  </bookViews>
  <sheets>
    <sheet name="Ficha Contractual" sheetId="1" r:id="rId1"/>
    <sheet name="Obligaciones" sheetId="2" r:id="rId2"/>
    <sheet name="Supuestos" sheetId="3" r:id="rId3"/>
    <sheet name="Crédito Syscap" sheetId="4" state="hidden" r:id="rId4"/>
    <sheet name="Monitoreo" sheetId="5" r:id="rId5"/>
    <sheet name="Efs Real" sheetId="6" r:id="rId6"/>
    <sheet name="Efs OG" sheetId="7" r:id="rId7"/>
    <sheet name="EFs KDP" sheetId="8" state="hidden" r:id="rId8"/>
    <sheet name="Nota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x7sGReuildLPPgilCkd761JQ7QqRX1pl+WuboOCETYE="/>
    </ext>
  </extLst>
</workbook>
</file>

<file path=xl/calcChain.xml><?xml version="1.0" encoding="utf-8"?>
<calcChain xmlns="http://schemas.openxmlformats.org/spreadsheetml/2006/main">
  <c r="AA13" i="6" l="1"/>
  <c r="AA3" i="6"/>
  <c r="AA4" i="6"/>
  <c r="AA5" i="6"/>
  <c r="AA6" i="6"/>
  <c r="AA7" i="6"/>
  <c r="AA8" i="6"/>
  <c r="AA9" i="6"/>
  <c r="AA10" i="6"/>
  <c r="AA11" i="6"/>
  <c r="AA12" i="6"/>
  <c r="AA2" i="6"/>
  <c r="Y61" i="6" l="1"/>
  <c r="Z78" i="6" l="1"/>
  <c r="Y20" i="6"/>
  <c r="Y64" i="6" s="1"/>
  <c r="Z65" i="6"/>
  <c r="V20" i="6"/>
  <c r="W20" i="6"/>
  <c r="W64" i="6" s="1"/>
  <c r="X20" i="6"/>
  <c r="X64" i="6" s="1"/>
  <c r="Z20" i="6"/>
  <c r="Z64" i="6" s="1"/>
  <c r="V64" i="6"/>
  <c r="Z61" i="6"/>
  <c r="Z57" i="6"/>
  <c r="Z58" i="6"/>
  <c r="Z59" i="6"/>
  <c r="Z60" i="6"/>
  <c r="Z54" i="6"/>
  <c r="Z55" i="6"/>
  <c r="Z33" i="6"/>
  <c r="Z42" i="6"/>
  <c r="Z50" i="6"/>
  <c r="Z22" i="6"/>
  <c r="Z13" i="6"/>
  <c r="Z9" i="6"/>
  <c r="Z5" i="6"/>
  <c r="Z4" i="6"/>
  <c r="Z52" i="6" l="1"/>
  <c r="K44" i="8"/>
  <c r="J44" i="8"/>
  <c r="I44" i="8"/>
  <c r="H44" i="8"/>
  <c r="G44" i="8"/>
  <c r="F44" i="8"/>
  <c r="F46" i="8" s="1"/>
  <c r="E44" i="8"/>
  <c r="D44" i="8"/>
  <c r="C44" i="8"/>
  <c r="B44" i="8"/>
  <c r="K39" i="8"/>
  <c r="J39" i="8"/>
  <c r="J46" i="8" s="1"/>
  <c r="I39" i="8"/>
  <c r="I46" i="8" s="1"/>
  <c r="H39" i="8"/>
  <c r="G39" i="8"/>
  <c r="F39" i="8"/>
  <c r="E39" i="8"/>
  <c r="E46" i="8" s="1"/>
  <c r="D39" i="8"/>
  <c r="C39" i="8"/>
  <c r="B39" i="8"/>
  <c r="B46" i="8" s="1"/>
  <c r="K30" i="8"/>
  <c r="J30" i="8"/>
  <c r="I30" i="8"/>
  <c r="H30" i="8"/>
  <c r="G30" i="8"/>
  <c r="F30" i="8"/>
  <c r="E30" i="8"/>
  <c r="D30" i="8"/>
  <c r="C30" i="8"/>
  <c r="B30" i="8"/>
  <c r="K20" i="8"/>
  <c r="J20" i="8"/>
  <c r="I20" i="8"/>
  <c r="H20" i="8"/>
  <c r="G20" i="8"/>
  <c r="F20" i="8"/>
  <c r="E20" i="8"/>
  <c r="D20" i="8"/>
  <c r="C20" i="8"/>
  <c r="B20" i="8"/>
  <c r="K12" i="8"/>
  <c r="J12" i="8"/>
  <c r="J8" i="8"/>
  <c r="I8" i="8"/>
  <c r="I12" i="8" s="1"/>
  <c r="H8" i="8"/>
  <c r="H12" i="8" s="1"/>
  <c r="E8" i="8"/>
  <c r="E12" i="8" s="1"/>
  <c r="B8" i="8"/>
  <c r="B12" i="8" s="1"/>
  <c r="K4" i="8"/>
  <c r="K8" i="8" s="1"/>
  <c r="J4" i="8"/>
  <c r="I4" i="8"/>
  <c r="H4" i="8"/>
  <c r="G4" i="8"/>
  <c r="G8" i="8" s="1"/>
  <c r="G12" i="8" s="1"/>
  <c r="F4" i="8"/>
  <c r="F8" i="8" s="1"/>
  <c r="F12" i="8" s="1"/>
  <c r="E4" i="8"/>
  <c r="D4" i="8"/>
  <c r="D8" i="8" s="1"/>
  <c r="D12" i="8" s="1"/>
  <c r="C4" i="8"/>
  <c r="C8" i="8" s="1"/>
  <c r="C12" i="8" s="1"/>
  <c r="B4" i="8"/>
  <c r="FA79" i="7"/>
  <c r="EZ79" i="7"/>
  <c r="EY79" i="7"/>
  <c r="EX79" i="7"/>
  <c r="EW79" i="7"/>
  <c r="EV79" i="7"/>
  <c r="EU79" i="7"/>
  <c r="ET79" i="7"/>
  <c r="ES79" i="7"/>
  <c r="ER79" i="7"/>
  <c r="EQ79" i="7"/>
  <c r="EP79" i="7"/>
  <c r="EO79" i="7"/>
  <c r="EN79" i="7"/>
  <c r="EM79" i="7"/>
  <c r="EL79" i="7"/>
  <c r="EK79" i="7"/>
  <c r="EJ79" i="7"/>
  <c r="EI79" i="7"/>
  <c r="EH79" i="7"/>
  <c r="EG79" i="7"/>
  <c r="EF79" i="7"/>
  <c r="EE79" i="7"/>
  <c r="ED79" i="7"/>
  <c r="EC79" i="7"/>
  <c r="EB79" i="7"/>
  <c r="EA79" i="7"/>
  <c r="DZ79" i="7"/>
  <c r="DY79" i="7"/>
  <c r="DX79" i="7"/>
  <c r="DW79" i="7"/>
  <c r="DV79" i="7"/>
  <c r="DU79" i="7"/>
  <c r="DT79" i="7"/>
  <c r="DS79" i="7"/>
  <c r="DR79" i="7"/>
  <c r="DQ79" i="7"/>
  <c r="DP79" i="7"/>
  <c r="DO79" i="7"/>
  <c r="DN79" i="7"/>
  <c r="DM79" i="7"/>
  <c r="DL79" i="7"/>
  <c r="DK79" i="7"/>
  <c r="DJ79" i="7"/>
  <c r="DI79" i="7"/>
  <c r="DH79" i="7"/>
  <c r="DG79" i="7"/>
  <c r="DF79" i="7"/>
  <c r="DE79" i="7"/>
  <c r="DD79" i="7"/>
  <c r="DC79" i="7"/>
  <c r="DB79" i="7"/>
  <c r="DA79" i="7"/>
  <c r="CZ79" i="7"/>
  <c r="CY79" i="7"/>
  <c r="CX79" i="7"/>
  <c r="CW79" i="7"/>
  <c r="CV79" i="7"/>
  <c r="CU79" i="7"/>
  <c r="CT79" i="7"/>
  <c r="CS79" i="7"/>
  <c r="CR79" i="7"/>
  <c r="CR73" i="7"/>
  <c r="CQ73" i="7"/>
  <c r="CP73" i="7"/>
  <c r="CO73" i="7"/>
  <c r="CN73" i="7"/>
  <c r="CM73" i="7"/>
  <c r="CL73" i="7"/>
  <c r="CK73" i="7"/>
  <c r="CJ73" i="7"/>
  <c r="CI73" i="7"/>
  <c r="CH73" i="7"/>
  <c r="CG73" i="7"/>
  <c r="CF73" i="7"/>
  <c r="CE73" i="7"/>
  <c r="CD73" i="7"/>
  <c r="CC73" i="7"/>
  <c r="CB73" i="7"/>
  <c r="CA73" i="7"/>
  <c r="BZ73" i="7"/>
  <c r="BY73" i="7"/>
  <c r="CS66" i="7"/>
  <c r="CS73" i="7" s="1"/>
  <c r="CR66" i="7"/>
  <c r="FA62" i="7"/>
  <c r="EZ62" i="7"/>
  <c r="EY62" i="7"/>
  <c r="EX62" i="7"/>
  <c r="EW62" i="7"/>
  <c r="EV62" i="7"/>
  <c r="EU62" i="7"/>
  <c r="ET62" i="7"/>
  <c r="ES62" i="7"/>
  <c r="ER62" i="7"/>
  <c r="EQ62" i="7"/>
  <c r="EP62" i="7"/>
  <c r="EO62" i="7"/>
  <c r="EN62" i="7"/>
  <c r="EM62" i="7"/>
  <c r="EL62" i="7"/>
  <c r="EK62" i="7"/>
  <c r="EJ62" i="7"/>
  <c r="EI62" i="7"/>
  <c r="EH62" i="7"/>
  <c r="EG62" i="7"/>
  <c r="EF62" i="7"/>
  <c r="EE62" i="7"/>
  <c r="ED62" i="7"/>
  <c r="EC62" i="7"/>
  <c r="EB62" i="7"/>
  <c r="EA62" i="7"/>
  <c r="DZ62" i="7"/>
  <c r="DY62" i="7"/>
  <c r="DX62" i="7"/>
  <c r="DW62" i="7"/>
  <c r="DV62" i="7"/>
  <c r="DU62" i="7"/>
  <c r="DT62" i="7"/>
  <c r="DS62" i="7"/>
  <c r="DR62" i="7"/>
  <c r="DQ62" i="7"/>
  <c r="DP62" i="7"/>
  <c r="DO62" i="7"/>
  <c r="DN62" i="7"/>
  <c r="DM62" i="7"/>
  <c r="DL62" i="7"/>
  <c r="DK62" i="7"/>
  <c r="DJ62" i="7"/>
  <c r="DI62" i="7"/>
  <c r="DH62" i="7"/>
  <c r="DG62" i="7"/>
  <c r="DF62" i="7"/>
  <c r="DE62" i="7"/>
  <c r="DD62" i="7"/>
  <c r="DC62" i="7"/>
  <c r="DB62" i="7"/>
  <c r="DA62" i="7"/>
  <c r="CG62" i="7"/>
  <c r="CF62" i="7"/>
  <c r="CE62" i="7"/>
  <c r="CD62" i="7"/>
  <c r="CC62" i="7"/>
  <c r="CB62" i="7"/>
  <c r="CA62" i="7"/>
  <c r="BZ62" i="7"/>
  <c r="BY62" i="7"/>
  <c r="FA61" i="7"/>
  <c r="EZ61" i="7"/>
  <c r="EY61" i="7"/>
  <c r="EX61" i="7"/>
  <c r="EW61" i="7"/>
  <c r="EV61" i="7"/>
  <c r="EU61" i="7"/>
  <c r="ET61" i="7"/>
  <c r="ES61" i="7"/>
  <c r="ER61" i="7"/>
  <c r="EQ61" i="7"/>
  <c r="EP61" i="7"/>
  <c r="EO61" i="7"/>
  <c r="EN61" i="7"/>
  <c r="EM61" i="7"/>
  <c r="EL61" i="7"/>
  <c r="EK61" i="7"/>
  <c r="EJ61" i="7"/>
  <c r="EI61" i="7"/>
  <c r="EH61" i="7"/>
  <c r="EG61" i="7"/>
  <c r="EF61" i="7"/>
  <c r="EE61" i="7"/>
  <c r="ED61" i="7"/>
  <c r="EC61" i="7"/>
  <c r="EB61" i="7"/>
  <c r="EA61" i="7"/>
  <c r="DZ61" i="7"/>
  <c r="DY61" i="7"/>
  <c r="DX61" i="7"/>
  <c r="DW61" i="7"/>
  <c r="DV61" i="7"/>
  <c r="DU61" i="7"/>
  <c r="DT61" i="7"/>
  <c r="DS61" i="7"/>
  <c r="DR61" i="7"/>
  <c r="DQ61" i="7"/>
  <c r="DP61" i="7"/>
  <c r="DO61" i="7"/>
  <c r="DN61" i="7"/>
  <c r="DM61" i="7"/>
  <c r="DL61" i="7"/>
  <c r="DK61" i="7"/>
  <c r="DJ61" i="7"/>
  <c r="DI61" i="7"/>
  <c r="DH61" i="7"/>
  <c r="DG61" i="7"/>
  <c r="DF61" i="7"/>
  <c r="DE61" i="7"/>
  <c r="DD61" i="7"/>
  <c r="DC61" i="7"/>
  <c r="DB61" i="7"/>
  <c r="DA61" i="7"/>
  <c r="CZ61" i="7"/>
  <c r="CY61" i="7"/>
  <c r="CX61" i="7"/>
  <c r="CW61" i="7"/>
  <c r="CV61" i="7"/>
  <c r="CU61" i="7"/>
  <c r="CT61" i="7"/>
  <c r="CS61" i="7"/>
  <c r="CR61" i="7"/>
  <c r="CQ61" i="7"/>
  <c r="CP61" i="7"/>
  <c r="CO61" i="7"/>
  <c r="CN61" i="7"/>
  <c r="CM61" i="7"/>
  <c r="CL61" i="7"/>
  <c r="CK61" i="7"/>
  <c r="CJ61" i="7"/>
  <c r="CI61" i="7"/>
  <c r="CH61" i="7"/>
  <c r="CG61" i="7"/>
  <c r="CF61" i="7"/>
  <c r="CE61" i="7"/>
  <c r="CD61" i="7"/>
  <c r="CC61" i="7"/>
  <c r="CB61" i="7"/>
  <c r="CA61" i="7"/>
  <c r="BZ61" i="7"/>
  <c r="BY61" i="7"/>
  <c r="FA60" i="7"/>
  <c r="EZ60" i="7"/>
  <c r="EY60" i="7"/>
  <c r="EX60" i="7"/>
  <c r="EW60" i="7"/>
  <c r="EV60" i="7"/>
  <c r="EU60" i="7"/>
  <c r="ET60" i="7"/>
  <c r="ES60" i="7"/>
  <c r="ER60" i="7"/>
  <c r="EQ60" i="7"/>
  <c r="EP60" i="7"/>
  <c r="EO60" i="7"/>
  <c r="EN60" i="7"/>
  <c r="EM60" i="7"/>
  <c r="EL60" i="7"/>
  <c r="EK60" i="7"/>
  <c r="EJ60" i="7"/>
  <c r="EI60" i="7"/>
  <c r="EH60" i="7"/>
  <c r="EG60" i="7"/>
  <c r="EF60" i="7"/>
  <c r="EE60" i="7"/>
  <c r="ED60" i="7"/>
  <c r="EC60" i="7"/>
  <c r="EB60" i="7"/>
  <c r="EA60" i="7"/>
  <c r="DZ60" i="7"/>
  <c r="DY60" i="7"/>
  <c r="DX60" i="7"/>
  <c r="DW60" i="7"/>
  <c r="DV60" i="7"/>
  <c r="DU60" i="7"/>
  <c r="DT60" i="7"/>
  <c r="DS60" i="7"/>
  <c r="DR60" i="7"/>
  <c r="DQ60" i="7"/>
  <c r="DP60" i="7"/>
  <c r="DO60" i="7"/>
  <c r="DN60" i="7"/>
  <c r="DM60" i="7"/>
  <c r="DL60" i="7"/>
  <c r="DK60" i="7"/>
  <c r="DJ60" i="7"/>
  <c r="DI60" i="7"/>
  <c r="DH60" i="7"/>
  <c r="DG60" i="7"/>
  <c r="DF60" i="7"/>
  <c r="DE60" i="7"/>
  <c r="DD60" i="7"/>
  <c r="DC60" i="7"/>
  <c r="DB60" i="7"/>
  <c r="DA60" i="7"/>
  <c r="CZ60" i="7"/>
  <c r="CY60" i="7"/>
  <c r="CX60" i="7"/>
  <c r="CW60" i="7"/>
  <c r="CV60" i="7"/>
  <c r="CU60" i="7"/>
  <c r="CT60" i="7"/>
  <c r="CS60" i="7"/>
  <c r="CR60" i="7"/>
  <c r="CQ60" i="7"/>
  <c r="CP60" i="7"/>
  <c r="CO60" i="7"/>
  <c r="CN60" i="7"/>
  <c r="CM60" i="7"/>
  <c r="CL60" i="7"/>
  <c r="CK60" i="7"/>
  <c r="CJ60" i="7"/>
  <c r="CI60" i="7"/>
  <c r="CH60" i="7"/>
  <c r="CG60" i="7"/>
  <c r="CF60" i="7"/>
  <c r="CE60" i="7"/>
  <c r="CD60" i="7"/>
  <c r="CC60" i="7"/>
  <c r="CB60" i="7"/>
  <c r="CA60" i="7"/>
  <c r="BZ60" i="7"/>
  <c r="BY60" i="7"/>
  <c r="FA59" i="7"/>
  <c r="EZ59" i="7"/>
  <c r="EY59" i="7"/>
  <c r="EX59" i="7"/>
  <c r="EW59" i="7"/>
  <c r="EV59" i="7"/>
  <c r="EU59" i="7"/>
  <c r="ET59" i="7"/>
  <c r="ES59" i="7"/>
  <c r="ER59" i="7"/>
  <c r="EQ59" i="7"/>
  <c r="EP59" i="7"/>
  <c r="EO59" i="7"/>
  <c r="EN59" i="7"/>
  <c r="EM59" i="7"/>
  <c r="EL59" i="7"/>
  <c r="EK59" i="7"/>
  <c r="EJ59" i="7"/>
  <c r="EI59" i="7"/>
  <c r="EH59" i="7"/>
  <c r="EG59" i="7"/>
  <c r="EF59" i="7"/>
  <c r="EE59" i="7"/>
  <c r="ED59" i="7"/>
  <c r="EC59" i="7"/>
  <c r="EB59" i="7"/>
  <c r="EA59" i="7"/>
  <c r="DZ59" i="7"/>
  <c r="DY59" i="7"/>
  <c r="DX59" i="7"/>
  <c r="DW59" i="7"/>
  <c r="DV59" i="7"/>
  <c r="DU59" i="7"/>
  <c r="DT59" i="7"/>
  <c r="DS59" i="7"/>
  <c r="DR59" i="7"/>
  <c r="DQ59" i="7"/>
  <c r="DP59" i="7"/>
  <c r="DO59" i="7"/>
  <c r="DN59" i="7"/>
  <c r="DM59" i="7"/>
  <c r="DL59" i="7"/>
  <c r="DK59" i="7"/>
  <c r="DJ59" i="7"/>
  <c r="DI59" i="7"/>
  <c r="DH59" i="7"/>
  <c r="DG59" i="7"/>
  <c r="DF59" i="7"/>
  <c r="DE59" i="7"/>
  <c r="DD59" i="7"/>
  <c r="DC59" i="7"/>
  <c r="DB59" i="7"/>
  <c r="DA59" i="7"/>
  <c r="CZ59" i="7"/>
  <c r="CY59" i="7"/>
  <c r="CX59" i="7"/>
  <c r="CW59" i="7"/>
  <c r="CV59" i="7"/>
  <c r="CU59" i="7"/>
  <c r="CT59" i="7"/>
  <c r="CS59" i="7"/>
  <c r="CR59" i="7"/>
  <c r="CQ59" i="7"/>
  <c r="CP59" i="7"/>
  <c r="CO59" i="7"/>
  <c r="CN59" i="7"/>
  <c r="CM59" i="7"/>
  <c r="CL59" i="7"/>
  <c r="CK59" i="7"/>
  <c r="CJ59" i="7"/>
  <c r="CI59" i="7"/>
  <c r="CH59" i="7"/>
  <c r="CG59" i="7"/>
  <c r="CF59" i="7"/>
  <c r="CE59" i="7"/>
  <c r="CD59" i="7"/>
  <c r="CC59" i="7"/>
  <c r="CB59" i="7"/>
  <c r="CA59" i="7"/>
  <c r="BZ59" i="7"/>
  <c r="BY59" i="7"/>
  <c r="CN58" i="7"/>
  <c r="CN63" i="7" s="1"/>
  <c r="CL56" i="7"/>
  <c r="CK56" i="7"/>
  <c r="CJ56" i="7"/>
  <c r="DC54" i="7"/>
  <c r="DA54" i="7"/>
  <c r="CY54" i="7"/>
  <c r="CX54" i="7"/>
  <c r="CW54" i="7"/>
  <c r="CU54" i="7" a="1"/>
  <c r="CZ54" i="7" s="1"/>
  <c r="CR54" i="7"/>
  <c r="CP54" i="7"/>
  <c r="CP55" i="7" s="1"/>
  <c r="DD53" i="7"/>
  <c r="DB53" i="7"/>
  <c r="CY53" i="7"/>
  <c r="CX53" i="7"/>
  <c r="CW53" i="7" a="1"/>
  <c r="DC53" i="7" s="1"/>
  <c r="FA52" i="7"/>
  <c r="EZ52" i="7"/>
  <c r="EY52" i="7"/>
  <c r="EX52" i="7"/>
  <c r="EW52" i="7"/>
  <c r="EV52" i="7"/>
  <c r="EU52" i="7"/>
  <c r="ET52" i="7"/>
  <c r="ES52" i="7"/>
  <c r="ER52" i="7"/>
  <c r="EQ52" i="7"/>
  <c r="EP52" i="7"/>
  <c r="EO52" i="7"/>
  <c r="EN52" i="7"/>
  <c r="EM52" i="7"/>
  <c r="EL52" i="7"/>
  <c r="EK52" i="7"/>
  <c r="EJ52" i="7"/>
  <c r="EI52" i="7"/>
  <c r="EH52" i="7"/>
  <c r="EG52" i="7"/>
  <c r="EF52" i="7"/>
  <c r="EE52" i="7"/>
  <c r="ED52" i="7"/>
  <c r="EC52" i="7"/>
  <c r="EB52" i="7"/>
  <c r="EA52" i="7"/>
  <c r="DZ52" i="7"/>
  <c r="DY52" i="7"/>
  <c r="DX52" i="7"/>
  <c r="DW52" i="7"/>
  <c r="DV52" i="7"/>
  <c r="DU52" i="7"/>
  <c r="DT52" i="7"/>
  <c r="DS52" i="7"/>
  <c r="DR52" i="7"/>
  <c r="DQ52" i="7"/>
  <c r="DP52" i="7"/>
  <c r="DO52" i="7"/>
  <c r="DN52" i="7"/>
  <c r="DM52" i="7"/>
  <c r="DL52" i="7"/>
  <c r="DK52" i="7"/>
  <c r="DJ52" i="7"/>
  <c r="DI52" i="7"/>
  <c r="DH52" i="7"/>
  <c r="DG52" i="7"/>
  <c r="DF52" i="7"/>
  <c r="DE52" i="7"/>
  <c r="DD52" i="7"/>
  <c r="DC52" i="7"/>
  <c r="DB52" i="7"/>
  <c r="DA52" i="7"/>
  <c r="CZ52" i="7"/>
  <c r="CY52" i="7"/>
  <c r="CX52" i="7"/>
  <c r="CW52" i="7"/>
  <c r="CV52" i="7"/>
  <c r="CU52" i="7"/>
  <c r="CT52" i="7"/>
  <c r="CS52" i="7"/>
  <c r="CR52" i="7"/>
  <c r="CQ52" i="7"/>
  <c r="CQ58" i="7" s="1"/>
  <c r="CP52" i="7"/>
  <c r="CO52" i="7"/>
  <c r="CN52" i="7"/>
  <c r="CN56" i="7" s="1"/>
  <c r="CM52" i="7"/>
  <c r="CL52" i="7"/>
  <c r="CK52" i="7"/>
  <c r="CJ52" i="7"/>
  <c r="CI52" i="7"/>
  <c r="CH52" i="7"/>
  <c r="CG52" i="7"/>
  <c r="CF52" i="7"/>
  <c r="CE52" i="7"/>
  <c r="BW52" i="7"/>
  <c r="BQ52" i="7"/>
  <c r="BP52" i="7"/>
  <c r="BK52" i="7"/>
  <c r="BI52" i="7"/>
  <c r="BG52" i="7"/>
  <c r="BA52" i="7"/>
  <c r="BA2" i="7" s="1"/>
  <c r="AZ52" i="7"/>
  <c r="AU52" i="7"/>
  <c r="AS52" i="7"/>
  <c r="AS2" i="7" s="1"/>
  <c r="AO52" i="7"/>
  <c r="AJ52" i="7"/>
  <c r="AE52" i="7"/>
  <c r="AC52" i="7"/>
  <c r="AA52" i="7"/>
  <c r="T52" i="7"/>
  <c r="S52" i="7"/>
  <c r="O52" i="7"/>
  <c r="M52" i="7"/>
  <c r="D52" i="7"/>
  <c r="EX46" i="7"/>
  <c r="EW46" i="7"/>
  <c r="EV46" i="7"/>
  <c r="EU46" i="7"/>
  <c r="ET46" i="7"/>
  <c r="ES46" i="7"/>
  <c r="ER46" i="7"/>
  <c r="EQ46" i="7"/>
  <c r="EP46" i="7"/>
  <c r="EO46" i="7"/>
  <c r="EN46" i="7"/>
  <c r="EM46" i="7"/>
  <c r="EL46" i="7"/>
  <c r="EK46" i="7"/>
  <c r="EJ46" i="7"/>
  <c r="EI46" i="7"/>
  <c r="EH46" i="7"/>
  <c r="EG46" i="7"/>
  <c r="EF46" i="7"/>
  <c r="EE46" i="7"/>
  <c r="ED46" i="7"/>
  <c r="EC46" i="7"/>
  <c r="EB46" i="7"/>
  <c r="EA46" i="7"/>
  <c r="DZ46" i="7"/>
  <c r="DY46" i="7"/>
  <c r="DX46" i="7"/>
  <c r="DW46" i="7"/>
  <c r="DV46" i="7"/>
  <c r="DU46" i="7"/>
  <c r="DT46" i="7"/>
  <c r="DS46" i="7"/>
  <c r="DR46" i="7"/>
  <c r="DQ46" i="7"/>
  <c r="DP46" i="7"/>
  <c r="DO46" i="7"/>
  <c r="DN46" i="7"/>
  <c r="DM46" i="7"/>
  <c r="DL46" i="7"/>
  <c r="DK46" i="7"/>
  <c r="DJ46" i="7"/>
  <c r="DI46" i="7"/>
  <c r="DH46" i="7"/>
  <c r="DG46" i="7"/>
  <c r="DF46" i="7"/>
  <c r="DE46" i="7"/>
  <c r="DD46" i="7"/>
  <c r="DC46" i="7"/>
  <c r="DB46" i="7"/>
  <c r="DA46" i="7"/>
  <c r="CZ46" i="7"/>
  <c r="CY46" i="7"/>
  <c r="CX46" i="7"/>
  <c r="CW46" i="7"/>
  <c r="CV46" i="7"/>
  <c r="CU46" i="7"/>
  <c r="CT46" i="7"/>
  <c r="CS46" i="7"/>
  <c r="CR46" i="7"/>
  <c r="CQ46" i="7"/>
  <c r="CP46" i="7"/>
  <c r="CO46" i="7"/>
  <c r="CN46" i="7"/>
  <c r="CM46" i="7"/>
  <c r="CL46" i="7"/>
  <c r="CK46" i="7"/>
  <c r="CJ46" i="7"/>
  <c r="CI46" i="7"/>
  <c r="CH46" i="7"/>
  <c r="CF46" i="7"/>
  <c r="BZ46" i="7"/>
  <c r="BY46" i="7"/>
  <c r="BQ46" i="7"/>
  <c r="BP46" i="7"/>
  <c r="BJ46" i="7"/>
  <c r="BJ2" i="7" s="1"/>
  <c r="BA46" i="7"/>
  <c r="AZ46" i="7"/>
  <c r="AK46" i="7"/>
  <c r="AK2" i="7" s="1"/>
  <c r="AJ46" i="7"/>
  <c r="AH46" i="7"/>
  <c r="Z46" i="7"/>
  <c r="U46" i="7"/>
  <c r="T46" i="7"/>
  <c r="M46" i="7"/>
  <c r="M2" i="7" s="1"/>
  <c r="I46" i="7"/>
  <c r="F46" i="7"/>
  <c r="FA44" i="7"/>
  <c r="EZ44" i="7"/>
  <c r="EY44" i="7"/>
  <c r="EX44" i="7"/>
  <c r="EW44" i="7"/>
  <c r="EV44" i="7"/>
  <c r="EU44" i="7"/>
  <c r="ET44" i="7"/>
  <c r="ES44" i="7"/>
  <c r="ER44" i="7"/>
  <c r="EQ44" i="7"/>
  <c r="EP44" i="7"/>
  <c r="EO44" i="7"/>
  <c r="EN44" i="7"/>
  <c r="EM44" i="7"/>
  <c r="EL44" i="7"/>
  <c r="EK44" i="7"/>
  <c r="EJ44" i="7"/>
  <c r="EI44" i="7"/>
  <c r="EH44" i="7"/>
  <c r="EG44" i="7"/>
  <c r="EF44" i="7"/>
  <c r="EE44" i="7"/>
  <c r="ED44" i="7"/>
  <c r="EC44" i="7"/>
  <c r="EB44" i="7"/>
  <c r="EA44" i="7"/>
  <c r="DZ44" i="7"/>
  <c r="DY44" i="7"/>
  <c r="DX44" i="7"/>
  <c r="DW44" i="7"/>
  <c r="DV44" i="7"/>
  <c r="DU44" i="7"/>
  <c r="DT44" i="7"/>
  <c r="DS44" i="7"/>
  <c r="DR44" i="7"/>
  <c r="DQ44" i="7"/>
  <c r="DP44" i="7"/>
  <c r="DO44" i="7"/>
  <c r="DN44" i="7"/>
  <c r="DM44" i="7"/>
  <c r="DL44" i="7"/>
  <c r="DK44" i="7"/>
  <c r="DJ44" i="7"/>
  <c r="DI44" i="7"/>
  <c r="DH44" i="7"/>
  <c r="DG44" i="7"/>
  <c r="DF44" i="7"/>
  <c r="DE44" i="7"/>
  <c r="DD44" i="7"/>
  <c r="DC44" i="7"/>
  <c r="DB44" i="7"/>
  <c r="DA44" i="7"/>
  <c r="CZ44" i="7"/>
  <c r="CY44" i="7"/>
  <c r="CX44" i="7"/>
  <c r="CW44" i="7"/>
  <c r="CV44" i="7"/>
  <c r="CU44" i="7"/>
  <c r="CT44" i="7"/>
  <c r="CS44" i="7"/>
  <c r="CR44" i="7"/>
  <c r="CQ44" i="7"/>
  <c r="CP44" i="7"/>
  <c r="CO44" i="7"/>
  <c r="CN44" i="7"/>
  <c r="CM44" i="7"/>
  <c r="CL44" i="7"/>
  <c r="CK44" i="7"/>
  <c r="CJ44" i="7"/>
  <c r="CI44" i="7"/>
  <c r="CH44" i="7"/>
  <c r="CF44" i="7"/>
  <c r="CE44" i="7"/>
  <c r="BY44" i="7"/>
  <c r="BW44" i="7"/>
  <c r="BS44" i="7"/>
  <c r="BS6" i="7" s="1"/>
  <c r="BQ44" i="7"/>
  <c r="BQ6" i="7" s="1"/>
  <c r="BP44" i="7"/>
  <c r="BI44" i="7"/>
  <c r="BH44" i="7"/>
  <c r="BG44" i="7"/>
  <c r="BE44" i="7"/>
  <c r="AZ44" i="7"/>
  <c r="AY44" i="7"/>
  <c r="AS44" i="7"/>
  <c r="AQ44" i="7"/>
  <c r="AO44" i="7"/>
  <c r="AO6" i="7" s="1"/>
  <c r="AK44" i="7"/>
  <c r="AJ44" i="7"/>
  <c r="AI44" i="7"/>
  <c r="AG44" i="7"/>
  <c r="AG6" i="7" s="1"/>
  <c r="AC44" i="7"/>
  <c r="AA44" i="7"/>
  <c r="T44" i="7"/>
  <c r="S44" i="7"/>
  <c r="R44" i="7"/>
  <c r="M44" i="7"/>
  <c r="M6" i="7" s="1"/>
  <c r="K44" i="7"/>
  <c r="E44" i="7"/>
  <c r="D44" i="7"/>
  <c r="CG43" i="7"/>
  <c r="CF43" i="7"/>
  <c r="CE43" i="7"/>
  <c r="CD43" i="7"/>
  <c r="CC43" i="7"/>
  <c r="CB43" i="7"/>
  <c r="CA43" i="7"/>
  <c r="BZ43" i="7"/>
  <c r="BY43" i="7"/>
  <c r="BX43" i="7"/>
  <c r="BW43" i="7"/>
  <c r="BV43" i="7"/>
  <c r="BU43" i="7"/>
  <c r="BT43" i="7"/>
  <c r="BS43" i="7"/>
  <c r="BR43" i="7"/>
  <c r="BQ43" i="7"/>
  <c r="BP43" i="7"/>
  <c r="BO43" i="7"/>
  <c r="BN43" i="7"/>
  <c r="BM43" i="7"/>
  <c r="BL43" i="7"/>
  <c r="BK43" i="7"/>
  <c r="BJ43" i="7"/>
  <c r="BI43" i="7"/>
  <c r="BH43" i="7"/>
  <c r="BG43" i="7"/>
  <c r="BF43" i="7"/>
  <c r="BE43" i="7"/>
  <c r="BD43" i="7"/>
  <c r="BC43" i="7"/>
  <c r="BB43" i="7"/>
  <c r="BA43" i="7"/>
  <c r="AZ43" i="7"/>
  <c r="AY43" i="7"/>
  <c r="AX43" i="7"/>
  <c r="AW43" i="7"/>
  <c r="AV43" i="7"/>
  <c r="AU43" i="7"/>
  <c r="AT43" i="7"/>
  <c r="AS43" i="7"/>
  <c r="AR43" i="7"/>
  <c r="AQ43" i="7"/>
  <c r="AP43" i="7"/>
  <c r="AO43" i="7"/>
  <c r="AN43" i="7"/>
  <c r="AM43" i="7"/>
  <c r="AL43" i="7"/>
  <c r="AK43" i="7"/>
  <c r="AJ43" i="7"/>
  <c r="AI43" i="7"/>
  <c r="AH43" i="7"/>
  <c r="AG43" i="7"/>
  <c r="AF43" i="7"/>
  <c r="AE43" i="7"/>
  <c r="AD43" i="7"/>
  <c r="AC43" i="7"/>
  <c r="AB43" i="7"/>
  <c r="AA43" i="7"/>
  <c r="Z43" i="7"/>
  <c r="Y43" i="7"/>
  <c r="X43" i="7"/>
  <c r="W43" i="7"/>
  <c r="V43" i="7"/>
  <c r="U43" i="7"/>
  <c r="T43" i="7"/>
  <c r="S43" i="7"/>
  <c r="R43" i="7"/>
  <c r="Q43" i="7"/>
  <c r="P43" i="7"/>
  <c r="O43" i="7"/>
  <c r="N43" i="7"/>
  <c r="M43" i="7"/>
  <c r="L43" i="7"/>
  <c r="K43" i="7"/>
  <c r="J43" i="7"/>
  <c r="I43" i="7"/>
  <c r="H43" i="7"/>
  <c r="G43" i="7"/>
  <c r="F43" i="7"/>
  <c r="E43" i="7"/>
  <c r="D43" i="7"/>
  <c r="C43" i="7"/>
  <c r="B43" i="7"/>
  <c r="CG41" i="7"/>
  <c r="CG44" i="7" s="1"/>
  <c r="CF41" i="7"/>
  <c r="CE41" i="7"/>
  <c r="CD41" i="7"/>
  <c r="CC41" i="7"/>
  <c r="CB41" i="7"/>
  <c r="CA41" i="7"/>
  <c r="BZ41" i="7"/>
  <c r="BZ44" i="7" s="1"/>
  <c r="BY41" i="7"/>
  <c r="BX41" i="7"/>
  <c r="BW41" i="7"/>
  <c r="BV41" i="7"/>
  <c r="BU41" i="7"/>
  <c r="BT41" i="7"/>
  <c r="BS41" i="7"/>
  <c r="BS46" i="7" s="1"/>
  <c r="BS2" i="7" s="1"/>
  <c r="BR41" i="7"/>
  <c r="BR44" i="7" s="1"/>
  <c r="BQ41" i="7"/>
  <c r="BP41" i="7"/>
  <c r="BO41" i="7"/>
  <c r="BN41" i="7"/>
  <c r="BM41" i="7"/>
  <c r="BL41" i="7"/>
  <c r="BK41" i="7"/>
  <c r="BJ41" i="7"/>
  <c r="BJ44" i="7" s="1"/>
  <c r="BI41" i="7"/>
  <c r="BI46" i="7" s="1"/>
  <c r="BH41" i="7"/>
  <c r="BH46" i="7" s="1"/>
  <c r="BG41" i="7"/>
  <c r="BF41" i="7"/>
  <c r="BE41" i="7"/>
  <c r="BE46" i="7" s="1"/>
  <c r="BD41" i="7"/>
  <c r="BD46" i="7" s="1"/>
  <c r="BC41" i="7"/>
  <c r="BB41" i="7"/>
  <c r="BB44" i="7" s="1"/>
  <c r="BA41" i="7"/>
  <c r="BA44" i="7" s="1"/>
  <c r="AZ41" i="7"/>
  <c r="AY41" i="7"/>
  <c r="AX41" i="7"/>
  <c r="AW41" i="7"/>
  <c r="AV41" i="7"/>
  <c r="AU41" i="7"/>
  <c r="AT41" i="7"/>
  <c r="AT44" i="7" s="1"/>
  <c r="AS41" i="7"/>
  <c r="AS46" i="7" s="1"/>
  <c r="AR41" i="7"/>
  <c r="AQ41" i="7"/>
  <c r="AP41" i="7"/>
  <c r="AO41" i="7"/>
  <c r="AO46" i="7" s="1"/>
  <c r="AN41" i="7"/>
  <c r="AM41" i="7"/>
  <c r="AL41" i="7"/>
  <c r="AL44" i="7" s="1"/>
  <c r="AK41" i="7"/>
  <c r="AJ41" i="7"/>
  <c r="AI41" i="7"/>
  <c r="AH41" i="7"/>
  <c r="AH44" i="7" s="1"/>
  <c r="AH6" i="7" s="1"/>
  <c r="AG41" i="7"/>
  <c r="AG46" i="7" s="1"/>
  <c r="AF41" i="7"/>
  <c r="AE41" i="7"/>
  <c r="AD41" i="7"/>
  <c r="AD44" i="7" s="1"/>
  <c r="AC41" i="7"/>
  <c r="AB41" i="7"/>
  <c r="AB46" i="7" s="1"/>
  <c r="AA41" i="7"/>
  <c r="Z41" i="7"/>
  <c r="Z44" i="7" s="1"/>
  <c r="Z6" i="7" s="1"/>
  <c r="Y41" i="7"/>
  <c r="X41" i="7"/>
  <c r="W41" i="7"/>
  <c r="V41" i="7"/>
  <c r="V44" i="7" s="1"/>
  <c r="U41" i="7"/>
  <c r="U44" i="7" s="1"/>
  <c r="T41" i="7"/>
  <c r="S41" i="7"/>
  <c r="R41" i="7"/>
  <c r="R46" i="7" s="1"/>
  <c r="Q41" i="7"/>
  <c r="P41" i="7"/>
  <c r="O41" i="7"/>
  <c r="N41" i="7"/>
  <c r="N44" i="7" s="1"/>
  <c r="M41" i="7"/>
  <c r="L41" i="7"/>
  <c r="K41" i="7"/>
  <c r="J41" i="7"/>
  <c r="I41" i="7"/>
  <c r="I44" i="7" s="1"/>
  <c r="H41" i="7"/>
  <c r="H44" i="7" s="1"/>
  <c r="H6" i="7" s="1"/>
  <c r="G41" i="7"/>
  <c r="F41" i="7"/>
  <c r="F44" i="7" s="1"/>
  <c r="E41" i="7"/>
  <c r="E46" i="7" s="1"/>
  <c r="D41" i="7"/>
  <c r="D46" i="7" s="1"/>
  <c r="C41" i="7"/>
  <c r="B41" i="7"/>
  <c r="B44" i="7" s="1"/>
  <c r="CY39" i="7"/>
  <c r="CZ39" i="7" s="1"/>
  <c r="DA39" i="7" s="1"/>
  <c r="DB39" i="7" s="1"/>
  <c r="DC39" i="7" s="1"/>
  <c r="DD39" i="7" s="1"/>
  <c r="DE39" i="7" s="1"/>
  <c r="DF39" i="7" s="1"/>
  <c r="DG39" i="7" s="1"/>
  <c r="DH39" i="7" s="1"/>
  <c r="DI39" i="7" s="1"/>
  <c r="DJ39" i="7" s="1"/>
  <c r="DK39" i="7" s="1"/>
  <c r="DL39" i="7" s="1"/>
  <c r="DM39" i="7" s="1"/>
  <c r="DN39" i="7" s="1"/>
  <c r="DO39" i="7" s="1"/>
  <c r="DP39" i="7" s="1"/>
  <c r="DQ39" i="7" s="1"/>
  <c r="DR39" i="7" s="1"/>
  <c r="DS39" i="7" s="1"/>
  <c r="DT39" i="7" s="1"/>
  <c r="DU39" i="7" s="1"/>
  <c r="DV39" i="7" s="1"/>
  <c r="DW39" i="7" s="1"/>
  <c r="DX39" i="7" s="1"/>
  <c r="DY39" i="7" s="1"/>
  <c r="DZ39" i="7" s="1"/>
  <c r="EA39" i="7" s="1"/>
  <c r="EB39" i="7" s="1"/>
  <c r="EC39" i="7" s="1"/>
  <c r="ED39" i="7" s="1"/>
  <c r="EE39" i="7" s="1"/>
  <c r="EF39" i="7" s="1"/>
  <c r="EG39" i="7" s="1"/>
  <c r="EH39" i="7" s="1"/>
  <c r="EI39" i="7" s="1"/>
  <c r="EJ39" i="7" s="1"/>
  <c r="EK39" i="7" s="1"/>
  <c r="EL39" i="7" s="1"/>
  <c r="EM39" i="7" s="1"/>
  <c r="EN39" i="7" s="1"/>
  <c r="EO39" i="7" s="1"/>
  <c r="EP39" i="7" s="1"/>
  <c r="EQ39" i="7" s="1"/>
  <c r="ER39" i="7" s="1"/>
  <c r="ES39" i="7" s="1"/>
  <c r="ET39" i="7" s="1"/>
  <c r="EU39" i="7" s="1"/>
  <c r="EV39" i="7" s="1"/>
  <c r="EW39" i="7" s="1"/>
  <c r="EX39" i="7" s="1"/>
  <c r="EY39" i="7" s="1"/>
  <c r="EZ39" i="7" s="1"/>
  <c r="FA39" i="7" s="1"/>
  <c r="CR39" i="7"/>
  <c r="CS39" i="7" s="1"/>
  <c r="CT39" i="7" s="1"/>
  <c r="CU39" i="7" s="1"/>
  <c r="CV39" i="7" s="1"/>
  <c r="CW39" i="7" s="1"/>
  <c r="CX39" i="7" s="1"/>
  <c r="CQ39" i="7"/>
  <c r="CQ88" i="7" s="1"/>
  <c r="CP39" i="7"/>
  <c r="CP58" i="7" s="1"/>
  <c r="CO39" i="7"/>
  <c r="CN39" i="7"/>
  <c r="CM39" i="7"/>
  <c r="CL39" i="7"/>
  <c r="CK39" i="7"/>
  <c r="CJ39" i="7"/>
  <c r="CJ58" i="7" s="1"/>
  <c r="CJ63" i="7" s="1"/>
  <c r="CI39" i="7"/>
  <c r="CH39" i="7"/>
  <c r="CG39" i="7"/>
  <c r="CF39" i="7"/>
  <c r="CA39" i="7"/>
  <c r="BY39" i="7"/>
  <c r="BX39" i="7"/>
  <c r="BW39" i="7"/>
  <c r="BS39" i="7"/>
  <c r="BR39" i="7"/>
  <c r="BP39" i="7"/>
  <c r="BO39" i="7"/>
  <c r="BK39" i="7"/>
  <c r="BD39" i="7"/>
  <c r="BC39" i="7"/>
  <c r="BB39" i="7"/>
  <c r="BA39" i="7"/>
  <c r="AZ39" i="7"/>
  <c r="AU39" i="7"/>
  <c r="AT39" i="7"/>
  <c r="AS39" i="7"/>
  <c r="AR39" i="7"/>
  <c r="AQ39" i="7"/>
  <c r="AM39" i="7"/>
  <c r="AL39" i="7"/>
  <c r="AK39" i="7"/>
  <c r="AJ39" i="7"/>
  <c r="AI39" i="7"/>
  <c r="AE39" i="7"/>
  <c r="AB39" i="7"/>
  <c r="AA39" i="7"/>
  <c r="Y39" i="7"/>
  <c r="V39" i="7"/>
  <c r="U39" i="7"/>
  <c r="T39" i="7"/>
  <c r="O39" i="7"/>
  <c r="M39" i="7"/>
  <c r="L39" i="7"/>
  <c r="G39" i="7"/>
  <c r="F39" i="7"/>
  <c r="D39" i="7"/>
  <c r="C39" i="7"/>
  <c r="CG37" i="7"/>
  <c r="CF37" i="7"/>
  <c r="CE37" i="7"/>
  <c r="CD37" i="7"/>
  <c r="CC37" i="7"/>
  <c r="CB37" i="7"/>
  <c r="CA37" i="7"/>
  <c r="BZ37" i="7"/>
  <c r="BY37" i="7"/>
  <c r="BX37" i="7"/>
  <c r="BW37" i="7"/>
  <c r="BV37" i="7"/>
  <c r="BU37" i="7"/>
  <c r="BT37" i="7"/>
  <c r="BS37" i="7"/>
  <c r="BR37" i="7"/>
  <c r="BQ37" i="7"/>
  <c r="BP37" i="7"/>
  <c r="BO37" i="7"/>
  <c r="BN37" i="7"/>
  <c r="BM37" i="7"/>
  <c r="BL37" i="7"/>
  <c r="BK37" i="7"/>
  <c r="BJ37" i="7"/>
  <c r="BI37" i="7"/>
  <c r="BH37" i="7"/>
  <c r="BG37" i="7"/>
  <c r="BF37" i="7"/>
  <c r="BE37" i="7"/>
  <c r="BD37" i="7"/>
  <c r="BC37" i="7"/>
  <c r="BB37" i="7"/>
  <c r="BA37" i="7"/>
  <c r="AZ37" i="7"/>
  <c r="AY37" i="7"/>
  <c r="AX37" i="7"/>
  <c r="AW37" i="7"/>
  <c r="AV37" i="7"/>
  <c r="AU37" i="7"/>
  <c r="AT37" i="7"/>
  <c r="AS37" i="7"/>
  <c r="AR37" i="7"/>
  <c r="AQ37" i="7"/>
  <c r="AP37" i="7"/>
  <c r="AO37" i="7"/>
  <c r="AN37" i="7"/>
  <c r="AM37" i="7"/>
  <c r="AL37" i="7"/>
  <c r="AK37" i="7"/>
  <c r="AJ37" i="7"/>
  <c r="AI37" i="7"/>
  <c r="AH37" i="7"/>
  <c r="AG37" i="7"/>
  <c r="AF37" i="7"/>
  <c r="AE37" i="7"/>
  <c r="AD37" i="7"/>
  <c r="AC37" i="7"/>
  <c r="AB37" i="7"/>
  <c r="AA37" i="7"/>
  <c r="Z37" i="7"/>
  <c r="Y37" i="7"/>
  <c r="X37" i="7"/>
  <c r="W37" i="7"/>
  <c r="V37" i="7"/>
  <c r="U37" i="7"/>
  <c r="T37" i="7"/>
  <c r="S37" i="7"/>
  <c r="R37" i="7"/>
  <c r="Q37" i="7"/>
  <c r="P37" i="7"/>
  <c r="O37" i="7"/>
  <c r="N37" i="7"/>
  <c r="M37" i="7"/>
  <c r="L37" i="7"/>
  <c r="K37" i="7"/>
  <c r="J37" i="7"/>
  <c r="I37" i="7"/>
  <c r="H37" i="7"/>
  <c r="G37" i="7"/>
  <c r="F37" i="7"/>
  <c r="E37" i="7"/>
  <c r="D37" i="7"/>
  <c r="C37" i="7"/>
  <c r="B37" i="7"/>
  <c r="CG36" i="7"/>
  <c r="CG46" i="7" s="1"/>
  <c r="CF36" i="7"/>
  <c r="CE36" i="7"/>
  <c r="CE39" i="7" s="1"/>
  <c r="CD36" i="7"/>
  <c r="CD52" i="7" s="1"/>
  <c r="CC36" i="7"/>
  <c r="CB36" i="7"/>
  <c r="CA36" i="7"/>
  <c r="CA52" i="7" s="1"/>
  <c r="BZ36" i="7"/>
  <c r="BY36" i="7"/>
  <c r="BY52" i="7" s="1"/>
  <c r="BX36" i="7"/>
  <c r="BX52" i="7" s="1"/>
  <c r="BW36" i="7"/>
  <c r="BV36" i="7"/>
  <c r="BV52" i="7" s="1"/>
  <c r="BU36" i="7"/>
  <c r="BU39" i="7" s="1"/>
  <c r="BT36" i="7"/>
  <c r="BS36" i="7"/>
  <c r="BS52" i="7" s="1"/>
  <c r="BR36" i="7"/>
  <c r="BQ36" i="7"/>
  <c r="BQ39" i="7" s="1"/>
  <c r="BP36" i="7"/>
  <c r="BO36" i="7"/>
  <c r="BO52" i="7" s="1"/>
  <c r="BN36" i="7"/>
  <c r="BN52" i="7" s="1"/>
  <c r="BM36" i="7"/>
  <c r="BL36" i="7"/>
  <c r="BK36" i="7"/>
  <c r="BJ36" i="7"/>
  <c r="BJ52" i="7" s="1"/>
  <c r="BI36" i="7"/>
  <c r="BI39" i="7" s="1"/>
  <c r="BH36" i="7"/>
  <c r="BH52" i="7" s="1"/>
  <c r="BG36" i="7"/>
  <c r="BG39" i="7" s="1"/>
  <c r="BF36" i="7"/>
  <c r="BF52" i="7" s="1"/>
  <c r="BE36" i="7"/>
  <c r="BE39" i="7" s="1"/>
  <c r="BD36" i="7"/>
  <c r="BD52" i="7" s="1"/>
  <c r="BC36" i="7"/>
  <c r="BC52" i="7" s="1"/>
  <c r="BB36" i="7"/>
  <c r="BA36" i="7"/>
  <c r="AZ36" i="7"/>
  <c r="AY36" i="7"/>
  <c r="AX36" i="7"/>
  <c r="AX52" i="7" s="1"/>
  <c r="AW36" i="7"/>
  <c r="AV36" i="7"/>
  <c r="AU36" i="7"/>
  <c r="AT36" i="7"/>
  <c r="AT52" i="7" s="1"/>
  <c r="AS36" i="7"/>
  <c r="AR36" i="7"/>
  <c r="AR52" i="7" s="1"/>
  <c r="AQ36" i="7"/>
  <c r="AQ52" i="7" s="1"/>
  <c r="AP36" i="7"/>
  <c r="AP52" i="7" s="1"/>
  <c r="AO36" i="7"/>
  <c r="AO39" i="7" s="1"/>
  <c r="AN36" i="7"/>
  <c r="AM36" i="7"/>
  <c r="AM52" i="7" s="1"/>
  <c r="AL36" i="7"/>
  <c r="AK36" i="7"/>
  <c r="AK52" i="7" s="1"/>
  <c r="AJ36" i="7"/>
  <c r="AI36" i="7"/>
  <c r="AI52" i="7" s="1"/>
  <c r="AH36" i="7"/>
  <c r="AH52" i="7" s="1"/>
  <c r="AG36" i="7"/>
  <c r="AF36" i="7"/>
  <c r="AE36" i="7"/>
  <c r="AD36" i="7"/>
  <c r="AD52" i="7" s="1"/>
  <c r="AC36" i="7"/>
  <c r="AC39" i="7" s="1"/>
  <c r="AB36" i="7"/>
  <c r="AB52" i="7" s="1"/>
  <c r="AB2" i="7" s="1"/>
  <c r="AA36" i="7"/>
  <c r="Z36" i="7"/>
  <c r="Z52" i="7" s="1"/>
  <c r="Y36" i="7"/>
  <c r="Y52" i="7" s="1"/>
  <c r="X36" i="7"/>
  <c r="W36" i="7"/>
  <c r="V36" i="7"/>
  <c r="U36" i="7"/>
  <c r="U52" i="7" s="1"/>
  <c r="T36" i="7"/>
  <c r="S36" i="7"/>
  <c r="S39" i="7" s="1"/>
  <c r="R36" i="7"/>
  <c r="Q36" i="7"/>
  <c r="P36" i="7"/>
  <c r="O36" i="7"/>
  <c r="N36" i="7"/>
  <c r="M36" i="7"/>
  <c r="N46" i="7" s="1"/>
  <c r="L36" i="7"/>
  <c r="L52" i="7" s="1"/>
  <c r="K36" i="7"/>
  <c r="K39" i="7" s="1"/>
  <c r="J36" i="7"/>
  <c r="I36" i="7"/>
  <c r="H36" i="7"/>
  <c r="G36" i="7"/>
  <c r="G52" i="7" s="1"/>
  <c r="F36" i="7"/>
  <c r="F52" i="7" s="1"/>
  <c r="E36" i="7"/>
  <c r="E39" i="7" s="1"/>
  <c r="D36" i="7"/>
  <c r="C36" i="7"/>
  <c r="C52" i="7" s="1"/>
  <c r="B36" i="7"/>
  <c r="CQ29" i="7"/>
  <c r="CO29" i="7"/>
  <c r="CW28" i="7"/>
  <c r="CX28" i="7" s="1"/>
  <c r="CY28" i="7" s="1"/>
  <c r="CZ28" i="7" s="1"/>
  <c r="DA28" i="7" s="1"/>
  <c r="DB28" i="7" s="1"/>
  <c r="DC28" i="7" s="1"/>
  <c r="DD28" i="7" s="1"/>
  <c r="DE28" i="7" s="1"/>
  <c r="DF28" i="7" s="1"/>
  <c r="DG28" i="7" s="1"/>
  <c r="DH28" i="7" s="1"/>
  <c r="DI28" i="7" s="1"/>
  <c r="DJ28" i="7" s="1"/>
  <c r="DK28" i="7" s="1"/>
  <c r="DL28" i="7" s="1"/>
  <c r="DM28" i="7" s="1"/>
  <c r="DN28" i="7" s="1"/>
  <c r="DO28" i="7" s="1"/>
  <c r="DP28" i="7" s="1"/>
  <c r="DQ28" i="7" s="1"/>
  <c r="DR28" i="7" s="1"/>
  <c r="DS28" i="7" s="1"/>
  <c r="DT28" i="7" s="1"/>
  <c r="DU28" i="7" s="1"/>
  <c r="DV28" i="7" s="1"/>
  <c r="DW28" i="7" s="1"/>
  <c r="DX28" i="7" s="1"/>
  <c r="DY28" i="7" s="1"/>
  <c r="DZ28" i="7" s="1"/>
  <c r="EA28" i="7" s="1"/>
  <c r="EB28" i="7" s="1"/>
  <c r="EC28" i="7" s="1"/>
  <c r="ED28" i="7" s="1"/>
  <c r="EE28" i="7" s="1"/>
  <c r="EF28" i="7" s="1"/>
  <c r="EG28" i="7" s="1"/>
  <c r="EH28" i="7" s="1"/>
  <c r="EI28" i="7" s="1"/>
  <c r="EJ28" i="7" s="1"/>
  <c r="EK28" i="7" s="1"/>
  <c r="EL28" i="7" s="1"/>
  <c r="EM28" i="7" s="1"/>
  <c r="EN28" i="7" s="1"/>
  <c r="EO28" i="7" s="1"/>
  <c r="EP28" i="7" s="1"/>
  <c r="EQ28" i="7" s="1"/>
  <c r="ER28" i="7" s="1"/>
  <c r="ES28" i="7" s="1"/>
  <c r="ET28" i="7" s="1"/>
  <c r="EU28" i="7" s="1"/>
  <c r="EV28" i="7" s="1"/>
  <c r="EW28" i="7" s="1"/>
  <c r="EX28" i="7" s="1"/>
  <c r="EY28" i="7" s="1"/>
  <c r="EZ28" i="7" s="1"/>
  <c r="FA28" i="7" s="1"/>
  <c r="CU28" i="7"/>
  <c r="CV28" i="7" s="1"/>
  <c r="CP28" i="7"/>
  <c r="CQ28" i="7" s="1"/>
  <c r="CR28" i="7" s="1"/>
  <c r="CS28" i="7" s="1"/>
  <c r="CT28" i="7" s="1"/>
  <c r="CN28" i="7"/>
  <c r="CM28" i="7"/>
  <c r="CL28" i="7" s="1"/>
  <c r="CK28" i="7" s="1"/>
  <c r="CJ28" i="7" s="1"/>
  <c r="CI28" i="7" s="1"/>
  <c r="CH28" i="7" s="1"/>
  <c r="CU27" i="7"/>
  <c r="CV27" i="7" s="1"/>
  <c r="CW27" i="7" s="1"/>
  <c r="CX27" i="7" s="1"/>
  <c r="CY27" i="7" s="1"/>
  <c r="CZ27" i="7" s="1"/>
  <c r="DA27" i="7" s="1"/>
  <c r="DB27" i="7" s="1"/>
  <c r="DC27" i="7" s="1"/>
  <c r="DD27" i="7" s="1"/>
  <c r="DE27" i="7" s="1"/>
  <c r="DF27" i="7" s="1"/>
  <c r="DG27" i="7" s="1"/>
  <c r="DH27" i="7" s="1"/>
  <c r="DI27" i="7" s="1"/>
  <c r="DJ27" i="7" s="1"/>
  <c r="DK27" i="7" s="1"/>
  <c r="DL27" i="7" s="1"/>
  <c r="DM27" i="7" s="1"/>
  <c r="DN27" i="7" s="1"/>
  <c r="DO27" i="7" s="1"/>
  <c r="DP27" i="7" s="1"/>
  <c r="DQ27" i="7" s="1"/>
  <c r="DR27" i="7" s="1"/>
  <c r="DS27" i="7" s="1"/>
  <c r="DT27" i="7" s="1"/>
  <c r="DU27" i="7" s="1"/>
  <c r="DV27" i="7" s="1"/>
  <c r="DW27" i="7" s="1"/>
  <c r="DX27" i="7" s="1"/>
  <c r="DY27" i="7" s="1"/>
  <c r="DZ27" i="7" s="1"/>
  <c r="EA27" i="7" s="1"/>
  <c r="EB27" i="7" s="1"/>
  <c r="EC27" i="7" s="1"/>
  <c r="ED27" i="7" s="1"/>
  <c r="EE27" i="7" s="1"/>
  <c r="EF27" i="7" s="1"/>
  <c r="EG27" i="7" s="1"/>
  <c r="EH27" i="7" s="1"/>
  <c r="EI27" i="7" s="1"/>
  <c r="EJ27" i="7" s="1"/>
  <c r="EK27" i="7" s="1"/>
  <c r="EL27" i="7" s="1"/>
  <c r="EM27" i="7" s="1"/>
  <c r="EN27" i="7" s="1"/>
  <c r="EO27" i="7" s="1"/>
  <c r="EP27" i="7" s="1"/>
  <c r="EQ27" i="7" s="1"/>
  <c r="ER27" i="7" s="1"/>
  <c r="ES27" i="7" s="1"/>
  <c r="ET27" i="7" s="1"/>
  <c r="EU27" i="7" s="1"/>
  <c r="EV27" i="7" s="1"/>
  <c r="EW27" i="7" s="1"/>
  <c r="EX27" i="7" s="1"/>
  <c r="EY27" i="7" s="1"/>
  <c r="EZ27" i="7" s="1"/>
  <c r="FA27" i="7" s="1"/>
  <c r="CP27" i="7"/>
  <c r="CQ27" i="7" s="1"/>
  <c r="CR27" i="7" s="1"/>
  <c r="CS27" i="7" s="1"/>
  <c r="CT27" i="7" s="1"/>
  <c r="CN27" i="7"/>
  <c r="CM27" i="7"/>
  <c r="CL27" i="7" s="1"/>
  <c r="CK27" i="7" s="1"/>
  <c r="CJ27" i="7" s="1"/>
  <c r="CI27" i="7" s="1"/>
  <c r="CH27" i="7" s="1"/>
  <c r="EX26" i="7"/>
  <c r="EY26" i="7" s="1"/>
  <c r="EZ26" i="7" s="1"/>
  <c r="FA26" i="7" s="1"/>
  <c r="CQ26" i="7"/>
  <c r="CR26" i="7" s="1"/>
  <c r="CS26" i="7" s="1"/>
  <c r="CT26" i="7" s="1"/>
  <c r="CU26" i="7" s="1"/>
  <c r="CV26" i="7" s="1"/>
  <c r="CW26" i="7" s="1"/>
  <c r="CX26" i="7" s="1"/>
  <c r="CY26" i="7" s="1"/>
  <c r="CZ26" i="7" s="1"/>
  <c r="DA26" i="7" s="1"/>
  <c r="DB26" i="7" s="1"/>
  <c r="DC26" i="7" s="1"/>
  <c r="DD26" i="7" s="1"/>
  <c r="DE26" i="7" s="1"/>
  <c r="DF26" i="7" s="1"/>
  <c r="DG26" i="7" s="1"/>
  <c r="DH26" i="7" s="1"/>
  <c r="DI26" i="7" s="1"/>
  <c r="DJ26" i="7" s="1"/>
  <c r="DK26" i="7" s="1"/>
  <c r="DL26" i="7" s="1"/>
  <c r="DM26" i="7" s="1"/>
  <c r="DN26" i="7" s="1"/>
  <c r="DO26" i="7" s="1"/>
  <c r="DP26" i="7" s="1"/>
  <c r="DQ26" i="7" s="1"/>
  <c r="DR26" i="7" s="1"/>
  <c r="DS26" i="7" s="1"/>
  <c r="DT26" i="7" s="1"/>
  <c r="DU26" i="7" s="1"/>
  <c r="DV26" i="7" s="1"/>
  <c r="DW26" i="7" s="1"/>
  <c r="DX26" i="7" s="1"/>
  <c r="DY26" i="7" s="1"/>
  <c r="DZ26" i="7" s="1"/>
  <c r="EA26" i="7" s="1"/>
  <c r="EB26" i="7" s="1"/>
  <c r="EC26" i="7" s="1"/>
  <c r="ED26" i="7" s="1"/>
  <c r="EE26" i="7" s="1"/>
  <c r="EF26" i="7" s="1"/>
  <c r="EG26" i="7" s="1"/>
  <c r="EH26" i="7" s="1"/>
  <c r="EI26" i="7" s="1"/>
  <c r="EJ26" i="7" s="1"/>
  <c r="EK26" i="7" s="1"/>
  <c r="EL26" i="7" s="1"/>
  <c r="EM26" i="7" s="1"/>
  <c r="EN26" i="7" s="1"/>
  <c r="EO26" i="7" s="1"/>
  <c r="EP26" i="7" s="1"/>
  <c r="EQ26" i="7" s="1"/>
  <c r="ER26" i="7" s="1"/>
  <c r="ES26" i="7" s="1"/>
  <c r="ET26" i="7" s="1"/>
  <c r="EU26" i="7" s="1"/>
  <c r="EV26" i="7" s="1"/>
  <c r="EW26" i="7" s="1"/>
  <c r="CP26" i="7"/>
  <c r="CN26" i="7"/>
  <c r="CM26" i="7"/>
  <c r="CL26" i="7"/>
  <c r="CK26" i="7" s="1"/>
  <c r="CJ26" i="7" s="1"/>
  <c r="CI26" i="7" s="1"/>
  <c r="CH26" i="7" s="1"/>
  <c r="DZ25" i="7"/>
  <c r="EA25" i="7" s="1"/>
  <c r="EB25" i="7" s="1"/>
  <c r="EC25" i="7" s="1"/>
  <c r="ED25" i="7" s="1"/>
  <c r="EE25" i="7" s="1"/>
  <c r="EF25" i="7" s="1"/>
  <c r="EG25" i="7" s="1"/>
  <c r="EH25" i="7" s="1"/>
  <c r="EI25" i="7" s="1"/>
  <c r="EJ25" i="7" s="1"/>
  <c r="EK25" i="7" s="1"/>
  <c r="EL25" i="7" s="1"/>
  <c r="EM25" i="7" s="1"/>
  <c r="EN25" i="7" s="1"/>
  <c r="EO25" i="7" s="1"/>
  <c r="EP25" i="7" s="1"/>
  <c r="EQ25" i="7" s="1"/>
  <c r="ER25" i="7" s="1"/>
  <c r="ES25" i="7" s="1"/>
  <c r="ET25" i="7" s="1"/>
  <c r="EU25" i="7" s="1"/>
  <c r="EV25" i="7" s="1"/>
  <c r="EW25" i="7" s="1"/>
  <c r="EX25" i="7" s="1"/>
  <c r="EY25" i="7" s="1"/>
  <c r="EZ25" i="7" s="1"/>
  <c r="FA25" i="7" s="1"/>
  <c r="CS25" i="7"/>
  <c r="CT25" i="7" s="1"/>
  <c r="CU25" i="7" s="1"/>
  <c r="CV25" i="7" s="1"/>
  <c r="CW25" i="7" s="1"/>
  <c r="CX25" i="7" s="1"/>
  <c r="CY25" i="7" s="1"/>
  <c r="CZ25" i="7" s="1"/>
  <c r="DA25" i="7" s="1"/>
  <c r="DB25" i="7" s="1"/>
  <c r="DC25" i="7" s="1"/>
  <c r="DD25" i="7" s="1"/>
  <c r="DE25" i="7" s="1"/>
  <c r="DF25" i="7" s="1"/>
  <c r="DG25" i="7" s="1"/>
  <c r="DH25" i="7" s="1"/>
  <c r="DI25" i="7" s="1"/>
  <c r="DJ25" i="7" s="1"/>
  <c r="DK25" i="7" s="1"/>
  <c r="DL25" i="7" s="1"/>
  <c r="DM25" i="7" s="1"/>
  <c r="DN25" i="7" s="1"/>
  <c r="DO25" i="7" s="1"/>
  <c r="DP25" i="7" s="1"/>
  <c r="DQ25" i="7" s="1"/>
  <c r="DR25" i="7" s="1"/>
  <c r="DS25" i="7" s="1"/>
  <c r="DT25" i="7" s="1"/>
  <c r="DU25" i="7" s="1"/>
  <c r="DV25" i="7" s="1"/>
  <c r="DW25" i="7" s="1"/>
  <c r="DX25" i="7" s="1"/>
  <c r="DY25" i="7" s="1"/>
  <c r="CR25" i="7"/>
  <c r="CQ25" i="7"/>
  <c r="CP25" i="7"/>
  <c r="CN25" i="7"/>
  <c r="CM25" i="7"/>
  <c r="CL25" i="7"/>
  <c r="CK25" i="7"/>
  <c r="CJ25" i="7"/>
  <c r="CI25" i="7"/>
  <c r="CH25" i="7" s="1"/>
  <c r="CP24" i="7"/>
  <c r="CQ24" i="7" s="1"/>
  <c r="CR24" i="7" s="1"/>
  <c r="CN24" i="7"/>
  <c r="CM24" i="7" s="1"/>
  <c r="CL24" i="7" s="1"/>
  <c r="EF22" i="7"/>
  <c r="DR22" i="7"/>
  <c r="DP22" i="7"/>
  <c r="EZ21" i="7"/>
  <c r="EZ22" i="7" s="1"/>
  <c r="ER21" i="7"/>
  <c r="ER22" i="7" s="1"/>
  <c r="EP21" i="7"/>
  <c r="EP22" i="7" s="1"/>
  <c r="EN21" i="7"/>
  <c r="EN22" i="7" s="1"/>
  <c r="EH21" i="7"/>
  <c r="EH22" i="7" s="1"/>
  <c r="EF21" i="7"/>
  <c r="EE21" i="7"/>
  <c r="EE22" i="7" s="1"/>
  <c r="EB21" i="7"/>
  <c r="EB22" i="7" s="1"/>
  <c r="DZ21" i="7"/>
  <c r="DZ22" i="7" s="1"/>
  <c r="DW21" i="7"/>
  <c r="DW22" i="7" s="1"/>
  <c r="DR21" i="7"/>
  <c r="DP21" i="7"/>
  <c r="DO21" i="7"/>
  <c r="DO22" i="7" s="1"/>
  <c r="DI21" i="7"/>
  <c r="DI22" i="7" s="1"/>
  <c r="DG21" i="7"/>
  <c r="DG22" i="7" s="1"/>
  <c r="DF21" i="7"/>
  <c r="DF22" i="7" s="1"/>
  <c r="CT21" i="7"/>
  <c r="CT22" i="7" s="1"/>
  <c r="CQ21" i="7"/>
  <c r="CQ22" i="7" s="1"/>
  <c r="CL21" i="7"/>
  <c r="CL22" i="7" s="1"/>
  <c r="FA19" i="7"/>
  <c r="EZ19" i="7"/>
  <c r="EY19" i="7"/>
  <c r="EX19" i="7"/>
  <c r="EX21" i="7" s="1"/>
  <c r="EX22" i="7" s="1"/>
  <c r="EW19" i="7"/>
  <c r="EV19" i="7"/>
  <c r="EU19" i="7"/>
  <c r="ET19" i="7"/>
  <c r="ES19" i="7"/>
  <c r="ER19" i="7"/>
  <c r="EQ19" i="7"/>
  <c r="EP19" i="7"/>
  <c r="EO19" i="7"/>
  <c r="EN19" i="7"/>
  <c r="EM19" i="7"/>
  <c r="EL19" i="7"/>
  <c r="EK19" i="7"/>
  <c r="EJ19" i="7"/>
  <c r="EI19" i="7"/>
  <c r="EH19" i="7"/>
  <c r="EG19" i="7"/>
  <c r="EF19" i="7"/>
  <c r="EE19" i="7"/>
  <c r="ED19" i="7"/>
  <c r="EC19" i="7"/>
  <c r="EB19" i="7"/>
  <c r="EA19" i="7"/>
  <c r="DZ19" i="7"/>
  <c r="DY19" i="7"/>
  <c r="DX19" i="7"/>
  <c r="DW19" i="7"/>
  <c r="DV19" i="7"/>
  <c r="DU19" i="7"/>
  <c r="DT19" i="7"/>
  <c r="DS19" i="7"/>
  <c r="DR19" i="7"/>
  <c r="DQ19" i="7"/>
  <c r="DP19" i="7"/>
  <c r="DO19" i="7"/>
  <c r="DN19" i="7"/>
  <c r="DM19" i="7"/>
  <c r="DL19" i="7"/>
  <c r="DK19" i="7"/>
  <c r="DJ19" i="7"/>
  <c r="DI19" i="7"/>
  <c r="DH19" i="7"/>
  <c r="DG19" i="7"/>
  <c r="DF19" i="7"/>
  <c r="DE19" i="7"/>
  <c r="DD19" i="7"/>
  <c r="DC19" i="7"/>
  <c r="DB19" i="7"/>
  <c r="DA19" i="7"/>
  <c r="CZ19" i="7"/>
  <c r="CY19" i="7"/>
  <c r="CX19" i="7"/>
  <c r="CW19" i="7"/>
  <c r="CV19" i="7"/>
  <c r="CU19" i="7"/>
  <c r="CT19" i="7"/>
  <c r="CS19" i="7"/>
  <c r="CR19" i="7"/>
  <c r="CQ19" i="7"/>
  <c r="CP19" i="7"/>
  <c r="CO19" i="7"/>
  <c r="CN19" i="7"/>
  <c r="CM19" i="7"/>
  <c r="CL19" i="7"/>
  <c r="CK19" i="7"/>
  <c r="CJ19" i="7"/>
  <c r="CI19" i="7"/>
  <c r="CH19" i="7"/>
  <c r="FA10" i="7"/>
  <c r="EZ10" i="7"/>
  <c r="EW10" i="7"/>
  <c r="ES10" i="7"/>
  <c r="ER10" i="7"/>
  <c r="EK10" i="7"/>
  <c r="EJ10" i="7"/>
  <c r="EI10" i="7"/>
  <c r="EH10" i="7"/>
  <c r="EG10" i="7"/>
  <c r="EB10" i="7"/>
  <c r="DZ10" i="7"/>
  <c r="DY10" i="7"/>
  <c r="DU10" i="7"/>
  <c r="DT10" i="7"/>
  <c r="DR10" i="7"/>
  <c r="DQ10" i="7"/>
  <c r="DL10" i="7"/>
  <c r="DK10" i="7"/>
  <c r="DE10" i="7"/>
  <c r="DD10" i="7"/>
  <c r="DC10" i="7"/>
  <c r="DB10" i="7"/>
  <c r="CW10" i="7"/>
  <c r="CV10" i="7"/>
  <c r="CT10" i="7"/>
  <c r="CS10" i="7"/>
  <c r="FA9" i="7"/>
  <c r="EZ9" i="7"/>
  <c r="EY9" i="7"/>
  <c r="EY10" i="7" s="1"/>
  <c r="EX9" i="7"/>
  <c r="EX10" i="7" s="1"/>
  <c r="EW9" i="7"/>
  <c r="EV9" i="7"/>
  <c r="EV10" i="7" s="1"/>
  <c r="EU9" i="7"/>
  <c r="EU10" i="7" s="1"/>
  <c r="ET9" i="7"/>
  <c r="ET10" i="7" s="1"/>
  <c r="ES9" i="7"/>
  <c r="ER9" i="7"/>
  <c r="EQ9" i="7"/>
  <c r="EQ10" i="7" s="1"/>
  <c r="EP9" i="7"/>
  <c r="EP10" i="7" s="1"/>
  <c r="EO9" i="7"/>
  <c r="EO10" i="7" s="1"/>
  <c r="EN9" i="7"/>
  <c r="EN10" i="7" s="1"/>
  <c r="EM9" i="7"/>
  <c r="EM10" i="7" s="1"/>
  <c r="EL9" i="7"/>
  <c r="EL10" i="7" s="1"/>
  <c r="EK9" i="7"/>
  <c r="EJ9" i="7"/>
  <c r="EI9" i="7"/>
  <c r="EH9" i="7"/>
  <c r="EG9" i="7"/>
  <c r="EF9" i="7"/>
  <c r="EF10" i="7" s="1"/>
  <c r="EE9" i="7"/>
  <c r="EE10" i="7" s="1"/>
  <c r="ED9" i="7"/>
  <c r="ED10" i="7" s="1"/>
  <c r="EC9" i="7"/>
  <c r="EC10" i="7" s="1"/>
  <c r="EB9" i="7"/>
  <c r="EA9" i="7"/>
  <c r="EA10" i="7" s="1"/>
  <c r="DZ9" i="7"/>
  <c r="DY9" i="7"/>
  <c r="DX9" i="7"/>
  <c r="DX10" i="7" s="1"/>
  <c r="DW9" i="7"/>
  <c r="DW10" i="7" s="1"/>
  <c r="DV9" i="7"/>
  <c r="DV10" i="7" s="1"/>
  <c r="DU9" i="7"/>
  <c r="DT9" i="7"/>
  <c r="DS9" i="7"/>
  <c r="DS10" i="7" s="1"/>
  <c r="DR9" i="7"/>
  <c r="DQ9" i="7"/>
  <c r="DP9" i="7"/>
  <c r="DP10" i="7" s="1"/>
  <c r="DO9" i="7"/>
  <c r="DO10" i="7" s="1"/>
  <c r="DN9" i="7"/>
  <c r="DN10" i="7" s="1"/>
  <c r="DM9" i="7"/>
  <c r="DM10" i="7" s="1"/>
  <c r="DL9" i="7"/>
  <c r="DK9" i="7"/>
  <c r="DJ9" i="7"/>
  <c r="DJ10" i="7" s="1"/>
  <c r="DI9" i="7"/>
  <c r="DI10" i="7" s="1"/>
  <c r="DH9" i="7"/>
  <c r="DH10" i="7" s="1"/>
  <c r="DG9" i="7"/>
  <c r="DG10" i="7" s="1"/>
  <c r="DF9" i="7"/>
  <c r="DF10" i="7" s="1"/>
  <c r="DE9" i="7"/>
  <c r="DD9" i="7"/>
  <c r="DC9" i="7"/>
  <c r="DB9" i="7"/>
  <c r="DA9" i="7"/>
  <c r="DA10" i="7" s="1"/>
  <c r="CZ9" i="7"/>
  <c r="CZ10" i="7" s="1"/>
  <c r="CY9" i="7"/>
  <c r="CY10" i="7" s="1"/>
  <c r="CX9" i="7"/>
  <c r="CX10" i="7" s="1"/>
  <c r="CW9" i="7"/>
  <c r="CV9" i="7"/>
  <c r="CU9" i="7"/>
  <c r="CU10" i="7" s="1"/>
  <c r="CT9" i="7"/>
  <c r="CS9" i="7"/>
  <c r="CR9" i="7"/>
  <c r="FA7" i="7"/>
  <c r="EZ7" i="7"/>
  <c r="EY7" i="7"/>
  <c r="EX7" i="7"/>
  <c r="EW7" i="7"/>
  <c r="EV7" i="7"/>
  <c r="EU7" i="7"/>
  <c r="ET7" i="7"/>
  <c r="ES7" i="7"/>
  <c r="ER7" i="7"/>
  <c r="EQ7" i="7"/>
  <c r="EP7" i="7"/>
  <c r="EO7" i="7"/>
  <c r="EN7" i="7"/>
  <c r="EM7" i="7"/>
  <c r="EL7" i="7"/>
  <c r="EK7" i="7"/>
  <c r="EJ7" i="7"/>
  <c r="EI7" i="7"/>
  <c r="EH7" i="7"/>
  <c r="EG7" i="7"/>
  <c r="EF7" i="7"/>
  <c r="EE7" i="7"/>
  <c r="ED7" i="7"/>
  <c r="EC7" i="7"/>
  <c r="EB7" i="7"/>
  <c r="EA7" i="7"/>
  <c r="DZ7" i="7"/>
  <c r="DY7" i="7"/>
  <c r="DX7" i="7"/>
  <c r="DX21" i="7" s="1"/>
  <c r="DX22" i="7" s="1"/>
  <c r="DW7" i="7"/>
  <c r="DV7" i="7"/>
  <c r="DU7" i="7"/>
  <c r="DT7" i="7"/>
  <c r="DS7" i="7"/>
  <c r="DR7" i="7"/>
  <c r="DQ7" i="7"/>
  <c r="DQ21" i="7" s="1"/>
  <c r="DQ22" i="7" s="1"/>
  <c r="DP7" i="7"/>
  <c r="DO7" i="7"/>
  <c r="DN7" i="7"/>
  <c r="DM7" i="7"/>
  <c r="DL7" i="7"/>
  <c r="DK7" i="7"/>
  <c r="DJ7" i="7"/>
  <c r="DI7" i="7"/>
  <c r="DH7" i="7"/>
  <c r="DG7" i="7"/>
  <c r="DF7" i="7"/>
  <c r="DE7" i="7"/>
  <c r="DD7" i="7"/>
  <c r="DC7" i="7"/>
  <c r="DB7" i="7"/>
  <c r="DA7" i="7"/>
  <c r="CZ7" i="7"/>
  <c r="CY7" i="7"/>
  <c r="CX7" i="7"/>
  <c r="CW7" i="7"/>
  <c r="CV7" i="7"/>
  <c r="CU7" i="7"/>
  <c r="CT7" i="7"/>
  <c r="CS7" i="7"/>
  <c r="CR7" i="7"/>
  <c r="CQ7" i="7"/>
  <c r="CP7" i="7"/>
  <c r="CO7" i="7"/>
  <c r="CO21" i="7" s="1"/>
  <c r="CO22" i="7" s="1"/>
  <c r="CN7" i="7"/>
  <c r="CN21" i="7" s="1"/>
  <c r="CN22" i="7" s="1"/>
  <c r="CM7" i="7"/>
  <c r="CM21" i="7" s="1"/>
  <c r="CM22" i="7" s="1"/>
  <c r="CL7" i="7"/>
  <c r="CK7" i="7"/>
  <c r="CK21" i="7" s="1"/>
  <c r="CK22" i="7" s="1"/>
  <c r="CJ7" i="7"/>
  <c r="CJ21" i="7" s="1"/>
  <c r="CJ22" i="7" s="1"/>
  <c r="CI7" i="7"/>
  <c r="CI21" i="7" s="1"/>
  <c r="CI22" i="7" s="1"/>
  <c r="CH7" i="7"/>
  <c r="CH21" i="7" s="1"/>
  <c r="CH22" i="7" s="1"/>
  <c r="CG7" i="7"/>
  <c r="CA7" i="7"/>
  <c r="BZ7" i="7"/>
  <c r="BS7" i="7"/>
  <c r="BR7" i="7"/>
  <c r="BQ7" i="7"/>
  <c r="BJ7" i="7"/>
  <c r="BI7" i="7"/>
  <c r="BH7" i="7"/>
  <c r="BC7" i="7"/>
  <c r="BB7" i="7"/>
  <c r="AU7" i="7"/>
  <c r="AT7" i="7"/>
  <c r="AS7" i="7"/>
  <c r="AR7" i="7"/>
  <c r="AL7" i="7"/>
  <c r="AJ7" i="7"/>
  <c r="AF7" i="7"/>
  <c r="AE7" i="7"/>
  <c r="AD7" i="7"/>
  <c r="X7" i="7"/>
  <c r="W7" i="7"/>
  <c r="V7" i="7"/>
  <c r="U7" i="7"/>
  <c r="T7" i="7"/>
  <c r="O7" i="7"/>
  <c r="N7" i="7"/>
  <c r="M7" i="7"/>
  <c r="L7" i="7"/>
  <c r="F7" i="7"/>
  <c r="D7" i="7"/>
  <c r="CG6" i="7"/>
  <c r="CF6" i="7"/>
  <c r="CE6" i="7"/>
  <c r="BZ6" i="7"/>
  <c r="BY6" i="7"/>
  <c r="BW6" i="7"/>
  <c r="BR6" i="7"/>
  <c r="BP6" i="7"/>
  <c r="BJ6" i="7"/>
  <c r="BI6" i="7"/>
  <c r="BH6" i="7"/>
  <c r="BG6" i="7"/>
  <c r="BE6" i="7"/>
  <c r="BB6" i="7"/>
  <c r="BA6" i="7"/>
  <c r="AZ6" i="7"/>
  <c r="AY6" i="7"/>
  <c r="AT6" i="7"/>
  <c r="AS6" i="7"/>
  <c r="AQ6" i="7"/>
  <c r="AL6" i="7"/>
  <c r="AK6" i="7"/>
  <c r="AJ6" i="7"/>
  <c r="AI6" i="7"/>
  <c r="AD6" i="7"/>
  <c r="AC6" i="7"/>
  <c r="AA6" i="7"/>
  <c r="V6" i="7"/>
  <c r="U6" i="7"/>
  <c r="T6" i="7"/>
  <c r="S6" i="7"/>
  <c r="R6" i="7"/>
  <c r="N6" i="7"/>
  <c r="K6" i="7"/>
  <c r="I6" i="7"/>
  <c r="F6" i="7"/>
  <c r="E6" i="7"/>
  <c r="D6" i="7"/>
  <c r="B6" i="7"/>
  <c r="CG5" i="7"/>
  <c r="CF5" i="7"/>
  <c r="CE5" i="7"/>
  <c r="CD5" i="7"/>
  <c r="CC5" i="7"/>
  <c r="CB5" i="7"/>
  <c r="CA5" i="7"/>
  <c r="BZ5" i="7"/>
  <c r="BY5" i="7"/>
  <c r="BX5" i="7"/>
  <c r="BW5" i="7"/>
  <c r="BV5" i="7"/>
  <c r="BU5" i="7"/>
  <c r="BT5" i="7"/>
  <c r="BS5" i="7"/>
  <c r="BR5" i="7"/>
  <c r="BQ5" i="7"/>
  <c r="BP5" i="7"/>
  <c r="BO5" i="7"/>
  <c r="BN5" i="7"/>
  <c r="BM5" i="7"/>
  <c r="BL5" i="7"/>
  <c r="BK5" i="7"/>
  <c r="BJ5" i="7"/>
  <c r="BI5" i="7"/>
  <c r="BH5" i="7"/>
  <c r="BG5" i="7"/>
  <c r="BF5" i="7"/>
  <c r="BE5" i="7"/>
  <c r="BD5" i="7"/>
  <c r="BC5" i="7"/>
  <c r="BB5" i="7"/>
  <c r="BA5" i="7"/>
  <c r="AZ5" i="7"/>
  <c r="AY5" i="7"/>
  <c r="AX5" i="7"/>
  <c r="AW5" i="7"/>
  <c r="AV5" i="7"/>
  <c r="AU5" i="7"/>
  <c r="AT5" i="7"/>
  <c r="AS5" i="7"/>
  <c r="AR5" i="7"/>
  <c r="AQ5" i="7"/>
  <c r="AP5" i="7"/>
  <c r="AO5" i="7"/>
  <c r="AN5" i="7"/>
  <c r="AM5" i="7"/>
  <c r="AL5" i="7"/>
  <c r="AK5" i="7"/>
  <c r="AJ5" i="7"/>
  <c r="AI5" i="7"/>
  <c r="AH5" i="7"/>
  <c r="AG5" i="7"/>
  <c r="AF5" i="7"/>
  <c r="AE5" i="7"/>
  <c r="AD5" i="7"/>
  <c r="AC5" i="7"/>
  <c r="AB5" i="7"/>
  <c r="AA5" i="7"/>
  <c r="Z5" i="7"/>
  <c r="Y5" i="7"/>
  <c r="X5" i="7"/>
  <c r="W5" i="7"/>
  <c r="V5" i="7"/>
  <c r="U5" i="7"/>
  <c r="T5" i="7"/>
  <c r="S5" i="7"/>
  <c r="R5" i="7"/>
  <c r="Q5" i="7"/>
  <c r="P5" i="7"/>
  <c r="O5" i="7"/>
  <c r="N5" i="7"/>
  <c r="M5" i="7"/>
  <c r="L5" i="7"/>
  <c r="K5" i="7"/>
  <c r="J5" i="7"/>
  <c r="I5" i="7"/>
  <c r="H5" i="7"/>
  <c r="G5" i="7"/>
  <c r="F5" i="7"/>
  <c r="E5" i="7"/>
  <c r="D5" i="7"/>
  <c r="C5" i="7"/>
  <c r="B5" i="7"/>
  <c r="CG4" i="7"/>
  <c r="CF4" i="7"/>
  <c r="CF7" i="7" s="1"/>
  <c r="CE4" i="7"/>
  <c r="CE7" i="7" s="1"/>
  <c r="CD4" i="7"/>
  <c r="CD7" i="7" s="1"/>
  <c r="CC4" i="7"/>
  <c r="CC7" i="7" s="1"/>
  <c r="CB4" i="7"/>
  <c r="CB7" i="7" s="1"/>
  <c r="CA4" i="7"/>
  <c r="BZ4" i="7"/>
  <c r="BY4" i="7"/>
  <c r="BY7" i="7" s="1"/>
  <c r="BX4" i="7"/>
  <c r="BX7" i="7" s="1"/>
  <c r="BW4" i="7"/>
  <c r="BW7" i="7" s="1"/>
  <c r="BV4" i="7"/>
  <c r="BV7" i="7" s="1"/>
  <c r="BU4" i="7"/>
  <c r="BU7" i="7" s="1"/>
  <c r="BT4" i="7"/>
  <c r="BT7" i="7" s="1"/>
  <c r="BS4" i="7"/>
  <c r="BR4" i="7"/>
  <c r="BQ4" i="7"/>
  <c r="BP4" i="7"/>
  <c r="BP7" i="7" s="1"/>
  <c r="BO4" i="7"/>
  <c r="BO7" i="7" s="1"/>
  <c r="BN4" i="7"/>
  <c r="BN7" i="7" s="1"/>
  <c r="BM4" i="7"/>
  <c r="BM7" i="7" s="1"/>
  <c r="BL4" i="7"/>
  <c r="BL7" i="7" s="1"/>
  <c r="BK4" i="7"/>
  <c r="BK7" i="7" s="1"/>
  <c r="BJ4" i="7"/>
  <c r="BI4" i="7"/>
  <c r="BH4" i="7"/>
  <c r="BG4" i="7"/>
  <c r="BG7" i="7" s="1"/>
  <c r="BF4" i="7"/>
  <c r="BF7" i="7" s="1"/>
  <c r="BE4" i="7"/>
  <c r="BE7" i="7" s="1"/>
  <c r="BD4" i="7"/>
  <c r="BD7" i="7" s="1"/>
  <c r="BC4" i="7"/>
  <c r="BB4" i="7"/>
  <c r="BA4" i="7"/>
  <c r="BA7" i="7" s="1"/>
  <c r="AZ4" i="7"/>
  <c r="AZ7" i="7" s="1"/>
  <c r="AY4" i="7"/>
  <c r="AY7" i="7" s="1"/>
  <c r="AX4" i="7"/>
  <c r="AX7" i="7" s="1"/>
  <c r="AW4" i="7"/>
  <c r="AW7" i="7" s="1"/>
  <c r="AV4" i="7"/>
  <c r="AV7" i="7" s="1"/>
  <c r="AU4" i="7"/>
  <c r="AT4" i="7"/>
  <c r="AS4" i="7"/>
  <c r="AR4" i="7"/>
  <c r="AQ4" i="7"/>
  <c r="AQ7" i="7" s="1"/>
  <c r="AP4" i="7"/>
  <c r="AP7" i="7" s="1"/>
  <c r="AO4" i="7"/>
  <c r="AO7" i="7" s="1"/>
  <c r="AN4" i="7"/>
  <c r="AN7" i="7" s="1"/>
  <c r="AM4" i="7"/>
  <c r="AM7" i="7" s="1"/>
  <c r="AL4" i="7"/>
  <c r="AK4" i="7"/>
  <c r="AK7" i="7" s="1"/>
  <c r="AJ4" i="7"/>
  <c r="AI4" i="7"/>
  <c r="AI7" i="7" s="1"/>
  <c r="AH4" i="7"/>
  <c r="AH7" i="7" s="1"/>
  <c r="AG4" i="7"/>
  <c r="AG7" i="7" s="1"/>
  <c r="AF4" i="7"/>
  <c r="AE4" i="7"/>
  <c r="AD4" i="7"/>
  <c r="AC4" i="7"/>
  <c r="AC7" i="7" s="1"/>
  <c r="AB4" i="7"/>
  <c r="AB7" i="7" s="1"/>
  <c r="AA4" i="7"/>
  <c r="AA7" i="7" s="1"/>
  <c r="Z4" i="7"/>
  <c r="Z7" i="7" s="1"/>
  <c r="Y4" i="7"/>
  <c r="Y7" i="7" s="1"/>
  <c r="X4" i="7"/>
  <c r="W4" i="7"/>
  <c r="V4" i="7"/>
  <c r="U4" i="7"/>
  <c r="T4" i="7"/>
  <c r="S4" i="7"/>
  <c r="S7" i="7" s="1"/>
  <c r="R4" i="7"/>
  <c r="R7" i="7" s="1"/>
  <c r="Q4" i="7"/>
  <c r="Q7" i="7" s="1"/>
  <c r="P4" i="7"/>
  <c r="P7" i="7" s="1"/>
  <c r="O4" i="7"/>
  <c r="N4" i="7"/>
  <c r="M4" i="7"/>
  <c r="L4" i="7"/>
  <c r="K4" i="7"/>
  <c r="K7" i="7" s="1"/>
  <c r="J4" i="7"/>
  <c r="J7" i="7" s="1"/>
  <c r="I4" i="7"/>
  <c r="I7" i="7" s="1"/>
  <c r="H4" i="7"/>
  <c r="H7" i="7" s="1"/>
  <c r="G4" i="7"/>
  <c r="G7" i="7" s="1"/>
  <c r="F4" i="7"/>
  <c r="E4" i="7"/>
  <c r="E7" i="7" s="1"/>
  <c r="D4" i="7"/>
  <c r="C4" i="7"/>
  <c r="C7" i="7" s="1"/>
  <c r="B4" i="7"/>
  <c r="B7" i="7" s="1"/>
  <c r="CG2" i="7"/>
  <c r="CF2" i="7"/>
  <c r="BY2" i="7"/>
  <c r="BQ2" i="7"/>
  <c r="BP2" i="7"/>
  <c r="BI2" i="7"/>
  <c r="BH2" i="7"/>
  <c r="BD2" i="7"/>
  <c r="AZ2" i="7"/>
  <c r="AO2" i="7"/>
  <c r="AJ2" i="7"/>
  <c r="U2" i="7"/>
  <c r="T2" i="7"/>
  <c r="F2" i="7"/>
  <c r="D2" i="7"/>
  <c r="Z79" i="6"/>
  <c r="V79" i="6"/>
  <c r="U79" i="6"/>
  <c r="K27" i="5" s="1"/>
  <c r="T79" i="6"/>
  <c r="R79" i="6"/>
  <c r="H27" i="5" s="1"/>
  <c r="Q79" i="6"/>
  <c r="G27" i="5" s="1"/>
  <c r="L79" i="6"/>
  <c r="Y78" i="6"/>
  <c r="T78" i="6"/>
  <c r="S78" i="6"/>
  <c r="I32" i="5" s="1"/>
  <c r="R78" i="6"/>
  <c r="H32" i="5" s="1"/>
  <c r="O78" i="6"/>
  <c r="E32" i="5" s="1"/>
  <c r="L78" i="6"/>
  <c r="Z73" i="6"/>
  <c r="Y73" i="6"/>
  <c r="X73" i="6"/>
  <c r="W73" i="6"/>
  <c r="V73" i="6"/>
  <c r="V78" i="6" s="1"/>
  <c r="L32" i="5" s="1"/>
  <c r="U73" i="6"/>
  <c r="T73" i="6"/>
  <c r="S73" i="6"/>
  <c r="S79" i="6" s="1"/>
  <c r="R73" i="6"/>
  <c r="Q73" i="6"/>
  <c r="P73" i="6"/>
  <c r="O73" i="6"/>
  <c r="O79" i="6" s="1"/>
  <c r="E27" i="5" s="1"/>
  <c r="N73" i="6"/>
  <c r="M73" i="6"/>
  <c r="L73" i="6"/>
  <c r="Z69" i="6"/>
  <c r="Y69" i="6"/>
  <c r="X69" i="6"/>
  <c r="W69" i="6"/>
  <c r="V69" i="6"/>
  <c r="U69" i="6"/>
  <c r="T69" i="6"/>
  <c r="S69" i="6"/>
  <c r="R69" i="6"/>
  <c r="Q69" i="6"/>
  <c r="P69" i="6"/>
  <c r="O69" i="6"/>
  <c r="N69" i="6"/>
  <c r="L69" i="6"/>
  <c r="Y65" i="6"/>
  <c r="X65" i="6"/>
  <c r="W65" i="6"/>
  <c r="V65" i="6"/>
  <c r="S65" i="6"/>
  <c r="Q65" i="6"/>
  <c r="P65" i="6"/>
  <c r="M65" i="6"/>
  <c r="L65" i="6"/>
  <c r="T64" i="6"/>
  <c r="S64" i="6"/>
  <c r="Q64" i="6"/>
  <c r="P64" i="6"/>
  <c r="Z62" i="6"/>
  <c r="P44" i="5" s="1"/>
  <c r="N61" i="6"/>
  <c r="D38" i="5" s="1"/>
  <c r="L61" i="6"/>
  <c r="E60" i="6"/>
  <c r="Y59" i="6"/>
  <c r="X59" i="6"/>
  <c r="W59" i="6"/>
  <c r="V59" i="6"/>
  <c r="U59" i="6"/>
  <c r="S59" i="6"/>
  <c r="R59" i="6"/>
  <c r="Q59" i="6"/>
  <c r="P59" i="6"/>
  <c r="O59" i="6"/>
  <c r="N59" i="6"/>
  <c r="M59" i="6"/>
  <c r="Y58" i="6"/>
  <c r="O16" i="5" s="1"/>
  <c r="X58" i="6"/>
  <c r="N16" i="5" s="1"/>
  <c r="U58" i="6"/>
  <c r="S58" i="6"/>
  <c r="I16" i="5" s="1"/>
  <c r="R58" i="6"/>
  <c r="H16" i="5" s="1"/>
  <c r="M58" i="6"/>
  <c r="L58" i="6"/>
  <c r="K58" i="6"/>
  <c r="J58" i="6"/>
  <c r="I58" i="6"/>
  <c r="H58" i="6"/>
  <c r="G58" i="6"/>
  <c r="F58" i="6"/>
  <c r="E58" i="6"/>
  <c r="D58" i="6"/>
  <c r="C58" i="6"/>
  <c r="B58" i="6"/>
  <c r="Y57" i="6"/>
  <c r="O10" i="5" s="1"/>
  <c r="X57" i="6"/>
  <c r="N10" i="5" s="1"/>
  <c r="O57" i="6"/>
  <c r="J57" i="6"/>
  <c r="H57" i="6"/>
  <c r="G57" i="6"/>
  <c r="Y55" i="6"/>
  <c r="X55" i="6"/>
  <c r="W55" i="6"/>
  <c r="R55" i="6"/>
  <c r="Q55" i="6"/>
  <c r="O55" i="6"/>
  <c r="K55" i="6"/>
  <c r="K60" i="6" s="1"/>
  <c r="J55" i="6"/>
  <c r="I55" i="6"/>
  <c r="H55" i="6"/>
  <c r="G55" i="6"/>
  <c r="F55" i="6"/>
  <c r="F57" i="6" s="1"/>
  <c r="E55" i="6"/>
  <c r="E57" i="6" s="1"/>
  <c r="D55" i="6"/>
  <c r="D57" i="6" s="1"/>
  <c r="C55" i="6"/>
  <c r="C57" i="6" s="1"/>
  <c r="B55" i="6"/>
  <c r="AB54" i="6"/>
  <c r="X54" i="6"/>
  <c r="U54" i="6"/>
  <c r="T54" i="6"/>
  <c r="S54" i="6"/>
  <c r="R54" i="6"/>
  <c r="R60" i="6" s="1"/>
  <c r="H22" i="5" s="1"/>
  <c r="P54" i="6"/>
  <c r="M54" i="6"/>
  <c r="L54" i="6"/>
  <c r="K54" i="6"/>
  <c r="H54" i="6"/>
  <c r="E54" i="6"/>
  <c r="D54" i="6"/>
  <c r="D60" i="6" s="1"/>
  <c r="C54" i="6"/>
  <c r="S52" i="6"/>
  <c r="K52" i="6"/>
  <c r="H52" i="6"/>
  <c r="E52" i="6"/>
  <c r="D52" i="6"/>
  <c r="C52" i="6"/>
  <c r="Y50" i="6"/>
  <c r="X50" i="6"/>
  <c r="W50" i="6"/>
  <c r="V50" i="6"/>
  <c r="V55" i="6" s="1"/>
  <c r="U50" i="6"/>
  <c r="U55" i="6" s="1"/>
  <c r="T50" i="6"/>
  <c r="T55" i="6" s="1"/>
  <c r="T60" i="6" s="1"/>
  <c r="J22" i="5" s="1"/>
  <c r="S50" i="6"/>
  <c r="S55" i="6" s="1"/>
  <c r="S60" i="6" s="1"/>
  <c r="R50" i="6"/>
  <c r="Q50" i="6"/>
  <c r="P50" i="6"/>
  <c r="P55" i="6" s="1"/>
  <c r="O50" i="6"/>
  <c r="N50" i="6"/>
  <c r="N55" i="6" s="1"/>
  <c r="M50" i="6"/>
  <c r="M55" i="6" s="1"/>
  <c r="L50" i="6"/>
  <c r="Y42" i="6"/>
  <c r="X42" i="6"/>
  <c r="W42" i="6"/>
  <c r="V42" i="6"/>
  <c r="U42" i="6"/>
  <c r="S42" i="6"/>
  <c r="R42" i="6"/>
  <c r="R57" i="6" s="1"/>
  <c r="H10" i="5" s="1"/>
  <c r="Q42" i="6"/>
  <c r="P42" i="6"/>
  <c r="O42" i="6"/>
  <c r="O58" i="6" s="1"/>
  <c r="E16" i="5" s="1"/>
  <c r="N42" i="6"/>
  <c r="M42" i="6"/>
  <c r="L42" i="6"/>
  <c r="X37" i="6"/>
  <c r="T36" i="6"/>
  <c r="Y33" i="6"/>
  <c r="Y54" i="6" s="1"/>
  <c r="X33" i="6"/>
  <c r="W33" i="6"/>
  <c r="V33" i="6"/>
  <c r="U33" i="6"/>
  <c r="T33" i="6"/>
  <c r="S33" i="6"/>
  <c r="R33" i="6"/>
  <c r="R52" i="6" s="1"/>
  <c r="P33" i="6"/>
  <c r="P52" i="6" s="1"/>
  <c r="O33" i="6"/>
  <c r="N33" i="6"/>
  <c r="M33" i="6"/>
  <c r="L33" i="6"/>
  <c r="K33" i="6"/>
  <c r="J33" i="6"/>
  <c r="I33" i="6"/>
  <c r="H33" i="6"/>
  <c r="G33" i="6"/>
  <c r="F33" i="6"/>
  <c r="E33" i="6"/>
  <c r="D33" i="6"/>
  <c r="C33" i="6"/>
  <c r="B33" i="6"/>
  <c r="B52" i="6" s="1"/>
  <c r="Q29" i="6"/>
  <c r="Q33" i="6" s="1"/>
  <c r="Y22" i="6"/>
  <c r="X22" i="6"/>
  <c r="W22" i="6"/>
  <c r="V22" i="6"/>
  <c r="U22" i="6"/>
  <c r="R22" i="6"/>
  <c r="Q22" i="6"/>
  <c r="P22" i="6"/>
  <c r="O22" i="6"/>
  <c r="N22" i="6"/>
  <c r="M22" i="6"/>
  <c r="L22" i="6"/>
  <c r="Q20" i="6"/>
  <c r="P20" i="6"/>
  <c r="N20" i="6"/>
  <c r="M20" i="6"/>
  <c r="M64" i="6" s="1"/>
  <c r="L20" i="6"/>
  <c r="L64" i="6" s="1"/>
  <c r="K20" i="6"/>
  <c r="J20" i="6"/>
  <c r="I20" i="6"/>
  <c r="H20" i="6"/>
  <c r="G20" i="6"/>
  <c r="F20" i="6"/>
  <c r="E20" i="6"/>
  <c r="D20" i="6"/>
  <c r="C20" i="6"/>
  <c r="B20" i="6"/>
  <c r="Y13" i="6"/>
  <c r="Q13" i="6"/>
  <c r="M13" i="6"/>
  <c r="L13" i="6"/>
  <c r="U12" i="6"/>
  <c r="T12" i="6"/>
  <c r="N12" i="6"/>
  <c r="R12" i="6" s="1"/>
  <c r="S12" i="6" s="1"/>
  <c r="N11" i="6"/>
  <c r="N10" i="6"/>
  <c r="O10" i="6" s="1"/>
  <c r="V9" i="6"/>
  <c r="V13" i="6" s="1"/>
  <c r="T9" i="6"/>
  <c r="P9" i="6"/>
  <c r="P13" i="6" s="1"/>
  <c r="L9" i="6"/>
  <c r="N8" i="6"/>
  <c r="R7" i="6"/>
  <c r="U7" i="6" s="1"/>
  <c r="N7" i="6"/>
  <c r="N6" i="6"/>
  <c r="N64" i="6" s="1"/>
  <c r="Y5" i="6"/>
  <c r="Y9" i="6" s="1"/>
  <c r="X5" i="6"/>
  <c r="X9" i="6" s="1"/>
  <c r="X13" i="6" s="1"/>
  <c r="W5" i="6"/>
  <c r="W9" i="6" s="1"/>
  <c r="W13" i="6" s="1"/>
  <c r="V5" i="6"/>
  <c r="T5" i="6"/>
  <c r="S5" i="6"/>
  <c r="S9" i="6" s="1"/>
  <c r="S13" i="6" s="1"/>
  <c r="Q5" i="6"/>
  <c r="Q9" i="6" s="1"/>
  <c r="P5" i="6"/>
  <c r="M5" i="6"/>
  <c r="M9" i="6" s="1"/>
  <c r="L5" i="6"/>
  <c r="K5" i="6"/>
  <c r="Y4" i="6"/>
  <c r="X4" i="6"/>
  <c r="W4" i="6"/>
  <c r="V4" i="6"/>
  <c r="T4" i="6"/>
  <c r="S4" i="6"/>
  <c r="Q4" i="6"/>
  <c r="P4" i="6"/>
  <c r="M4" i="6"/>
  <c r="L4" i="6"/>
  <c r="K4" i="6"/>
  <c r="J4" i="6"/>
  <c r="I4" i="6"/>
  <c r="H4" i="6"/>
  <c r="G4" i="6"/>
  <c r="F4" i="6"/>
  <c r="E4" i="6"/>
  <c r="D4" i="6"/>
  <c r="C4" i="6"/>
  <c r="B4" i="6"/>
  <c r="N3" i="6"/>
  <c r="N2" i="6"/>
  <c r="O2" i="6" s="1"/>
  <c r="K52" i="5"/>
  <c r="J52" i="5"/>
  <c r="I52" i="5"/>
  <c r="F52" i="5"/>
  <c r="BJ49" i="5"/>
  <c r="BI49" i="5"/>
  <c r="BH49" i="5"/>
  <c r="BG49" i="5"/>
  <c r="BF49" i="5"/>
  <c r="BE49" i="5"/>
  <c r="BD49" i="5"/>
  <c r="BC49" i="5"/>
  <c r="BB49" i="5"/>
  <c r="BA49" i="5"/>
  <c r="AZ49" i="5"/>
  <c r="AY49" i="5"/>
  <c r="AX49" i="5"/>
  <c r="AW49" i="5"/>
  <c r="AV49" i="5"/>
  <c r="AU49" i="5"/>
  <c r="AT49" i="5"/>
  <c r="AS49" i="5"/>
  <c r="AR49" i="5"/>
  <c r="AQ49" i="5"/>
  <c r="AP49" i="5"/>
  <c r="AO49" i="5"/>
  <c r="AN49" i="5"/>
  <c r="AM49" i="5"/>
  <c r="AL49" i="5"/>
  <c r="AK49" i="5"/>
  <c r="AJ49" i="5"/>
  <c r="AI49" i="5"/>
  <c r="AH49" i="5"/>
  <c r="AG49" i="5"/>
  <c r="AF49" i="5"/>
  <c r="AE49" i="5"/>
  <c r="AD49" i="5"/>
  <c r="AC49" i="5"/>
  <c r="AB49" i="5"/>
  <c r="AA49" i="5"/>
  <c r="Z49" i="5"/>
  <c r="Y49" i="5"/>
  <c r="X49" i="5"/>
  <c r="W49" i="5"/>
  <c r="V49" i="5"/>
  <c r="U49" i="5"/>
  <c r="T49" i="5"/>
  <c r="S49" i="5"/>
  <c r="R49" i="5"/>
  <c r="Q49" i="5"/>
  <c r="G49" i="5"/>
  <c r="C49" i="5"/>
  <c r="E48" i="5"/>
  <c r="F48" i="5" s="1"/>
  <c r="G48" i="5" s="1"/>
  <c r="H48" i="5" s="1"/>
  <c r="I48" i="5" s="1"/>
  <c r="J48" i="5" s="1"/>
  <c r="K48" i="5" s="1"/>
  <c r="L48" i="5" s="1"/>
  <c r="M48" i="5" s="1"/>
  <c r="N48" i="5" s="1"/>
  <c r="O48" i="5" s="1"/>
  <c r="P48" i="5" s="1"/>
  <c r="Q48" i="5" s="1"/>
  <c r="R48" i="5" s="1"/>
  <c r="S48" i="5" s="1"/>
  <c r="T48" i="5" s="1"/>
  <c r="U48" i="5" s="1"/>
  <c r="V48" i="5" s="1"/>
  <c r="W48" i="5" s="1"/>
  <c r="X48" i="5" s="1"/>
  <c r="Y48" i="5" s="1"/>
  <c r="Z48" i="5" s="1"/>
  <c r="AA48" i="5" s="1"/>
  <c r="AB48" i="5" s="1"/>
  <c r="AC48" i="5" s="1"/>
  <c r="AD48" i="5" s="1"/>
  <c r="AE48" i="5" s="1"/>
  <c r="AF48" i="5" s="1"/>
  <c r="AG48" i="5" s="1"/>
  <c r="AH48" i="5" s="1"/>
  <c r="AI48" i="5" s="1"/>
  <c r="AJ48" i="5" s="1"/>
  <c r="AK48" i="5" s="1"/>
  <c r="AL48" i="5" s="1"/>
  <c r="AM48" i="5" s="1"/>
  <c r="AN48" i="5" s="1"/>
  <c r="AO48" i="5" s="1"/>
  <c r="AP48" i="5" s="1"/>
  <c r="AQ48" i="5" s="1"/>
  <c r="AR48" i="5" s="1"/>
  <c r="AS48" i="5" s="1"/>
  <c r="AT48" i="5" s="1"/>
  <c r="AU48" i="5" s="1"/>
  <c r="AV48" i="5" s="1"/>
  <c r="AW48" i="5" s="1"/>
  <c r="AX48" i="5" s="1"/>
  <c r="AY48" i="5" s="1"/>
  <c r="AZ48" i="5" s="1"/>
  <c r="BA48" i="5" s="1"/>
  <c r="BB48" i="5" s="1"/>
  <c r="BC48" i="5" s="1"/>
  <c r="BD48" i="5" s="1"/>
  <c r="BE48" i="5" s="1"/>
  <c r="BF48" i="5" s="1"/>
  <c r="BG48" i="5" s="1"/>
  <c r="BH48" i="5" s="1"/>
  <c r="BI48" i="5" s="1"/>
  <c r="BJ48" i="5" s="1"/>
  <c r="D48" i="5"/>
  <c r="C48" i="5"/>
  <c r="C42" i="5"/>
  <c r="D42" i="5" s="1"/>
  <c r="E42" i="5" s="1"/>
  <c r="F42" i="5" s="1"/>
  <c r="G42" i="5" s="1"/>
  <c r="H42" i="5" s="1"/>
  <c r="I42" i="5" s="1"/>
  <c r="J42" i="5" s="1"/>
  <c r="K42" i="5" s="1"/>
  <c r="L42" i="5" s="1"/>
  <c r="M42" i="5" s="1"/>
  <c r="N42" i="5" s="1"/>
  <c r="O42" i="5" s="1"/>
  <c r="P42" i="5" s="1"/>
  <c r="Q42" i="5" s="1"/>
  <c r="R42" i="5" s="1"/>
  <c r="S42" i="5" s="1"/>
  <c r="T42" i="5" s="1"/>
  <c r="U42" i="5" s="1"/>
  <c r="V42" i="5" s="1"/>
  <c r="W42" i="5" s="1"/>
  <c r="X42" i="5" s="1"/>
  <c r="Y42" i="5" s="1"/>
  <c r="Z42" i="5" s="1"/>
  <c r="AA42" i="5" s="1"/>
  <c r="AB42" i="5" s="1"/>
  <c r="AC42" i="5" s="1"/>
  <c r="AD42" i="5" s="1"/>
  <c r="AE42" i="5" s="1"/>
  <c r="AF42" i="5" s="1"/>
  <c r="AG42" i="5" s="1"/>
  <c r="AH42" i="5" s="1"/>
  <c r="AI42" i="5" s="1"/>
  <c r="AJ42" i="5" s="1"/>
  <c r="AK42" i="5" s="1"/>
  <c r="AL42" i="5" s="1"/>
  <c r="AM42" i="5" s="1"/>
  <c r="AN42" i="5" s="1"/>
  <c r="AO42" i="5" s="1"/>
  <c r="AP42" i="5" s="1"/>
  <c r="AQ42" i="5" s="1"/>
  <c r="AR42" i="5" s="1"/>
  <c r="AS42" i="5" s="1"/>
  <c r="AT42" i="5" s="1"/>
  <c r="AU42" i="5" s="1"/>
  <c r="AV42" i="5" s="1"/>
  <c r="AW42" i="5" s="1"/>
  <c r="AX42" i="5" s="1"/>
  <c r="AY42" i="5" s="1"/>
  <c r="AZ42" i="5" s="1"/>
  <c r="BA42" i="5" s="1"/>
  <c r="BB42" i="5" s="1"/>
  <c r="BC42" i="5" s="1"/>
  <c r="BD42" i="5" s="1"/>
  <c r="BE42" i="5" s="1"/>
  <c r="BF42" i="5" s="1"/>
  <c r="BG42" i="5" s="1"/>
  <c r="BH42" i="5" s="1"/>
  <c r="BI42" i="5" s="1"/>
  <c r="BJ42" i="5" s="1"/>
  <c r="P38" i="5"/>
  <c r="B38" i="5"/>
  <c r="S36" i="5"/>
  <c r="T36" i="5" s="1"/>
  <c r="U36" i="5" s="1"/>
  <c r="V36" i="5" s="1"/>
  <c r="W36" i="5" s="1"/>
  <c r="X36" i="5" s="1"/>
  <c r="Y36" i="5" s="1"/>
  <c r="Z36" i="5" s="1"/>
  <c r="AA36" i="5" s="1"/>
  <c r="AB36" i="5" s="1"/>
  <c r="AC36" i="5" s="1"/>
  <c r="AD36" i="5" s="1"/>
  <c r="AE36" i="5" s="1"/>
  <c r="AF36" i="5" s="1"/>
  <c r="AG36" i="5" s="1"/>
  <c r="AH36" i="5" s="1"/>
  <c r="AI36" i="5" s="1"/>
  <c r="AJ36" i="5" s="1"/>
  <c r="AK36" i="5" s="1"/>
  <c r="AL36" i="5" s="1"/>
  <c r="AM36" i="5" s="1"/>
  <c r="AN36" i="5" s="1"/>
  <c r="AO36" i="5" s="1"/>
  <c r="AP36" i="5" s="1"/>
  <c r="AQ36" i="5" s="1"/>
  <c r="AR36" i="5" s="1"/>
  <c r="AS36" i="5" s="1"/>
  <c r="AT36" i="5" s="1"/>
  <c r="AU36" i="5" s="1"/>
  <c r="AV36" i="5" s="1"/>
  <c r="AW36" i="5" s="1"/>
  <c r="AX36" i="5" s="1"/>
  <c r="AY36" i="5" s="1"/>
  <c r="AZ36" i="5" s="1"/>
  <c r="BA36" i="5" s="1"/>
  <c r="BB36" i="5" s="1"/>
  <c r="BC36" i="5" s="1"/>
  <c r="BD36" i="5" s="1"/>
  <c r="BE36" i="5" s="1"/>
  <c r="BF36" i="5" s="1"/>
  <c r="BG36" i="5" s="1"/>
  <c r="BH36" i="5" s="1"/>
  <c r="BI36" i="5" s="1"/>
  <c r="BJ36" i="5" s="1"/>
  <c r="R36" i="5"/>
  <c r="D36" i="5"/>
  <c r="E36" i="5" s="1"/>
  <c r="F36" i="5" s="1"/>
  <c r="G36" i="5" s="1"/>
  <c r="H36" i="5" s="1"/>
  <c r="I36" i="5" s="1"/>
  <c r="J36" i="5" s="1"/>
  <c r="K36" i="5" s="1"/>
  <c r="L36" i="5" s="1"/>
  <c r="M36" i="5" s="1"/>
  <c r="N36" i="5" s="1"/>
  <c r="O36" i="5" s="1"/>
  <c r="P36" i="5" s="1"/>
  <c r="Q36" i="5" s="1"/>
  <c r="C36" i="5"/>
  <c r="P32" i="5"/>
  <c r="O32" i="5"/>
  <c r="J32" i="5"/>
  <c r="B32" i="5"/>
  <c r="D31" i="5"/>
  <c r="E31" i="5" s="1"/>
  <c r="F31" i="5" s="1"/>
  <c r="G31" i="5" s="1"/>
  <c r="H31" i="5" s="1"/>
  <c r="I31" i="5" s="1"/>
  <c r="J31" i="5" s="1"/>
  <c r="K31" i="5" s="1"/>
  <c r="L31" i="5" s="1"/>
  <c r="M31" i="5" s="1"/>
  <c r="N31" i="5" s="1"/>
  <c r="O31" i="5" s="1"/>
  <c r="P31" i="5" s="1"/>
  <c r="Q31" i="5" s="1"/>
  <c r="R31" i="5" s="1"/>
  <c r="S31" i="5" s="1"/>
  <c r="T31" i="5" s="1"/>
  <c r="U31" i="5" s="1"/>
  <c r="V31" i="5" s="1"/>
  <c r="W31" i="5" s="1"/>
  <c r="X31" i="5" s="1"/>
  <c r="Y31" i="5" s="1"/>
  <c r="Z31" i="5" s="1"/>
  <c r="AA31" i="5" s="1"/>
  <c r="AB31" i="5" s="1"/>
  <c r="AC31" i="5" s="1"/>
  <c r="AD31" i="5" s="1"/>
  <c r="AE31" i="5" s="1"/>
  <c r="AF31" i="5" s="1"/>
  <c r="AG31" i="5" s="1"/>
  <c r="AH31" i="5" s="1"/>
  <c r="AI31" i="5" s="1"/>
  <c r="AJ31" i="5" s="1"/>
  <c r="AK31" i="5" s="1"/>
  <c r="AL31" i="5" s="1"/>
  <c r="AM31" i="5" s="1"/>
  <c r="AN31" i="5" s="1"/>
  <c r="AO31" i="5" s="1"/>
  <c r="AP31" i="5" s="1"/>
  <c r="AQ31" i="5" s="1"/>
  <c r="AR31" i="5" s="1"/>
  <c r="AS31" i="5" s="1"/>
  <c r="AT31" i="5" s="1"/>
  <c r="AU31" i="5" s="1"/>
  <c r="AV31" i="5" s="1"/>
  <c r="AW31" i="5" s="1"/>
  <c r="AX31" i="5" s="1"/>
  <c r="AY31" i="5" s="1"/>
  <c r="AZ31" i="5" s="1"/>
  <c r="BA31" i="5" s="1"/>
  <c r="BB31" i="5" s="1"/>
  <c r="BC31" i="5" s="1"/>
  <c r="BD31" i="5" s="1"/>
  <c r="BE31" i="5" s="1"/>
  <c r="BF31" i="5" s="1"/>
  <c r="BG31" i="5" s="1"/>
  <c r="BH31" i="5" s="1"/>
  <c r="BI31" i="5" s="1"/>
  <c r="BJ31" i="5" s="1"/>
  <c r="C31" i="5"/>
  <c r="P27" i="5"/>
  <c r="L27" i="5"/>
  <c r="J27" i="5"/>
  <c r="I27" i="5"/>
  <c r="B27" i="5"/>
  <c r="D26" i="5"/>
  <c r="E26" i="5" s="1"/>
  <c r="F26" i="5" s="1"/>
  <c r="G26" i="5" s="1"/>
  <c r="H26" i="5" s="1"/>
  <c r="I26" i="5" s="1"/>
  <c r="J26" i="5" s="1"/>
  <c r="K26" i="5" s="1"/>
  <c r="L26" i="5" s="1"/>
  <c r="M26" i="5" s="1"/>
  <c r="N26" i="5" s="1"/>
  <c r="O26" i="5" s="1"/>
  <c r="P26" i="5" s="1"/>
  <c r="Q26" i="5" s="1"/>
  <c r="R26" i="5" s="1"/>
  <c r="S26" i="5" s="1"/>
  <c r="T26" i="5" s="1"/>
  <c r="U26" i="5" s="1"/>
  <c r="V26" i="5" s="1"/>
  <c r="W26" i="5" s="1"/>
  <c r="X26" i="5" s="1"/>
  <c r="Y26" i="5" s="1"/>
  <c r="Z26" i="5" s="1"/>
  <c r="AA26" i="5" s="1"/>
  <c r="AB26" i="5" s="1"/>
  <c r="AC26" i="5" s="1"/>
  <c r="AD26" i="5" s="1"/>
  <c r="AE26" i="5" s="1"/>
  <c r="AF26" i="5" s="1"/>
  <c r="AG26" i="5" s="1"/>
  <c r="AH26" i="5" s="1"/>
  <c r="AI26" i="5" s="1"/>
  <c r="AJ26" i="5" s="1"/>
  <c r="AK26" i="5" s="1"/>
  <c r="AL26" i="5" s="1"/>
  <c r="AM26" i="5" s="1"/>
  <c r="AN26" i="5" s="1"/>
  <c r="AO26" i="5" s="1"/>
  <c r="AP26" i="5" s="1"/>
  <c r="AQ26" i="5" s="1"/>
  <c r="AR26" i="5" s="1"/>
  <c r="AS26" i="5" s="1"/>
  <c r="AT26" i="5" s="1"/>
  <c r="AU26" i="5" s="1"/>
  <c r="AV26" i="5" s="1"/>
  <c r="AW26" i="5" s="1"/>
  <c r="AX26" i="5" s="1"/>
  <c r="AY26" i="5" s="1"/>
  <c r="AZ26" i="5" s="1"/>
  <c r="BA26" i="5" s="1"/>
  <c r="BB26" i="5" s="1"/>
  <c r="BC26" i="5" s="1"/>
  <c r="BD26" i="5" s="1"/>
  <c r="BE26" i="5" s="1"/>
  <c r="BF26" i="5" s="1"/>
  <c r="BG26" i="5" s="1"/>
  <c r="BH26" i="5" s="1"/>
  <c r="BI26" i="5" s="1"/>
  <c r="BJ26" i="5" s="1"/>
  <c r="C26" i="5"/>
  <c r="P22" i="5"/>
  <c r="I22" i="5"/>
  <c r="C20" i="5"/>
  <c r="D20" i="5" s="1"/>
  <c r="E20" i="5" s="1"/>
  <c r="F20" i="5" s="1"/>
  <c r="G20" i="5" s="1"/>
  <c r="H20" i="5" s="1"/>
  <c r="I20" i="5" s="1"/>
  <c r="J20" i="5" s="1"/>
  <c r="K20" i="5" s="1"/>
  <c r="L20" i="5" s="1"/>
  <c r="M20" i="5" s="1"/>
  <c r="N20" i="5" s="1"/>
  <c r="O20" i="5" s="1"/>
  <c r="P20" i="5" s="1"/>
  <c r="Q20" i="5" s="1"/>
  <c r="R20" i="5" s="1"/>
  <c r="S20" i="5" s="1"/>
  <c r="T20" i="5" s="1"/>
  <c r="U20" i="5" s="1"/>
  <c r="V20" i="5" s="1"/>
  <c r="W20" i="5" s="1"/>
  <c r="X20" i="5" s="1"/>
  <c r="Y20" i="5" s="1"/>
  <c r="Z20" i="5" s="1"/>
  <c r="AA20" i="5" s="1"/>
  <c r="AB20" i="5" s="1"/>
  <c r="AC20" i="5" s="1"/>
  <c r="AD20" i="5" s="1"/>
  <c r="AE20" i="5" s="1"/>
  <c r="AF20" i="5" s="1"/>
  <c r="AG20" i="5" s="1"/>
  <c r="AH20" i="5" s="1"/>
  <c r="AI20" i="5" s="1"/>
  <c r="AJ20" i="5" s="1"/>
  <c r="AK20" i="5" s="1"/>
  <c r="AL20" i="5" s="1"/>
  <c r="AM20" i="5" s="1"/>
  <c r="AN20" i="5" s="1"/>
  <c r="AO20" i="5" s="1"/>
  <c r="AP20" i="5" s="1"/>
  <c r="AQ20" i="5" s="1"/>
  <c r="AR20" i="5" s="1"/>
  <c r="AS20" i="5" s="1"/>
  <c r="AT20" i="5" s="1"/>
  <c r="AU20" i="5" s="1"/>
  <c r="AV20" i="5" s="1"/>
  <c r="AW20" i="5" s="1"/>
  <c r="AX20" i="5" s="1"/>
  <c r="AY20" i="5" s="1"/>
  <c r="AZ20" i="5" s="1"/>
  <c r="BA20" i="5" s="1"/>
  <c r="BB20" i="5" s="1"/>
  <c r="BC20" i="5" s="1"/>
  <c r="BD20" i="5" s="1"/>
  <c r="BE20" i="5" s="1"/>
  <c r="BF20" i="5" s="1"/>
  <c r="BG20" i="5" s="1"/>
  <c r="BH20" i="5" s="1"/>
  <c r="BI20" i="5" s="1"/>
  <c r="BJ20" i="5" s="1"/>
  <c r="P16" i="5"/>
  <c r="K16" i="5"/>
  <c r="C16" i="5"/>
  <c r="B16" i="5"/>
  <c r="C14" i="5"/>
  <c r="D14" i="5" s="1"/>
  <c r="E14" i="5" s="1"/>
  <c r="F14" i="5" s="1"/>
  <c r="G14" i="5" s="1"/>
  <c r="H14" i="5" s="1"/>
  <c r="I14" i="5" s="1"/>
  <c r="J14" i="5" s="1"/>
  <c r="K14" i="5" s="1"/>
  <c r="L14" i="5" s="1"/>
  <c r="M14" i="5" s="1"/>
  <c r="N14" i="5" s="1"/>
  <c r="O14" i="5" s="1"/>
  <c r="P14" i="5" s="1"/>
  <c r="Q14" i="5" s="1"/>
  <c r="R14" i="5" s="1"/>
  <c r="S14" i="5" s="1"/>
  <c r="T14" i="5" s="1"/>
  <c r="U14" i="5" s="1"/>
  <c r="V14" i="5" s="1"/>
  <c r="W14" i="5" s="1"/>
  <c r="X14" i="5" s="1"/>
  <c r="Y14" i="5" s="1"/>
  <c r="Z14" i="5" s="1"/>
  <c r="AA14" i="5" s="1"/>
  <c r="AB14" i="5" s="1"/>
  <c r="AC14" i="5" s="1"/>
  <c r="AD14" i="5" s="1"/>
  <c r="AE14" i="5" s="1"/>
  <c r="AF14" i="5" s="1"/>
  <c r="AG14" i="5" s="1"/>
  <c r="AH14" i="5" s="1"/>
  <c r="AI14" i="5" s="1"/>
  <c r="AJ14" i="5" s="1"/>
  <c r="AK14" i="5" s="1"/>
  <c r="AL14" i="5" s="1"/>
  <c r="AM14" i="5" s="1"/>
  <c r="AN14" i="5" s="1"/>
  <c r="AO14" i="5" s="1"/>
  <c r="AP14" i="5" s="1"/>
  <c r="AQ14" i="5" s="1"/>
  <c r="AR14" i="5" s="1"/>
  <c r="AS14" i="5" s="1"/>
  <c r="AT14" i="5" s="1"/>
  <c r="AU14" i="5" s="1"/>
  <c r="AV14" i="5" s="1"/>
  <c r="AW14" i="5" s="1"/>
  <c r="AX14" i="5" s="1"/>
  <c r="AY14" i="5" s="1"/>
  <c r="AZ14" i="5" s="1"/>
  <c r="BA14" i="5" s="1"/>
  <c r="BB14" i="5" s="1"/>
  <c r="BC14" i="5" s="1"/>
  <c r="BD14" i="5" s="1"/>
  <c r="BE14" i="5" s="1"/>
  <c r="BF14" i="5" s="1"/>
  <c r="BG14" i="5" s="1"/>
  <c r="BH14" i="5" s="1"/>
  <c r="BI14" i="5" s="1"/>
  <c r="BJ14" i="5" s="1"/>
  <c r="A14" i="5"/>
  <c r="A13" i="5"/>
  <c r="P10" i="5"/>
  <c r="E10" i="5"/>
  <c r="D8" i="5"/>
  <c r="E8" i="5" s="1"/>
  <c r="F8" i="5" s="1"/>
  <c r="G8" i="5" s="1"/>
  <c r="H8" i="5" s="1"/>
  <c r="I8" i="5" s="1"/>
  <c r="J8" i="5" s="1"/>
  <c r="K8" i="5" s="1"/>
  <c r="L8" i="5" s="1"/>
  <c r="M8" i="5" s="1"/>
  <c r="N8" i="5" s="1"/>
  <c r="O8" i="5" s="1"/>
  <c r="P8" i="5" s="1"/>
  <c r="Q8" i="5" s="1"/>
  <c r="R8" i="5" s="1"/>
  <c r="S8" i="5" s="1"/>
  <c r="T8" i="5" s="1"/>
  <c r="U8" i="5" s="1"/>
  <c r="V8" i="5" s="1"/>
  <c r="W8" i="5" s="1"/>
  <c r="X8" i="5" s="1"/>
  <c r="Y8" i="5" s="1"/>
  <c r="Z8" i="5" s="1"/>
  <c r="AA8" i="5" s="1"/>
  <c r="AB8" i="5" s="1"/>
  <c r="AC8" i="5" s="1"/>
  <c r="AD8" i="5" s="1"/>
  <c r="AE8" i="5" s="1"/>
  <c r="AF8" i="5" s="1"/>
  <c r="AG8" i="5" s="1"/>
  <c r="AH8" i="5" s="1"/>
  <c r="AI8" i="5" s="1"/>
  <c r="AJ8" i="5" s="1"/>
  <c r="AK8" i="5" s="1"/>
  <c r="AL8" i="5" s="1"/>
  <c r="AM8" i="5" s="1"/>
  <c r="AN8" i="5" s="1"/>
  <c r="AO8" i="5" s="1"/>
  <c r="AP8" i="5" s="1"/>
  <c r="AQ8" i="5" s="1"/>
  <c r="AR8" i="5" s="1"/>
  <c r="AS8" i="5" s="1"/>
  <c r="AT8" i="5" s="1"/>
  <c r="AU8" i="5" s="1"/>
  <c r="AV8" i="5" s="1"/>
  <c r="AW8" i="5" s="1"/>
  <c r="AX8" i="5" s="1"/>
  <c r="AY8" i="5" s="1"/>
  <c r="AZ8" i="5" s="1"/>
  <c r="BA8" i="5" s="1"/>
  <c r="BB8" i="5" s="1"/>
  <c r="BC8" i="5" s="1"/>
  <c r="BD8" i="5" s="1"/>
  <c r="BE8" i="5" s="1"/>
  <c r="BF8" i="5" s="1"/>
  <c r="BG8" i="5" s="1"/>
  <c r="BH8" i="5" s="1"/>
  <c r="BI8" i="5" s="1"/>
  <c r="BJ8" i="5" s="1"/>
  <c r="C8" i="5"/>
  <c r="P4" i="5"/>
  <c r="P49" i="5" s="1"/>
  <c r="O4" i="5"/>
  <c r="O49" i="5" s="1"/>
  <c r="N4" i="5"/>
  <c r="N49" i="5" s="1"/>
  <c r="M4" i="5"/>
  <c r="M49" i="5" s="1"/>
  <c r="L4" i="5"/>
  <c r="L49" i="5" s="1"/>
  <c r="K4" i="5"/>
  <c r="J4" i="5"/>
  <c r="I4" i="5"/>
  <c r="I49" i="5" s="1"/>
  <c r="H4" i="5"/>
  <c r="H49" i="5" s="1"/>
  <c r="G4" i="5"/>
  <c r="F4" i="5"/>
  <c r="F49" i="5" s="1"/>
  <c r="E4" i="5"/>
  <c r="E49" i="5" s="1"/>
  <c r="D4" i="5"/>
  <c r="D49" i="5" s="1"/>
  <c r="B4" i="5"/>
  <c r="B49" i="5" s="1"/>
  <c r="C3" i="5"/>
  <c r="D3" i="5" s="1"/>
  <c r="E3" i="5" s="1"/>
  <c r="F3" i="5" s="1"/>
  <c r="G3" i="5" s="1"/>
  <c r="H3" i="5" s="1"/>
  <c r="I3" i="5" s="1"/>
  <c r="J3" i="5" s="1"/>
  <c r="K3" i="5" s="1"/>
  <c r="L3" i="5" s="1"/>
  <c r="M3" i="5" s="1"/>
  <c r="N3" i="5" s="1"/>
  <c r="O3" i="5" s="1"/>
  <c r="P3" i="5" s="1"/>
  <c r="Q3" i="5" s="1"/>
  <c r="R3" i="5" s="1"/>
  <c r="S3" i="5" s="1"/>
  <c r="T3" i="5" s="1"/>
  <c r="U3" i="5" s="1"/>
  <c r="V3" i="5" s="1"/>
  <c r="W3" i="5" s="1"/>
  <c r="X3" i="5" s="1"/>
  <c r="Y3" i="5" s="1"/>
  <c r="Z3" i="5" s="1"/>
  <c r="AA3" i="5" s="1"/>
  <c r="AB3" i="5" s="1"/>
  <c r="AC3" i="5" s="1"/>
  <c r="AD3" i="5" s="1"/>
  <c r="AE3" i="5" s="1"/>
  <c r="AF3" i="5" s="1"/>
  <c r="AG3" i="5" s="1"/>
  <c r="AH3" i="5" s="1"/>
  <c r="AI3" i="5" s="1"/>
  <c r="AJ3" i="5" s="1"/>
  <c r="AK3" i="5" s="1"/>
  <c r="AL3" i="5" s="1"/>
  <c r="AM3" i="5" s="1"/>
  <c r="AN3" i="5" s="1"/>
  <c r="AO3" i="5" s="1"/>
  <c r="AP3" i="5" s="1"/>
  <c r="AQ3" i="5" s="1"/>
  <c r="AR3" i="5" s="1"/>
  <c r="AS3" i="5" s="1"/>
  <c r="AT3" i="5" s="1"/>
  <c r="AU3" i="5" s="1"/>
  <c r="AV3" i="5" s="1"/>
  <c r="AW3" i="5" s="1"/>
  <c r="AX3" i="5" s="1"/>
  <c r="AY3" i="5" s="1"/>
  <c r="AZ3" i="5" s="1"/>
  <c r="BA3" i="5" s="1"/>
  <c r="BB3" i="5" s="1"/>
  <c r="BC3" i="5" s="1"/>
  <c r="BD3" i="5" s="1"/>
  <c r="BE3" i="5" s="1"/>
  <c r="BF3" i="5" s="1"/>
  <c r="BG3" i="5" s="1"/>
  <c r="BH3" i="5" s="1"/>
  <c r="BI3" i="5" s="1"/>
  <c r="BJ3" i="5" s="1"/>
  <c r="J38" i="4"/>
  <c r="I38" i="4"/>
  <c r="H38" i="4"/>
  <c r="I37" i="4"/>
  <c r="H37" i="4"/>
  <c r="J37" i="4" s="1"/>
  <c r="I36" i="4"/>
  <c r="H36" i="4"/>
  <c r="J36" i="4" s="1"/>
  <c r="I35" i="4"/>
  <c r="H35" i="4"/>
  <c r="J35" i="4" s="1"/>
  <c r="I34" i="4"/>
  <c r="H34" i="4"/>
  <c r="J34" i="4" s="1"/>
  <c r="J33" i="4"/>
  <c r="I33" i="4"/>
  <c r="H33" i="4"/>
  <c r="I32" i="4"/>
  <c r="H32" i="4"/>
  <c r="J32" i="4" s="1"/>
  <c r="I31" i="4"/>
  <c r="H31" i="4"/>
  <c r="J31" i="4" s="1"/>
  <c r="J30" i="4"/>
  <c r="I30" i="4"/>
  <c r="H30" i="4"/>
  <c r="I29" i="4"/>
  <c r="H29" i="4"/>
  <c r="J29" i="4" s="1"/>
  <c r="I28" i="4"/>
  <c r="H28" i="4"/>
  <c r="J28" i="4" s="1"/>
  <c r="I27" i="4"/>
  <c r="H27" i="4"/>
  <c r="J27" i="4" s="1"/>
  <c r="I26" i="4"/>
  <c r="H26" i="4"/>
  <c r="J26" i="4" s="1"/>
  <c r="J25" i="4"/>
  <c r="I25" i="4"/>
  <c r="H25" i="4"/>
  <c r="I24" i="4"/>
  <c r="H24" i="4"/>
  <c r="J24" i="4" s="1"/>
  <c r="I23" i="4"/>
  <c r="H23" i="4"/>
  <c r="J23" i="4" s="1"/>
  <c r="J22" i="4"/>
  <c r="I22" i="4"/>
  <c r="H22" i="4"/>
  <c r="I21" i="4"/>
  <c r="H21" i="4"/>
  <c r="J21" i="4" s="1"/>
  <c r="I20" i="4"/>
  <c r="H20" i="4"/>
  <c r="J20" i="4" s="1"/>
  <c r="I19" i="4"/>
  <c r="H19" i="4"/>
  <c r="J19" i="4" s="1"/>
  <c r="I18" i="4"/>
  <c r="H18" i="4"/>
  <c r="J18" i="4" s="1"/>
  <c r="J17" i="4"/>
  <c r="I17" i="4"/>
  <c r="H17" i="4"/>
  <c r="I16" i="4"/>
  <c r="H16" i="4"/>
  <c r="J16" i="4" s="1"/>
  <c r="I15" i="4"/>
  <c r="H15" i="4"/>
  <c r="J15" i="4" s="1"/>
  <c r="J14" i="4"/>
  <c r="I14" i="4"/>
  <c r="H14" i="4"/>
  <c r="I13" i="4"/>
  <c r="H13" i="4"/>
  <c r="J13" i="4" s="1"/>
  <c r="I12" i="4"/>
  <c r="H12" i="4"/>
  <c r="J12" i="4" s="1"/>
  <c r="I11" i="4"/>
  <c r="H11" i="4"/>
  <c r="J11" i="4" s="1"/>
  <c r="I10" i="4"/>
  <c r="H10" i="4"/>
  <c r="J10" i="4" s="1"/>
  <c r="J9" i="4"/>
  <c r="I9" i="4"/>
  <c r="H9" i="4"/>
  <c r="I8" i="4"/>
  <c r="H8" i="4"/>
  <c r="J8" i="4" s="1"/>
  <c r="F8" i="4"/>
  <c r="I7" i="4"/>
  <c r="H7" i="4"/>
  <c r="J7" i="4" s="1"/>
  <c r="F7" i="4"/>
  <c r="J6" i="4"/>
  <c r="I6" i="4"/>
  <c r="H6" i="4"/>
  <c r="F6" i="4"/>
  <c r="I5" i="4"/>
  <c r="H5" i="4"/>
  <c r="J5" i="4" s="1"/>
  <c r="F5" i="4"/>
  <c r="I4" i="4"/>
  <c r="H4" i="4"/>
  <c r="J4" i="4" s="1"/>
  <c r="F4" i="4"/>
  <c r="I3" i="4"/>
  <c r="H3" i="4"/>
  <c r="J3" i="4" s="1"/>
  <c r="F3" i="4"/>
  <c r="G3" i="4" s="1"/>
  <c r="B4" i="4" s="1"/>
  <c r="B3" i="4"/>
  <c r="B11" i="3"/>
  <c r="B10" i="3"/>
  <c r="B9" i="3"/>
  <c r="E11" i="1"/>
  <c r="E4" i="4" l="1"/>
  <c r="D4" i="4" s="1"/>
  <c r="G4" i="4"/>
  <c r="B5" i="4" s="1"/>
  <c r="Q52" i="6"/>
  <c r="Q54" i="6"/>
  <c r="Q60" i="6" s="1"/>
  <c r="G22" i="5" s="1"/>
  <c r="R10" i="6"/>
  <c r="U10" i="6" s="1"/>
  <c r="I54" i="6"/>
  <c r="I60" i="6" s="1"/>
  <c r="I52" i="6"/>
  <c r="Q57" i="6"/>
  <c r="G10" i="5" s="1"/>
  <c r="Q58" i="6"/>
  <c r="G16" i="5" s="1"/>
  <c r="L55" i="6"/>
  <c r="L52" i="6"/>
  <c r="T42" i="6"/>
  <c r="T65" i="6"/>
  <c r="T59" i="6"/>
  <c r="N4" i="6"/>
  <c r="N65" i="6"/>
  <c r="O8" i="6"/>
  <c r="O65" i="6" s="1"/>
  <c r="J54" i="6"/>
  <c r="J52" i="6"/>
  <c r="O3" i="6"/>
  <c r="O4" i="6" s="1"/>
  <c r="V60" i="6"/>
  <c r="L22" i="5" s="1"/>
  <c r="N5" i="6"/>
  <c r="N9" i="6" s="1"/>
  <c r="N13" i="6" s="1"/>
  <c r="I57" i="6"/>
  <c r="Y60" i="6"/>
  <c r="O22" i="5" s="1"/>
  <c r="M57" i="6"/>
  <c r="C10" i="5" s="1"/>
  <c r="M60" i="6"/>
  <c r="C22" i="5" s="1"/>
  <c r="U57" i="6"/>
  <c r="K10" i="5" s="1"/>
  <c r="U60" i="6"/>
  <c r="K22" i="5" s="1"/>
  <c r="K49" i="5"/>
  <c r="J49" i="5"/>
  <c r="Y52" i="6"/>
  <c r="B57" i="6"/>
  <c r="J60" i="6"/>
  <c r="CP86" i="7"/>
  <c r="CP21" i="7"/>
  <c r="CP22" i="7" s="1"/>
  <c r="CX21" i="7"/>
  <c r="CX22" i="7" s="1"/>
  <c r="DN21" i="7"/>
  <c r="DN22" i="7" s="1"/>
  <c r="DV21" i="7"/>
  <c r="DV22" i="7" s="1"/>
  <c r="ED21" i="7"/>
  <c r="ED22" i="7" s="1"/>
  <c r="EL21" i="7"/>
  <c r="EL22" i="7" s="1"/>
  <c r="ET21" i="7"/>
  <c r="ET22" i="7" s="1"/>
  <c r="CR12" i="7" a="1"/>
  <c r="CR12" i="7" s="1"/>
  <c r="CR10" i="7"/>
  <c r="CS12" i="7" s="1"/>
  <c r="B54" i="6"/>
  <c r="B60" i="6" s="1"/>
  <c r="CW21" i="7"/>
  <c r="CW22" i="7" s="1"/>
  <c r="DM21" i="7"/>
  <c r="DM22" i="7" s="1"/>
  <c r="DU21" i="7"/>
  <c r="DU22" i="7" s="1"/>
  <c r="EC21" i="7"/>
  <c r="EC22" i="7" s="1"/>
  <c r="EK21" i="7"/>
  <c r="EK22" i="7" s="1"/>
  <c r="ES21" i="7"/>
  <c r="ES22" i="7" s="1"/>
  <c r="DE21" i="7"/>
  <c r="DE22" i="7" s="1"/>
  <c r="C60" i="6"/>
  <c r="FA21" i="7"/>
  <c r="FA22" i="7" s="1"/>
  <c r="CG63" i="7"/>
  <c r="CG58" i="7"/>
  <c r="CO58" i="7"/>
  <c r="CO63" i="7" s="1"/>
  <c r="CO56" i="7"/>
  <c r="O11" i="6"/>
  <c r="R11" i="6" s="1"/>
  <c r="U11" i="6" s="1"/>
  <c r="F54" i="6"/>
  <c r="F60" i="6" s="1"/>
  <c r="F52" i="6"/>
  <c r="N54" i="6"/>
  <c r="N60" i="6" s="1"/>
  <c r="D22" i="5" s="1"/>
  <c r="N52" i="6"/>
  <c r="V54" i="6"/>
  <c r="V52" i="6"/>
  <c r="N58" i="6"/>
  <c r="D16" i="5" s="1"/>
  <c r="N57" i="6"/>
  <c r="D10" i="5" s="1"/>
  <c r="W58" i="6"/>
  <c r="M16" i="5" s="1"/>
  <c r="W57" i="6"/>
  <c r="M10" i="5" s="1"/>
  <c r="W79" i="6"/>
  <c r="M27" i="5" s="1"/>
  <c r="G54" i="6"/>
  <c r="G60" i="6" s="1"/>
  <c r="G52" i="6"/>
  <c r="O54" i="6"/>
  <c r="O60" i="6" s="1"/>
  <c r="E22" i="5" s="1"/>
  <c r="O52" i="6"/>
  <c r="W54" i="6"/>
  <c r="W60" i="6" s="1"/>
  <c r="M22" i="5" s="1"/>
  <c r="W52" i="6"/>
  <c r="P79" i="6"/>
  <c r="F27" i="5" s="1"/>
  <c r="P78" i="6"/>
  <c r="F32" i="5" s="1"/>
  <c r="X79" i="6"/>
  <c r="N27" i="5" s="1"/>
  <c r="W78" i="6"/>
  <c r="M32" i="5" s="1"/>
  <c r="CQ31" i="7"/>
  <c r="P60" i="6"/>
  <c r="F22" i="5" s="1"/>
  <c r="K57" i="6"/>
  <c r="E3" i="4"/>
  <c r="D3" i="4" s="1"/>
  <c r="O20" i="6"/>
  <c r="U2" i="6"/>
  <c r="R2" i="6"/>
  <c r="T13" i="6"/>
  <c r="X52" i="6"/>
  <c r="P57" i="6"/>
  <c r="F10" i="5" s="1"/>
  <c r="X60" i="6"/>
  <c r="N22" i="5" s="1"/>
  <c r="S57" i="6"/>
  <c r="I10" i="5" s="1"/>
  <c r="X78" i="6"/>
  <c r="N32" i="5" s="1"/>
  <c r="L62" i="6"/>
  <c r="B44" i="5" s="1"/>
  <c r="H60" i="6"/>
  <c r="P58" i="6"/>
  <c r="F16" i="5" s="1"/>
  <c r="Y79" i="6"/>
  <c r="O27" i="5" s="1"/>
  <c r="BD44" i="7"/>
  <c r="BD6" i="7" s="1"/>
  <c r="G46" i="7"/>
  <c r="G2" i="7" s="1"/>
  <c r="G44" i="7"/>
  <c r="G6" i="7" s="1"/>
  <c r="O46" i="7"/>
  <c r="O2" i="7" s="1"/>
  <c r="O44" i="7"/>
  <c r="O6" i="7" s="1"/>
  <c r="W46" i="7"/>
  <c r="W44" i="7"/>
  <c r="W6" i="7" s="1"/>
  <c r="AE46" i="7"/>
  <c r="AE2" i="7" s="1"/>
  <c r="AE44" i="7"/>
  <c r="AE6" i="7" s="1"/>
  <c r="AM46" i="7"/>
  <c r="AM2" i="7" s="1"/>
  <c r="AM44" i="7"/>
  <c r="AM6" i="7" s="1"/>
  <c r="AU46" i="7"/>
  <c r="AU2" i="7" s="1"/>
  <c r="AU44" i="7"/>
  <c r="AU6" i="7" s="1"/>
  <c r="BC46" i="7"/>
  <c r="BC2" i="7" s="1"/>
  <c r="BC44" i="7"/>
  <c r="BC6" i="7" s="1"/>
  <c r="BK46" i="7"/>
  <c r="BK2" i="7" s="1"/>
  <c r="BK44" i="7"/>
  <c r="BK6" i="7" s="1"/>
  <c r="CA46" i="7"/>
  <c r="CA2" i="7" s="1"/>
  <c r="CA44" i="7"/>
  <c r="CA6" i="7" s="1"/>
  <c r="CA63" i="7"/>
  <c r="CA58" i="7"/>
  <c r="P46" i="7"/>
  <c r="P44" i="7"/>
  <c r="P6" i="7" s="1"/>
  <c r="X44" i="7"/>
  <c r="X6" i="7" s="1"/>
  <c r="X46" i="7"/>
  <c r="AF46" i="7"/>
  <c r="AF44" i="7"/>
  <c r="AF6" i="7" s="1"/>
  <c r="AN44" i="7"/>
  <c r="AN6" i="7" s="1"/>
  <c r="AN46" i="7"/>
  <c r="AV44" i="7"/>
  <c r="AV6" i="7" s="1"/>
  <c r="AV46" i="7"/>
  <c r="BL44" i="7"/>
  <c r="BL6" i="7" s="1"/>
  <c r="BL46" i="7"/>
  <c r="BT44" i="7"/>
  <c r="BT6" i="7" s="1"/>
  <c r="BT46" i="7"/>
  <c r="CB46" i="7"/>
  <c r="CB44" i="7"/>
  <c r="CB6" i="7" s="1"/>
  <c r="M62" i="6"/>
  <c r="U78" i="6"/>
  <c r="K32" i="5" s="1"/>
  <c r="H52" i="7"/>
  <c r="H2" i="7" s="1"/>
  <c r="H39" i="7"/>
  <c r="P52" i="7"/>
  <c r="P2" i="7" s="1"/>
  <c r="P39" i="7"/>
  <c r="X52" i="7"/>
  <c r="X39" i="7"/>
  <c r="AF39" i="7"/>
  <c r="AF52" i="7"/>
  <c r="AN39" i="7"/>
  <c r="AN52" i="7"/>
  <c r="AN2" i="7" s="1"/>
  <c r="AV52" i="7"/>
  <c r="AV2" i="7" s="1"/>
  <c r="AV39" i="7"/>
  <c r="BL52" i="7"/>
  <c r="BL39" i="7"/>
  <c r="BT39" i="7"/>
  <c r="BT52" i="7"/>
  <c r="CB52" i="7"/>
  <c r="CB39" i="7"/>
  <c r="Q46" i="7"/>
  <c r="Q44" i="7"/>
  <c r="Q6" i="7" s="1"/>
  <c r="Y44" i="7"/>
  <c r="Y6" i="7" s="1"/>
  <c r="Y46" i="7"/>
  <c r="Y2" i="7" s="1"/>
  <c r="AW46" i="7"/>
  <c r="AW44" i="7"/>
  <c r="AW6" i="7" s="1"/>
  <c r="BM46" i="7"/>
  <c r="BM44" i="7"/>
  <c r="BM6" i="7" s="1"/>
  <c r="BU46" i="7"/>
  <c r="BU44" i="7"/>
  <c r="BU6" i="7" s="1"/>
  <c r="CC46" i="7"/>
  <c r="CC44" i="7"/>
  <c r="CC6" i="7" s="1"/>
  <c r="V58" i="6"/>
  <c r="L16" i="5" s="1"/>
  <c r="V57" i="6"/>
  <c r="L10" i="5" s="1"/>
  <c r="M61" i="6"/>
  <c r="N78" i="6"/>
  <c r="D32" i="5" s="1"/>
  <c r="N79" i="6"/>
  <c r="D27" i="5" s="1"/>
  <c r="Q78" i="6"/>
  <c r="G32" i="5" s="1"/>
  <c r="CV21" i="7"/>
  <c r="CV22" i="7" s="1"/>
  <c r="DD21" i="7"/>
  <c r="DD22" i="7" s="1"/>
  <c r="DL21" i="7"/>
  <c r="DL22" i="7" s="1"/>
  <c r="DT21" i="7"/>
  <c r="DT22" i="7" s="1"/>
  <c r="EJ21" i="7"/>
  <c r="EJ22" i="7" s="1"/>
  <c r="J46" i="7"/>
  <c r="J44" i="7"/>
  <c r="J6" i="7" s="1"/>
  <c r="AP46" i="7"/>
  <c r="AP44" i="7"/>
  <c r="AP6" i="7" s="1"/>
  <c r="AX44" i="7"/>
  <c r="AX6" i="7" s="1"/>
  <c r="AX46" i="7"/>
  <c r="AX2" i="7" s="1"/>
  <c r="BF44" i="7"/>
  <c r="BF6" i="7" s="1"/>
  <c r="BF46" i="7"/>
  <c r="BF2" i="7" s="1"/>
  <c r="BN46" i="7"/>
  <c r="BN2" i="7" s="1"/>
  <c r="BN44" i="7"/>
  <c r="BN6" i="7" s="1"/>
  <c r="BV46" i="7"/>
  <c r="BV44" i="7"/>
  <c r="BV6" i="7" s="1"/>
  <c r="CD44" i="7"/>
  <c r="CD6" i="7" s="1"/>
  <c r="CD46" i="7"/>
  <c r="CD2" i="7" s="1"/>
  <c r="H46" i="7"/>
  <c r="M52" i="6"/>
  <c r="U52" i="6"/>
  <c r="CY21" i="7"/>
  <c r="CY22" i="7" s="1"/>
  <c r="EM21" i="7"/>
  <c r="EM22" i="7" s="1"/>
  <c r="EU21" i="7"/>
  <c r="EU22" i="7" s="1"/>
  <c r="I52" i="7"/>
  <c r="I2" i="7" s="1"/>
  <c r="I39" i="7"/>
  <c r="Q52" i="7"/>
  <c r="Q39" i="7"/>
  <c r="AG52" i="7"/>
  <c r="AG2" i="7" s="1"/>
  <c r="AG39" i="7"/>
  <c r="AW52" i="7"/>
  <c r="AW2" i="7" s="1"/>
  <c r="AW39" i="7"/>
  <c r="BM52" i="7"/>
  <c r="BM39" i="7"/>
  <c r="CC52" i="7"/>
  <c r="CC39" i="7"/>
  <c r="BU52" i="7"/>
  <c r="O6" i="6"/>
  <c r="Q61" i="6" s="1"/>
  <c r="G38" i="5" s="1"/>
  <c r="CR29" i="7"/>
  <c r="CR31" i="7" s="1"/>
  <c r="CR78" i="7" s="1"/>
  <c r="CO31" i="7"/>
  <c r="B52" i="7"/>
  <c r="B2" i="7" s="1"/>
  <c r="B39" i="7"/>
  <c r="J52" i="7"/>
  <c r="J39" i="7"/>
  <c r="R52" i="7"/>
  <c r="R2" i="7" s="1"/>
  <c r="R39" i="7"/>
  <c r="Z2" i="7"/>
  <c r="AH2" i="7"/>
  <c r="AP2" i="7"/>
  <c r="BV2" i="7"/>
  <c r="CD58" i="7"/>
  <c r="CD63" i="7"/>
  <c r="BE52" i="7"/>
  <c r="BE2" i="7" s="1"/>
  <c r="CS21" i="7"/>
  <c r="CS22" i="7" s="1"/>
  <c r="DA21" i="7"/>
  <c r="DA22" i="7" s="1"/>
  <c r="DY21" i="7"/>
  <c r="DY22" i="7" s="1"/>
  <c r="EG21" i="7"/>
  <c r="EG22" i="7" s="1"/>
  <c r="EW21" i="7"/>
  <c r="EW22" i="7" s="1"/>
  <c r="EO21" i="7"/>
  <c r="EO22" i="7" s="1"/>
  <c r="CS24" i="7"/>
  <c r="CP29" i="7"/>
  <c r="CE63" i="7"/>
  <c r="CE58" i="7"/>
  <c r="CM56" i="7"/>
  <c r="CM58" i="7"/>
  <c r="CM63" i="7" s="1"/>
  <c r="CP63" i="7"/>
  <c r="CQ55" i="7"/>
  <c r="CP56" i="7"/>
  <c r="CP85" i="7" s="1"/>
  <c r="CR21" i="7"/>
  <c r="CR22" i="7" s="1"/>
  <c r="EV21" i="7"/>
  <c r="EV22" i="7" s="1"/>
  <c r="DH21" i="7"/>
  <c r="DH22" i="7" s="1"/>
  <c r="CL29" i="7"/>
  <c r="CL31" i="7" s="1"/>
  <c r="CK24" i="7"/>
  <c r="AY39" i="7"/>
  <c r="AY52" i="7"/>
  <c r="AY2" i="7" s="1"/>
  <c r="CF63" i="7"/>
  <c r="CF58" i="7"/>
  <c r="DB21" i="7"/>
  <c r="DB22" i="7" s="1"/>
  <c r="DJ21" i="7"/>
  <c r="DJ22" i="7" s="1"/>
  <c r="CM29" i="7"/>
  <c r="CM31" i="7" s="1"/>
  <c r="BY63" i="7"/>
  <c r="BY58" i="7"/>
  <c r="K52" i="7"/>
  <c r="K2" i="7" s="1"/>
  <c r="CU21" i="7"/>
  <c r="CU22" i="7" s="1"/>
  <c r="DC21" i="7"/>
  <c r="DC22" i="7" s="1"/>
  <c r="DK21" i="7"/>
  <c r="DK22" i="7" s="1"/>
  <c r="DS21" i="7"/>
  <c r="DS22" i="7" s="1"/>
  <c r="EA21" i="7"/>
  <c r="EA22" i="7" s="1"/>
  <c r="EI21" i="7"/>
  <c r="EI22" i="7" s="1"/>
  <c r="EQ21" i="7"/>
  <c r="EQ22" i="7" s="1"/>
  <c r="EY21" i="7"/>
  <c r="EY22" i="7" s="1"/>
  <c r="CZ21" i="7"/>
  <c r="CZ22" i="7" s="1"/>
  <c r="CN29" i="7"/>
  <c r="CN31" i="7" s="1"/>
  <c r="CI58" i="7"/>
  <c r="CI63" i="7" s="1"/>
  <c r="CI56" i="7"/>
  <c r="AC46" i="7"/>
  <c r="AC2" i="7" s="1"/>
  <c r="E52" i="7"/>
  <c r="E2" i="7" s="1"/>
  <c r="N52" i="7"/>
  <c r="N2" i="7" s="1"/>
  <c r="N39" i="7"/>
  <c r="V52" i="7"/>
  <c r="V2" i="7" s="1"/>
  <c r="V46" i="7"/>
  <c r="AL52" i="7"/>
  <c r="AL46" i="7"/>
  <c r="BB52" i="7"/>
  <c r="BB46" i="7"/>
  <c r="BR52" i="7"/>
  <c r="BR46" i="7"/>
  <c r="BZ52" i="7"/>
  <c r="BZ39" i="7"/>
  <c r="L46" i="7"/>
  <c r="L2" i="7" s="1"/>
  <c r="L44" i="7"/>
  <c r="L6" i="7" s="1"/>
  <c r="AR44" i="7"/>
  <c r="AR6" i="7" s="1"/>
  <c r="AR46" i="7"/>
  <c r="AR2" i="7" s="1"/>
  <c r="BX46" i="7"/>
  <c r="BX2" i="7" s="1"/>
  <c r="BX44" i="7"/>
  <c r="BX6" i="7" s="1"/>
  <c r="AD46" i="7"/>
  <c r="AD2" i="7" s="1"/>
  <c r="CK58" i="7"/>
  <c r="CK63" i="7" s="1"/>
  <c r="W52" i="7"/>
  <c r="W2" i="7" s="1"/>
  <c r="W39" i="7"/>
  <c r="AD39" i="7"/>
  <c r="BJ39" i="7"/>
  <c r="AB44" i="7"/>
  <c r="AB6" i="7" s="1"/>
  <c r="AT46" i="7"/>
  <c r="AT2" i="7" s="1"/>
  <c r="BH39" i="7"/>
  <c r="C46" i="7"/>
  <c r="C2" i="7" s="1"/>
  <c r="K46" i="7"/>
  <c r="S46" i="7"/>
  <c r="S2" i="7" s="1"/>
  <c r="AA46" i="7"/>
  <c r="AA2" i="7" s="1"/>
  <c r="AI46" i="7"/>
  <c r="AI2" i="7" s="1"/>
  <c r="AQ46" i="7"/>
  <c r="AQ2" i="7" s="1"/>
  <c r="AY46" i="7"/>
  <c r="BG46" i="7"/>
  <c r="BG2" i="7" s="1"/>
  <c r="BO46" i="7"/>
  <c r="BO2" i="7" s="1"/>
  <c r="BW46" i="7"/>
  <c r="BW2" i="7" s="1"/>
  <c r="CE46" i="7"/>
  <c r="CE2" i="7" s="1"/>
  <c r="C44" i="7"/>
  <c r="C6" i="7" s="1"/>
  <c r="BO44" i="7"/>
  <c r="BO6" i="7" s="1"/>
  <c r="CH58" i="7"/>
  <c r="CH63" i="7" s="1"/>
  <c r="CZ53" i="7"/>
  <c r="DA53" i="7"/>
  <c r="DE53" i="7"/>
  <c r="CW53" i="7"/>
  <c r="CT66" i="7"/>
  <c r="DB54" i="7"/>
  <c r="CU54" i="7"/>
  <c r="CH56" i="7"/>
  <c r="D46" i="8"/>
  <c r="Z39" i="7"/>
  <c r="AH39" i="7"/>
  <c r="AP39" i="7"/>
  <c r="AX39" i="7"/>
  <c r="BF39" i="7"/>
  <c r="BN39" i="7"/>
  <c r="BV39" i="7"/>
  <c r="CD39" i="7"/>
  <c r="CL58" i="7"/>
  <c r="CL63" i="7" s="1"/>
  <c r="CV54" i="7"/>
  <c r="C46" i="8"/>
  <c r="K46" i="8"/>
  <c r="G46" i="8"/>
  <c r="H46" i="8"/>
  <c r="BZ63" i="7" l="1"/>
  <c r="BZ58" i="7"/>
  <c r="BZ2" i="7"/>
  <c r="CR81" i="7"/>
  <c r="CS77" i="7"/>
  <c r="O61" i="6"/>
  <c r="E38" i="5" s="1"/>
  <c r="U20" i="6"/>
  <c r="L57" i="6"/>
  <c r="B10" i="5" s="1"/>
  <c r="L60" i="6"/>
  <c r="B22" i="5" s="1"/>
  <c r="O62" i="6"/>
  <c r="E44" i="5" s="1"/>
  <c r="R3" i="6"/>
  <c r="R4" i="6" s="1"/>
  <c r="Q62" i="6"/>
  <c r="G44" i="5" s="1"/>
  <c r="O64" i="6"/>
  <c r="CT73" i="7"/>
  <c r="CU66" i="7"/>
  <c r="CK29" i="7"/>
  <c r="CK31" i="7" s="1"/>
  <c r="CJ24" i="7"/>
  <c r="CB58" i="7"/>
  <c r="CB63" i="7"/>
  <c r="CB2" i="7"/>
  <c r="P61" i="6"/>
  <c r="F38" i="5" s="1"/>
  <c r="BU2" i="7"/>
  <c r="BT2" i="7"/>
  <c r="CP31" i="7"/>
  <c r="CP78" i="7" s="1"/>
  <c r="J2" i="7"/>
  <c r="BR2" i="7"/>
  <c r="AF2" i="7"/>
  <c r="BB2" i="7"/>
  <c r="CS29" i="7"/>
  <c r="CS31" i="7" s="1"/>
  <c r="CS78" i="7" s="1"/>
  <c r="CT24" i="7"/>
  <c r="CC58" i="7"/>
  <c r="CC63" i="7"/>
  <c r="CC2" i="7"/>
  <c r="CQ63" i="7"/>
  <c r="CQ56" i="7"/>
  <c r="CR55" i="7"/>
  <c r="BL2" i="7"/>
  <c r="X2" i="7"/>
  <c r="R20" i="6"/>
  <c r="T58" i="6"/>
  <c r="J16" i="5" s="1"/>
  <c r="T57" i="6"/>
  <c r="J10" i="5" s="1"/>
  <c r="T52" i="6"/>
  <c r="E5" i="4"/>
  <c r="D5" i="4" s="1"/>
  <c r="G5" i="4"/>
  <c r="B6" i="4" s="1"/>
  <c r="R6" i="6"/>
  <c r="R64" i="6" s="1"/>
  <c r="Q2" i="7"/>
  <c r="AL2" i="7"/>
  <c r="BM2" i="7"/>
  <c r="O5" i="6"/>
  <c r="O9" i="6" s="1"/>
  <c r="O13" i="6" s="1"/>
  <c r="R8" i="6"/>
  <c r="N62" i="6"/>
  <c r="D44" i="5" s="1"/>
  <c r="CJ29" i="7" l="1"/>
  <c r="CJ31" i="7" s="1"/>
  <c r="CI24" i="7"/>
  <c r="CS81" i="7"/>
  <c r="CT77" i="7"/>
  <c r="R65" i="6"/>
  <c r="U8" i="6"/>
  <c r="U65" i="6" s="1"/>
  <c r="CR83" i="7"/>
  <c r="CR84" i="7"/>
  <c r="CT29" i="7"/>
  <c r="CT31" i="7" s="1"/>
  <c r="CT78" i="7" s="1"/>
  <c r="CU24" i="7"/>
  <c r="CP87" i="7"/>
  <c r="CP81" i="7"/>
  <c r="T61" i="6"/>
  <c r="J38" i="5" s="1"/>
  <c r="W61" i="6"/>
  <c r="M38" i="5" s="1"/>
  <c r="S61" i="6"/>
  <c r="I38" i="5" s="1"/>
  <c r="CR56" i="7"/>
  <c r="CR63" i="7"/>
  <c r="CS55" i="7"/>
  <c r="E6" i="4"/>
  <c r="D6" i="4" s="1"/>
  <c r="G6" i="4"/>
  <c r="B7" i="4" s="1"/>
  <c r="U3" i="6"/>
  <c r="CV66" i="7"/>
  <c r="R5" i="6"/>
  <c r="R9" i="6" s="1"/>
  <c r="R13" i="6" s="1"/>
  <c r="P62" i="6"/>
  <c r="F44" i="5" s="1"/>
  <c r="R61" i="6"/>
  <c r="H38" i="5" s="1"/>
  <c r="U6" i="6"/>
  <c r="X61" i="6" s="1"/>
  <c r="N38" i="5" s="1"/>
  <c r="V61" i="6" l="1"/>
  <c r="L38" i="5" s="1"/>
  <c r="O38" i="5"/>
  <c r="S62" i="6"/>
  <c r="I44" i="5" s="1"/>
  <c r="R62" i="6"/>
  <c r="H44" i="5" s="1"/>
  <c r="CP83" i="7"/>
  <c r="CP84" i="7"/>
  <c r="CS56" i="7"/>
  <c r="CS63" i="7"/>
  <c r="CS83" i="7" s="1"/>
  <c r="B21" i="5" s="1"/>
  <c r="CT55" i="7"/>
  <c r="CT81" i="7"/>
  <c r="CU77" i="7"/>
  <c r="E7" i="4"/>
  <c r="D7" i="4" s="1"/>
  <c r="G7" i="4"/>
  <c r="B8" i="4" s="1"/>
  <c r="CW66" i="7"/>
  <c r="CV24" i="7"/>
  <c r="CU29" i="7"/>
  <c r="CU31" i="7" s="1"/>
  <c r="CU78" i="7" s="1"/>
  <c r="CS84" i="7"/>
  <c r="B9" i="5" s="1"/>
  <c r="U64" i="6"/>
  <c r="U61" i="6"/>
  <c r="K38" i="5" s="1"/>
  <c r="T62" i="6"/>
  <c r="J44" i="5" s="1"/>
  <c r="U4" i="6"/>
  <c r="U5" i="6"/>
  <c r="U9" i="6" s="1"/>
  <c r="U13" i="6" s="1"/>
  <c r="W62" i="6" s="1"/>
  <c r="M44" i="5" s="1"/>
  <c r="CR57" i="7"/>
  <c r="CR86" i="7"/>
  <c r="CR85" i="7"/>
  <c r="CR87" i="7"/>
  <c r="CI29" i="7"/>
  <c r="CI31" i="7" s="1"/>
  <c r="CH24" i="7"/>
  <c r="CH29" i="7" s="1"/>
  <c r="CH31" i="7" s="1"/>
  <c r="CV77" i="7" l="1"/>
  <c r="CU81" i="7"/>
  <c r="CT84" i="7"/>
  <c r="C9" i="5" s="1"/>
  <c r="CT63" i="7"/>
  <c r="CT83" i="7" s="1"/>
  <c r="C21" i="5" s="1"/>
  <c r="CU55" i="7"/>
  <c r="CT56" i="7"/>
  <c r="V62" i="6"/>
  <c r="L44" i="5" s="1"/>
  <c r="CW24" i="7"/>
  <c r="CV29" i="7"/>
  <c r="CV31" i="7" s="1"/>
  <c r="CV78" i="7" s="1"/>
  <c r="CX66" i="7"/>
  <c r="CS85" i="7"/>
  <c r="B15" i="5" s="1"/>
  <c r="CS57" i="7"/>
  <c r="CS86" i="7"/>
  <c r="B37" i="5" s="1"/>
  <c r="CS87" i="7"/>
  <c r="B43" i="5" s="1"/>
  <c r="U62" i="6"/>
  <c r="K44" i="5" s="1"/>
  <c r="O44" i="5"/>
  <c r="E8" i="4"/>
  <c r="D8" i="4" s="1"/>
  <c r="G8" i="4"/>
  <c r="B9" i="4" s="1"/>
  <c r="X62" i="6"/>
  <c r="N44" i="5" s="1"/>
  <c r="CV55" i="7" l="1"/>
  <c r="CU56" i="7"/>
  <c r="CU63" i="7"/>
  <c r="CW29" i="7"/>
  <c r="CW31" i="7" s="1"/>
  <c r="CW78" i="7" s="1"/>
  <c r="CX24" i="7"/>
  <c r="CU83" i="7"/>
  <c r="D21" i="5" s="1"/>
  <c r="CT57" i="7"/>
  <c r="CT86" i="7"/>
  <c r="C37" i="5" s="1"/>
  <c r="CT85" i="7"/>
  <c r="C15" i="5" s="1"/>
  <c r="CT87" i="7"/>
  <c r="C43" i="5" s="1"/>
  <c r="E9" i="4"/>
  <c r="D9" i="4"/>
  <c r="F9" i="4" s="1"/>
  <c r="G9" i="4" s="1"/>
  <c r="B10" i="4" s="1"/>
  <c r="CY66" i="7"/>
  <c r="CW77" i="7"/>
  <c r="CV81" i="7"/>
  <c r="E10" i="4" l="1"/>
  <c r="D10" i="4"/>
  <c r="F10" i="4" s="1"/>
  <c r="G10" i="4"/>
  <c r="B11" i="4" s="1"/>
  <c r="CZ66" i="7"/>
  <c r="CV83" i="7"/>
  <c r="E21" i="5" s="1"/>
  <c r="CW81" i="7"/>
  <c r="CX77" i="7"/>
  <c r="CU57" i="7"/>
  <c r="CU86" i="7"/>
  <c r="D37" i="5" s="1"/>
  <c r="CU87" i="7"/>
  <c r="D43" i="5" s="1"/>
  <c r="CY24" i="7"/>
  <c r="CX29" i="7"/>
  <c r="CX31" i="7" s="1"/>
  <c r="CX78" i="7" s="1"/>
  <c r="CV56" i="7"/>
  <c r="CV63" i="7"/>
  <c r="CW55" i="7"/>
  <c r="DA66" i="7" l="1"/>
  <c r="CY29" i="7"/>
  <c r="CY31" i="7" s="1"/>
  <c r="CY78" i="7" s="1"/>
  <c r="CZ24" i="7"/>
  <c r="CW63" i="7"/>
  <c r="CW56" i="7"/>
  <c r="CX55" i="7"/>
  <c r="E11" i="4"/>
  <c r="D11" i="4"/>
  <c r="F11" i="4" s="1"/>
  <c r="G11" i="4"/>
  <c r="B12" i="4" s="1"/>
  <c r="CX81" i="7"/>
  <c r="CY77" i="7"/>
  <c r="CV57" i="7"/>
  <c r="CV86" i="7"/>
  <c r="E37" i="5" s="1"/>
  <c r="CV87" i="7"/>
  <c r="E43" i="5" s="1"/>
  <c r="CW83" i="7"/>
  <c r="F21" i="5" s="1"/>
  <c r="CX63" i="7" l="1"/>
  <c r="CY55" i="7"/>
  <c r="CX56" i="7"/>
  <c r="CY81" i="7"/>
  <c r="CZ77" i="7"/>
  <c r="CX83" i="7"/>
  <c r="G21" i="5" s="1"/>
  <c r="CW57" i="7"/>
  <c r="CW86" i="7"/>
  <c r="F37" i="5" s="1"/>
  <c r="CW87" i="7"/>
  <c r="F43" i="5" s="1"/>
  <c r="DB66" i="7"/>
  <c r="CZ29" i="7"/>
  <c r="CZ31" i="7" s="1"/>
  <c r="CZ78" i="7" s="1"/>
  <c r="DA24" i="7"/>
  <c r="E12" i="4"/>
  <c r="D12" i="4"/>
  <c r="F12" i="4" s="1"/>
  <c r="G12" i="4" s="1"/>
  <c r="B13" i="4" s="1"/>
  <c r="E13" i="4" l="1"/>
  <c r="D13" i="4"/>
  <c r="F13" i="4" s="1"/>
  <c r="G13" i="4"/>
  <c r="B14" i="4" s="1"/>
  <c r="CZ55" i="7"/>
  <c r="CY56" i="7"/>
  <c r="CY63" i="7"/>
  <c r="CY83" i="7" s="1"/>
  <c r="H21" i="5" s="1"/>
  <c r="DA29" i="7"/>
  <c r="DA31" i="7" s="1"/>
  <c r="DA78" i="7" s="1"/>
  <c r="DB24" i="7"/>
  <c r="CZ81" i="7"/>
  <c r="DA77" i="7"/>
  <c r="DC66" i="7"/>
  <c r="CX57" i="7"/>
  <c r="CX86" i="7"/>
  <c r="G37" i="5" s="1"/>
  <c r="CX87" i="7"/>
  <c r="G43" i="5" s="1"/>
  <c r="DB29" i="7" l="1"/>
  <c r="DB31" i="7" s="1"/>
  <c r="DB78" i="7" s="1"/>
  <c r="DC24" i="7"/>
  <c r="DA55" i="7"/>
  <c r="CZ56" i="7"/>
  <c r="CZ63" i="7"/>
  <c r="CZ83" i="7" s="1"/>
  <c r="I21" i="5" s="1"/>
  <c r="DA81" i="7"/>
  <c r="DB77" i="7"/>
  <c r="DD66" i="7"/>
  <c r="CY57" i="7"/>
  <c r="CY86" i="7"/>
  <c r="H37" i="5" s="1"/>
  <c r="CY87" i="7"/>
  <c r="H43" i="5" s="1"/>
  <c r="E14" i="4"/>
  <c r="D14" i="4"/>
  <c r="F14" i="4" s="1"/>
  <c r="G14" i="4"/>
  <c r="B15" i="4" s="1"/>
  <c r="DC77" i="7" l="1"/>
  <c r="DB81" i="7"/>
  <c r="DE66" i="7"/>
  <c r="DD24" i="7"/>
  <c r="DC29" i="7"/>
  <c r="DC31" i="7" s="1"/>
  <c r="DC78" i="7" s="1"/>
  <c r="E15" i="4"/>
  <c r="D15" i="4"/>
  <c r="CZ57" i="7"/>
  <c r="CZ86" i="7"/>
  <c r="I37" i="5" s="1"/>
  <c r="CZ87" i="7"/>
  <c r="I43" i="5" s="1"/>
  <c r="DA63" i="7"/>
  <c r="DA83" i="7" s="1"/>
  <c r="J21" i="5" s="1"/>
  <c r="DB55" i="7"/>
  <c r="DA56" i="7"/>
  <c r="DA57" i="7" l="1"/>
  <c r="DA86" i="7"/>
  <c r="J37" i="5" s="1"/>
  <c r="DA87" i="7"/>
  <c r="J43" i="5" s="1"/>
  <c r="DF66" i="7"/>
  <c r="DB83" i="7"/>
  <c r="K21" i="5" s="1"/>
  <c r="DB56" i="7"/>
  <c r="DB63" i="7"/>
  <c r="DC55" i="7"/>
  <c r="DD29" i="7"/>
  <c r="DD31" i="7" s="1"/>
  <c r="DD78" i="7" s="1"/>
  <c r="DE24" i="7"/>
  <c r="F15" i="4"/>
  <c r="G15" i="4" s="1"/>
  <c r="B16" i="4" s="1"/>
  <c r="DD77" i="7"/>
  <c r="DC81" i="7"/>
  <c r="DB57" i="7" l="1"/>
  <c r="DB86" i="7"/>
  <c r="K37" i="5" s="1"/>
  <c r="DB87" i="7"/>
  <c r="K43" i="5" s="1"/>
  <c r="DC83" i="7"/>
  <c r="L21" i="5" s="1"/>
  <c r="DE77" i="7"/>
  <c r="DD81" i="7"/>
  <c r="DF24" i="7"/>
  <c r="DE29" i="7"/>
  <c r="DE31" i="7" s="1"/>
  <c r="DE78" i="7" s="1"/>
  <c r="E16" i="4"/>
  <c r="D16" i="4"/>
  <c r="F16" i="4" s="1"/>
  <c r="G16" i="4"/>
  <c r="B17" i="4" s="1"/>
  <c r="DG66" i="7"/>
  <c r="DD55" i="7"/>
  <c r="DC56" i="7"/>
  <c r="DC63" i="7"/>
  <c r="DF29" i="7" l="1"/>
  <c r="DF31" i="7" s="1"/>
  <c r="DF78" i="7" s="1"/>
  <c r="DG24" i="7"/>
  <c r="DH66" i="7"/>
  <c r="DE81" i="7"/>
  <c r="DF77" i="7"/>
  <c r="DC57" i="7"/>
  <c r="DC86" i="7"/>
  <c r="L37" i="5" s="1"/>
  <c r="DC87" i="7"/>
  <c r="L43" i="5" s="1"/>
  <c r="DD56" i="7"/>
  <c r="DD63" i="7"/>
  <c r="DE55" i="7"/>
  <c r="DD83" i="7"/>
  <c r="M21" i="5" s="1"/>
  <c r="E17" i="4"/>
  <c r="D17" i="4"/>
  <c r="F17" i="4" s="1"/>
  <c r="G17" i="4" s="1"/>
  <c r="B18" i="4" s="1"/>
  <c r="E18" i="4" l="1"/>
  <c r="D18" i="4"/>
  <c r="F18" i="4" s="1"/>
  <c r="G18" i="4"/>
  <c r="B19" i="4" s="1"/>
  <c r="DG77" i="7"/>
  <c r="DF81" i="7"/>
  <c r="DE63" i="7"/>
  <c r="DE83" i="7" s="1"/>
  <c r="N21" i="5" s="1"/>
  <c r="DE56" i="7"/>
  <c r="DF55" i="7"/>
  <c r="DI66" i="7"/>
  <c r="DD57" i="7"/>
  <c r="DD86" i="7"/>
  <c r="M37" i="5" s="1"/>
  <c r="DD87" i="7"/>
  <c r="M43" i="5" s="1"/>
  <c r="DG29" i="7"/>
  <c r="DG31" i="7" s="1"/>
  <c r="DG78" i="7" s="1"/>
  <c r="DH24" i="7"/>
  <c r="DJ66" i="7" l="1"/>
  <c r="DG81" i="7"/>
  <c r="DH77" i="7"/>
  <c r="E19" i="4"/>
  <c r="D19" i="4"/>
  <c r="F19" i="4" s="1"/>
  <c r="G19" i="4" s="1"/>
  <c r="B20" i="4" s="1"/>
  <c r="DF63" i="7"/>
  <c r="DF83" i="7" s="1"/>
  <c r="O21" i="5" s="1"/>
  <c r="DG55" i="7"/>
  <c r="DF56" i="7"/>
  <c r="DH29" i="7"/>
  <c r="DH31" i="7" s="1"/>
  <c r="DH78" i="7" s="1"/>
  <c r="DI24" i="7"/>
  <c r="DE57" i="7"/>
  <c r="DE86" i="7"/>
  <c r="N37" i="5" s="1"/>
  <c r="DE87" i="7"/>
  <c r="N43" i="5" s="1"/>
  <c r="E20" i="4" l="1"/>
  <c r="D20" i="4"/>
  <c r="F20" i="4" s="1"/>
  <c r="G20" i="4"/>
  <c r="B21" i="4" s="1"/>
  <c r="DJ24" i="7"/>
  <c r="DI29" i="7"/>
  <c r="DI31" i="7" s="1"/>
  <c r="DI78" i="7" s="1"/>
  <c r="DF57" i="7"/>
  <c r="DF86" i="7"/>
  <c r="O37" i="5" s="1"/>
  <c r="DF87" i="7"/>
  <c r="O43" i="5" s="1"/>
  <c r="DK66" i="7"/>
  <c r="DG63" i="7"/>
  <c r="DG83" i="7" s="1"/>
  <c r="P21" i="5" s="1"/>
  <c r="DH55" i="7"/>
  <c r="DG56" i="7"/>
  <c r="DH81" i="7"/>
  <c r="DI77" i="7"/>
  <c r="DI55" i="7" l="1"/>
  <c r="DH56" i="7"/>
  <c r="DH63" i="7"/>
  <c r="DH83" i="7" s="1"/>
  <c r="Q21" i="5" s="1"/>
  <c r="DJ29" i="7"/>
  <c r="DJ31" i="7" s="1"/>
  <c r="DJ78" i="7" s="1"/>
  <c r="DK24" i="7"/>
  <c r="DI81" i="7"/>
  <c r="DJ77" i="7"/>
  <c r="DG57" i="7"/>
  <c r="DG86" i="7"/>
  <c r="P37" i="5" s="1"/>
  <c r="DG87" i="7"/>
  <c r="P43" i="5" s="1"/>
  <c r="DL66" i="7"/>
  <c r="E21" i="4"/>
  <c r="D21" i="4"/>
  <c r="F21" i="4" s="1"/>
  <c r="G21" i="4" s="1"/>
  <c r="B22" i="4" s="1"/>
  <c r="E22" i="4" l="1"/>
  <c r="D22" i="4"/>
  <c r="F22" i="4" s="1"/>
  <c r="G22" i="4"/>
  <c r="B23" i="4" s="1"/>
  <c r="DL24" i="7"/>
  <c r="DK29" i="7"/>
  <c r="DK31" i="7" s="1"/>
  <c r="DK78" i="7" s="1"/>
  <c r="DH57" i="7"/>
  <c r="DH86" i="7"/>
  <c r="Q37" i="5" s="1"/>
  <c r="DH87" i="7"/>
  <c r="Q43" i="5" s="1"/>
  <c r="DI56" i="7"/>
  <c r="DJ55" i="7"/>
  <c r="DI63" i="7"/>
  <c r="DJ81" i="7"/>
  <c r="DK77" i="7"/>
  <c r="DI83" i="7"/>
  <c r="R21" i="5" s="1"/>
  <c r="DM66" i="7"/>
  <c r="DN66" i="7" l="1"/>
  <c r="DL77" i="7"/>
  <c r="DK81" i="7"/>
  <c r="DJ63" i="7"/>
  <c r="DJ83" i="7" s="1"/>
  <c r="S21" i="5" s="1"/>
  <c r="DJ56" i="7"/>
  <c r="DK55" i="7"/>
  <c r="DL29" i="7"/>
  <c r="DL31" i="7" s="1"/>
  <c r="DL78" i="7" s="1"/>
  <c r="DM24" i="7"/>
  <c r="E23" i="4"/>
  <c r="D23" i="4"/>
  <c r="F23" i="4" s="1"/>
  <c r="G23" i="4"/>
  <c r="B24" i="4" s="1"/>
  <c r="DI57" i="7"/>
  <c r="DI86" i="7"/>
  <c r="R37" i="5" s="1"/>
  <c r="DI87" i="7"/>
  <c r="R43" i="5" s="1"/>
  <c r="E24" i="4" l="1"/>
  <c r="D24" i="4"/>
  <c r="F24" i="4" s="1"/>
  <c r="G24" i="4"/>
  <c r="B25" i="4" s="1"/>
  <c r="DL55" i="7"/>
  <c r="DK56" i="7"/>
  <c r="DK63" i="7"/>
  <c r="DK83" i="7" s="1"/>
  <c r="T21" i="5" s="1"/>
  <c r="DJ57" i="7"/>
  <c r="DJ86" i="7"/>
  <c r="S37" i="5" s="1"/>
  <c r="DJ87" i="7"/>
  <c r="S43" i="5" s="1"/>
  <c r="DM29" i="7"/>
  <c r="DM31" i="7" s="1"/>
  <c r="DM78" i="7" s="1"/>
  <c r="DN24" i="7"/>
  <c r="DM77" i="7"/>
  <c r="DL81" i="7"/>
  <c r="DO66" i="7"/>
  <c r="DK57" i="7" l="1"/>
  <c r="DK86" i="7"/>
  <c r="T37" i="5" s="1"/>
  <c r="DK87" i="7"/>
  <c r="T43" i="5" s="1"/>
  <c r="DO24" i="7"/>
  <c r="DN29" i="7"/>
  <c r="DN31" i="7" s="1"/>
  <c r="DN78" i="7" s="1"/>
  <c r="DL56" i="7"/>
  <c r="DL63" i="7"/>
  <c r="DL83" i="7" s="1"/>
  <c r="U21" i="5" s="1"/>
  <c r="DM55" i="7"/>
  <c r="DM81" i="7"/>
  <c r="DN77" i="7"/>
  <c r="E25" i="4"/>
  <c r="D25" i="4"/>
  <c r="F25" i="4" s="1"/>
  <c r="G25" i="4"/>
  <c r="B26" i="4" s="1"/>
  <c r="DP66" i="7"/>
  <c r="DM63" i="7" l="1"/>
  <c r="DN55" i="7"/>
  <c r="DM56" i="7"/>
  <c r="DO77" i="7"/>
  <c r="DN81" i="7"/>
  <c r="DQ66" i="7"/>
  <c r="E26" i="4"/>
  <c r="D26" i="4"/>
  <c r="DL57" i="7"/>
  <c r="DL86" i="7"/>
  <c r="U37" i="5" s="1"/>
  <c r="DL87" i="7"/>
  <c r="U43" i="5" s="1"/>
  <c r="DO29" i="7"/>
  <c r="DO31" i="7" s="1"/>
  <c r="DO78" i="7" s="1"/>
  <c r="DP24" i="7"/>
  <c r="DM83" i="7"/>
  <c r="V21" i="5" s="1"/>
  <c r="DP29" i="7" l="1"/>
  <c r="DP31" i="7" s="1"/>
  <c r="DP78" i="7" s="1"/>
  <c r="DQ24" i="7"/>
  <c r="DN83" i="7"/>
  <c r="W21" i="5" s="1"/>
  <c r="DP77" i="7"/>
  <c r="DO81" i="7"/>
  <c r="DM57" i="7"/>
  <c r="DM86" i="7"/>
  <c r="V37" i="5" s="1"/>
  <c r="DM87" i="7"/>
  <c r="V43" i="5" s="1"/>
  <c r="DN63" i="7"/>
  <c r="DN56" i="7"/>
  <c r="DO55" i="7"/>
  <c r="DR66" i="7"/>
  <c r="F26" i="4"/>
  <c r="G26" i="4" s="1"/>
  <c r="B27" i="4" s="1"/>
  <c r="DO56" i="7" l="1"/>
  <c r="DO63" i="7"/>
  <c r="DO83" i="7" s="1"/>
  <c r="X21" i="5" s="1"/>
  <c r="DP55" i="7"/>
  <c r="DN57" i="7"/>
  <c r="DN86" i="7"/>
  <c r="W37" i="5" s="1"/>
  <c r="DN87" i="7"/>
  <c r="W43" i="5" s="1"/>
  <c r="DQ29" i="7"/>
  <c r="DQ31" i="7" s="1"/>
  <c r="DQ78" i="7" s="1"/>
  <c r="DR24" i="7"/>
  <c r="E27" i="4"/>
  <c r="D27" i="4"/>
  <c r="F27" i="4" s="1"/>
  <c r="G27" i="4"/>
  <c r="B28" i="4" s="1"/>
  <c r="DS66" i="7"/>
  <c r="DP81" i="7"/>
  <c r="DQ77" i="7"/>
  <c r="DQ81" i="7" l="1"/>
  <c r="DR77" i="7"/>
  <c r="DP83" i="7"/>
  <c r="Y21" i="5" s="1"/>
  <c r="DT66" i="7"/>
  <c r="E28" i="4"/>
  <c r="D28" i="4"/>
  <c r="F28" i="4" s="1"/>
  <c r="G28" i="4" s="1"/>
  <c r="B29" i="4" s="1"/>
  <c r="DP63" i="7"/>
  <c r="DQ55" i="7"/>
  <c r="DP56" i="7"/>
  <c r="DO57" i="7"/>
  <c r="DO86" i="7"/>
  <c r="X37" i="5" s="1"/>
  <c r="DO87" i="7"/>
  <c r="X43" i="5" s="1"/>
  <c r="DR29" i="7"/>
  <c r="DR31" i="7" s="1"/>
  <c r="DR78" i="7" s="1"/>
  <c r="DS24" i="7"/>
  <c r="E29" i="4" l="1"/>
  <c r="D29" i="4"/>
  <c r="F29" i="4" s="1"/>
  <c r="G29" i="4"/>
  <c r="B30" i="4" s="1"/>
  <c r="DU66" i="7"/>
  <c r="DP57" i="7"/>
  <c r="DP86" i="7"/>
  <c r="Y37" i="5" s="1"/>
  <c r="DP87" i="7"/>
  <c r="Y43" i="5" s="1"/>
  <c r="DQ63" i="7"/>
  <c r="DR55" i="7"/>
  <c r="DQ56" i="7"/>
  <c r="DS77" i="7"/>
  <c r="DR81" i="7"/>
  <c r="DT24" i="7"/>
  <c r="DS29" i="7"/>
  <c r="DS31" i="7" s="1"/>
  <c r="DS78" i="7" s="1"/>
  <c r="DQ83" i="7"/>
  <c r="Z21" i="5" s="1"/>
  <c r="DT29" i="7" l="1"/>
  <c r="DT31" i="7" s="1"/>
  <c r="DT78" i="7" s="1"/>
  <c r="DU24" i="7"/>
  <c r="DV66" i="7"/>
  <c r="DQ86" i="7"/>
  <c r="Z37" i="5" s="1"/>
  <c r="DQ87" i="7"/>
  <c r="Z43" i="5" s="1"/>
  <c r="DT77" i="7"/>
  <c r="DS81" i="7"/>
  <c r="E30" i="4"/>
  <c r="D30" i="4"/>
  <c r="F30" i="4" s="1"/>
  <c r="G30" i="4"/>
  <c r="B31" i="4" s="1"/>
  <c r="DR56" i="7"/>
  <c r="DR63" i="7"/>
  <c r="DR83" i="7" s="1"/>
  <c r="AA21" i="5" s="1"/>
  <c r="DS55" i="7"/>
  <c r="DR86" i="7" l="1"/>
  <c r="AA37" i="5" s="1"/>
  <c r="DR87" i="7"/>
  <c r="AA43" i="5" s="1"/>
  <c r="E31" i="4"/>
  <c r="D31" i="4"/>
  <c r="F31" i="4" s="1"/>
  <c r="G31" i="4"/>
  <c r="B32" i="4" s="1"/>
  <c r="DW66" i="7"/>
  <c r="DT55" i="7"/>
  <c r="DS56" i="7"/>
  <c r="DS63" i="7"/>
  <c r="DS83" i="7"/>
  <c r="AB21" i="5" s="1"/>
  <c r="DU29" i="7"/>
  <c r="DU31" i="7" s="1"/>
  <c r="DU78" i="7" s="1"/>
  <c r="DV24" i="7"/>
  <c r="DU77" i="7"/>
  <c r="DT81" i="7"/>
  <c r="DT56" i="7" l="1"/>
  <c r="DT63" i="7"/>
  <c r="DU55" i="7"/>
  <c r="DX66" i="7"/>
  <c r="DT83" i="7"/>
  <c r="AC21" i="5" s="1"/>
  <c r="DU81" i="7"/>
  <c r="DV77" i="7"/>
  <c r="DV29" i="7"/>
  <c r="DV31" i="7" s="1"/>
  <c r="DV78" i="7" s="1"/>
  <c r="DW24" i="7"/>
  <c r="E32" i="4"/>
  <c r="D32" i="4"/>
  <c r="F32" i="4" s="1"/>
  <c r="G32" i="4"/>
  <c r="B33" i="4" s="1"/>
  <c r="DS86" i="7"/>
  <c r="AB37" i="5" s="1"/>
  <c r="DS87" i="7"/>
  <c r="AB43" i="5" s="1"/>
  <c r="E33" i="4" l="1"/>
  <c r="D33" i="4"/>
  <c r="F33" i="4" s="1"/>
  <c r="G33" i="4"/>
  <c r="B34" i="4" s="1"/>
  <c r="DY66" i="7"/>
  <c r="DX24" i="7"/>
  <c r="DW29" i="7"/>
  <c r="DW31" i="7" s="1"/>
  <c r="DW78" i="7" s="1"/>
  <c r="DU63" i="7"/>
  <c r="DU83" i="7" s="1"/>
  <c r="AD21" i="5" s="1"/>
  <c r="DU56" i="7"/>
  <c r="DV55" i="7"/>
  <c r="DV81" i="7"/>
  <c r="DW77" i="7"/>
  <c r="DT86" i="7"/>
  <c r="AC37" i="5" s="1"/>
  <c r="DT87" i="7"/>
  <c r="AC43" i="5" s="1"/>
  <c r="DX29" i="7" l="1"/>
  <c r="DX31" i="7" s="1"/>
  <c r="DX78" i="7" s="1"/>
  <c r="DY24" i="7"/>
  <c r="DZ66" i="7"/>
  <c r="E34" i="4"/>
  <c r="D34" i="4"/>
  <c r="F34" i="4" s="1"/>
  <c r="G34" i="4"/>
  <c r="B35" i="4" s="1"/>
  <c r="DU86" i="7"/>
  <c r="AD37" i="5" s="1"/>
  <c r="DU87" i="7"/>
  <c r="AD43" i="5" s="1"/>
  <c r="DW81" i="7"/>
  <c r="DX77" i="7"/>
  <c r="DV63" i="7"/>
  <c r="DV83" i="7" s="1"/>
  <c r="AE21" i="5" s="1"/>
  <c r="DW55" i="7"/>
  <c r="DV56" i="7"/>
  <c r="DV86" i="7" l="1"/>
  <c r="AE37" i="5" s="1"/>
  <c r="DV87" i="7"/>
  <c r="AE43" i="5" s="1"/>
  <c r="EA66" i="7"/>
  <c r="DX81" i="7"/>
  <c r="DY77" i="7"/>
  <c r="DZ24" i="7"/>
  <c r="DY29" i="7"/>
  <c r="DY31" i="7" s="1"/>
  <c r="DY78" i="7" s="1"/>
  <c r="E35" i="4"/>
  <c r="D35" i="4"/>
  <c r="F35" i="4" s="1"/>
  <c r="G35" i="4"/>
  <c r="B36" i="4" s="1"/>
  <c r="DW63" i="7"/>
  <c r="DX55" i="7"/>
  <c r="DW56" i="7"/>
  <c r="DW83" i="7"/>
  <c r="AF21" i="5" s="1"/>
  <c r="E36" i="4" l="1"/>
  <c r="D36" i="4"/>
  <c r="F36" i="4" s="1"/>
  <c r="G36" i="4"/>
  <c r="B37" i="4" s="1"/>
  <c r="EA24" i="7"/>
  <c r="DZ29" i="7"/>
  <c r="DZ31" i="7" s="1"/>
  <c r="DZ78" i="7" s="1"/>
  <c r="DW86" i="7"/>
  <c r="AF37" i="5" s="1"/>
  <c r="DW87" i="7"/>
  <c r="AF43" i="5" s="1"/>
  <c r="DY81" i="7"/>
  <c r="DZ77" i="7"/>
  <c r="DX56" i="7"/>
  <c r="DX63" i="7"/>
  <c r="DY55" i="7"/>
  <c r="DX83" i="7"/>
  <c r="AG21" i="5" s="1"/>
  <c r="EB66" i="7"/>
  <c r="EC66" i="7" l="1"/>
  <c r="DY56" i="7"/>
  <c r="DZ55" i="7"/>
  <c r="DY63" i="7"/>
  <c r="E37" i="4"/>
  <c r="D37" i="4"/>
  <c r="F37" i="4" s="1"/>
  <c r="G37" i="4"/>
  <c r="B38" i="4" s="1"/>
  <c r="DZ81" i="7"/>
  <c r="EA77" i="7"/>
  <c r="EB24" i="7"/>
  <c r="EA29" i="7"/>
  <c r="EA31" i="7" s="1"/>
  <c r="EA78" i="7" s="1"/>
  <c r="DX86" i="7"/>
  <c r="AG37" i="5" s="1"/>
  <c r="DX87" i="7"/>
  <c r="AG43" i="5" s="1"/>
  <c r="DY83" i="7"/>
  <c r="AH21" i="5" s="1"/>
  <c r="E38" i="4" l="1"/>
  <c r="D38" i="4"/>
  <c r="F38" i="4" s="1"/>
  <c r="G38" i="4"/>
  <c r="CW67" i="7" a="1"/>
  <c r="CU68" i="7" a="1"/>
  <c r="EB77" i="7"/>
  <c r="EA81" i="7"/>
  <c r="EC24" i="7"/>
  <c r="EB29" i="7"/>
  <c r="EB31" i="7" s="1"/>
  <c r="EB78" i="7" s="1"/>
  <c r="EA55" i="7"/>
  <c r="DZ63" i="7"/>
  <c r="DZ83" i="7" s="1"/>
  <c r="AI21" i="5" s="1"/>
  <c r="DZ56" i="7"/>
  <c r="DY86" i="7"/>
  <c r="AH37" i="5" s="1"/>
  <c r="DY87" i="7"/>
  <c r="AH43" i="5" s="1"/>
  <c r="ED66" i="7"/>
  <c r="EC77" i="7" l="1"/>
  <c r="EB81" i="7"/>
  <c r="EB68" i="7"/>
  <c r="DT68" i="7"/>
  <c r="DL68" i="7"/>
  <c r="DD68" i="7"/>
  <c r="CV68" i="7"/>
  <c r="CV73" i="7" s="1"/>
  <c r="EA68" i="7"/>
  <c r="DS68" i="7"/>
  <c r="DK68" i="7"/>
  <c r="DC68" i="7"/>
  <c r="DX68" i="7"/>
  <c r="DP68" i="7"/>
  <c r="DH68" i="7"/>
  <c r="CZ68" i="7"/>
  <c r="DV68" i="7"/>
  <c r="DI68" i="7"/>
  <c r="CW68" i="7"/>
  <c r="DU68" i="7"/>
  <c r="DG68" i="7"/>
  <c r="CU68" i="7"/>
  <c r="CU73" i="7" s="1"/>
  <c r="DR68" i="7"/>
  <c r="DF68" i="7"/>
  <c r="DQ68" i="7"/>
  <c r="CY68" i="7"/>
  <c r="DO68" i="7"/>
  <c r="CX68" i="7"/>
  <c r="DN68" i="7"/>
  <c r="ED68" i="7"/>
  <c r="DM68" i="7"/>
  <c r="EC68" i="7"/>
  <c r="DJ68" i="7"/>
  <c r="DZ68" i="7"/>
  <c r="DW68" i="7"/>
  <c r="DB68" i="7"/>
  <c r="DY68" i="7"/>
  <c r="DE68" i="7"/>
  <c r="DA68" i="7"/>
  <c r="DZ86" i="7"/>
  <c r="AI37" i="5" s="1"/>
  <c r="DZ87" i="7"/>
  <c r="AI43" i="5" s="1"/>
  <c r="EA67" i="7"/>
  <c r="DS67" i="7"/>
  <c r="DS73" i="7" s="1"/>
  <c r="DK67" i="7"/>
  <c r="DK73" i="7" s="1"/>
  <c r="DC67" i="7"/>
  <c r="DC73" i="7" s="1"/>
  <c r="EE67" i="7"/>
  <c r="DW67" i="7"/>
  <c r="DW73" i="7" s="1"/>
  <c r="DO67" i="7"/>
  <c r="DO73" i="7" s="1"/>
  <c r="DG67" i="7"/>
  <c r="CY67" i="7"/>
  <c r="CY73" i="7" s="1"/>
  <c r="DX67" i="7"/>
  <c r="DM67" i="7"/>
  <c r="DB67" i="7"/>
  <c r="DB73" i="7" s="1"/>
  <c r="DV67" i="7"/>
  <c r="DL67" i="7"/>
  <c r="DL73" i="7" s="1"/>
  <c r="DA67" i="7"/>
  <c r="DA73" i="7" s="1"/>
  <c r="DU67" i="7"/>
  <c r="DH67" i="7"/>
  <c r="DT67" i="7"/>
  <c r="DF67" i="7"/>
  <c r="EF67" i="7"/>
  <c r="DR67" i="7"/>
  <c r="DR73" i="7" s="1"/>
  <c r="DE67" i="7"/>
  <c r="DE73" i="7" s="1"/>
  <c r="ED67" i="7"/>
  <c r="ED73" i="7" s="1"/>
  <c r="DQ67" i="7"/>
  <c r="DD67" i="7"/>
  <c r="EC67" i="7"/>
  <c r="DP67" i="7"/>
  <c r="CZ67" i="7"/>
  <c r="DY67" i="7"/>
  <c r="DY73" i="7" s="1"/>
  <c r="DJ67" i="7"/>
  <c r="CX67" i="7"/>
  <c r="CX73" i="7" s="1"/>
  <c r="CW67" i="7"/>
  <c r="CW73" i="7" s="1"/>
  <c r="EB67" i="7"/>
  <c r="DI67" i="7"/>
  <c r="DI73" i="7" s="1"/>
  <c r="DZ67" i="7"/>
  <c r="DZ73" i="7" s="1"/>
  <c r="DN67" i="7"/>
  <c r="DN73" i="7" s="1"/>
  <c r="EB55" i="7"/>
  <c r="EA56" i="7"/>
  <c r="EA63" i="7"/>
  <c r="EA83" i="7" s="1"/>
  <c r="AJ21" i="5" s="1"/>
  <c r="EE66" i="7"/>
  <c r="EC29" i="7"/>
  <c r="EC31" i="7" s="1"/>
  <c r="EC78" i="7" s="1"/>
  <c r="ED24" i="7"/>
  <c r="DE85" i="7" l="1"/>
  <c r="N15" i="5" s="1"/>
  <c r="DE84" i="7"/>
  <c r="N9" i="5" s="1"/>
  <c r="CV85" i="7"/>
  <c r="E15" i="5" s="1"/>
  <c r="CV84" i="7"/>
  <c r="E9" i="5" s="1"/>
  <c r="CX84" i="7"/>
  <c r="G9" i="5" s="1"/>
  <c r="CX85" i="7"/>
  <c r="G15" i="5" s="1"/>
  <c r="DO84" i="7"/>
  <c r="X9" i="5" s="1"/>
  <c r="DO85" i="7"/>
  <c r="X15" i="5" s="1"/>
  <c r="EA86" i="7"/>
  <c r="AJ37" i="5" s="1"/>
  <c r="EA87" i="7"/>
  <c r="AJ43" i="5" s="1"/>
  <c r="DL85" i="7"/>
  <c r="U15" i="5" s="1"/>
  <c r="DL84" i="7"/>
  <c r="U9" i="5" s="1"/>
  <c r="DY84" i="7"/>
  <c r="AH9" i="5" s="1"/>
  <c r="DY85" i="7"/>
  <c r="AH15" i="5" s="1"/>
  <c r="DR84" i="7"/>
  <c r="AA9" i="5" s="1"/>
  <c r="DR85" i="7"/>
  <c r="AA15" i="5" s="1"/>
  <c r="ED29" i="7"/>
  <c r="ED31" i="7" s="1"/>
  <c r="ED78" i="7" s="1"/>
  <c r="EE24" i="7"/>
  <c r="CZ73" i="7"/>
  <c r="DB84" i="7"/>
  <c r="K9" i="5" s="1"/>
  <c r="DB85" i="7"/>
  <c r="K15" i="5" s="1"/>
  <c r="DC84" i="7"/>
  <c r="L9" i="5" s="1"/>
  <c r="DC85" i="7"/>
  <c r="L15" i="5" s="1"/>
  <c r="CU84" i="7"/>
  <c r="D9" i="5" s="1"/>
  <c r="CU85" i="7"/>
  <c r="D15" i="5" s="1"/>
  <c r="DZ84" i="7"/>
  <c r="AI9" i="5" s="1"/>
  <c r="DZ85" i="7"/>
  <c r="AI15" i="5" s="1"/>
  <c r="DM73" i="7"/>
  <c r="EF66" i="7"/>
  <c r="EE73" i="7"/>
  <c r="DI85" i="7"/>
  <c r="R15" i="5" s="1"/>
  <c r="DI84" i="7"/>
  <c r="R9" i="5" s="1"/>
  <c r="EC73" i="7"/>
  <c r="DX73" i="7"/>
  <c r="EB73" i="7"/>
  <c r="DD73" i="7"/>
  <c r="DH73" i="7"/>
  <c r="CY84" i="7"/>
  <c r="H9" i="5" s="1"/>
  <c r="CY85" i="7"/>
  <c r="H15" i="5" s="1"/>
  <c r="EA73" i="7"/>
  <c r="EB83" i="7"/>
  <c r="AK21" i="5" s="1"/>
  <c r="DA84" i="7"/>
  <c r="J9" i="5" s="1"/>
  <c r="DA85" i="7"/>
  <c r="J15" i="5" s="1"/>
  <c r="DJ73" i="7"/>
  <c r="DW84" i="7"/>
  <c r="AF9" i="5" s="1"/>
  <c r="DW85" i="7"/>
  <c r="AF15" i="5" s="1"/>
  <c r="EB56" i="7"/>
  <c r="EB63" i="7"/>
  <c r="EC55" i="7"/>
  <c r="DV73" i="7"/>
  <c r="DN84" i="7"/>
  <c r="W9" i="5" s="1"/>
  <c r="DN85" i="7"/>
  <c r="W15" i="5" s="1"/>
  <c r="DP73" i="7"/>
  <c r="DF73" i="7"/>
  <c r="DK84" i="7"/>
  <c r="T9" i="5" s="1"/>
  <c r="DK85" i="7"/>
  <c r="T15" i="5" s="1"/>
  <c r="DT73" i="7"/>
  <c r="DS84" i="7"/>
  <c r="AB9" i="5" s="1"/>
  <c r="DS85" i="7"/>
  <c r="AB15" i="5" s="1"/>
  <c r="CW85" i="7"/>
  <c r="F15" i="5" s="1"/>
  <c r="CW84" i="7"/>
  <c r="F9" i="5" s="1"/>
  <c r="DQ73" i="7"/>
  <c r="DU73" i="7"/>
  <c r="DG73" i="7"/>
  <c r="EC81" i="7"/>
  <c r="ED77" i="7"/>
  <c r="DP85" i="7" l="1"/>
  <c r="Y15" i="5" s="1"/>
  <c r="DP84" i="7"/>
  <c r="Y9" i="5" s="1"/>
  <c r="DH85" i="7"/>
  <c r="Q15" i="5" s="1"/>
  <c r="DH84" i="7"/>
  <c r="Q9" i="5" s="1"/>
  <c r="EG66" i="7"/>
  <c r="EF73" i="7"/>
  <c r="DX85" i="7"/>
  <c r="AG15" i="5" s="1"/>
  <c r="DX84" i="7"/>
  <c r="AG9" i="5" s="1"/>
  <c r="EE29" i="7"/>
  <c r="EE31" i="7" s="1"/>
  <c r="EE78" i="7" s="1"/>
  <c r="EF24" i="7"/>
  <c r="CZ85" i="7"/>
  <c r="I15" i="5" s="1"/>
  <c r="CZ84" i="7"/>
  <c r="I9" i="5" s="1"/>
  <c r="EC63" i="7"/>
  <c r="EC83" i="7" s="1"/>
  <c r="AL21" i="5" s="1"/>
  <c r="EC56" i="7"/>
  <c r="EC85" i="7" s="1"/>
  <c r="AL15" i="5" s="1"/>
  <c r="ED55" i="7"/>
  <c r="EC84" i="7"/>
  <c r="AL9" i="5" s="1"/>
  <c r="DU85" i="7"/>
  <c r="AD15" i="5" s="1"/>
  <c r="DU84" i="7"/>
  <c r="AD9" i="5" s="1"/>
  <c r="EA84" i="7"/>
  <c r="AJ9" i="5" s="1"/>
  <c r="EA85" i="7"/>
  <c r="AJ15" i="5" s="1"/>
  <c r="DJ84" i="7"/>
  <c r="S9" i="5" s="1"/>
  <c r="DJ85" i="7"/>
  <c r="S15" i="5" s="1"/>
  <c r="DD85" i="7"/>
  <c r="M15" i="5" s="1"/>
  <c r="DD84" i="7"/>
  <c r="M9" i="5" s="1"/>
  <c r="DM84" i="7"/>
  <c r="V9" i="5" s="1"/>
  <c r="DM85" i="7"/>
  <c r="V15" i="5" s="1"/>
  <c r="EE77" i="7"/>
  <c r="ED81" i="7"/>
  <c r="EB85" i="7"/>
  <c r="AK15" i="5" s="1"/>
  <c r="EB84" i="7"/>
  <c r="AK9" i="5" s="1"/>
  <c r="DT85" i="7"/>
  <c r="AC15" i="5" s="1"/>
  <c r="DT84" i="7"/>
  <c r="AC9" i="5" s="1"/>
  <c r="DV85" i="7"/>
  <c r="AE15" i="5" s="1"/>
  <c r="DV84" i="7"/>
  <c r="AE9" i="5" s="1"/>
  <c r="DG84" i="7"/>
  <c r="P9" i="5" s="1"/>
  <c r="DG85" i="7"/>
  <c r="P15" i="5" s="1"/>
  <c r="DQ85" i="7"/>
  <c r="Z15" i="5" s="1"/>
  <c r="DQ84" i="7"/>
  <c r="Z9" i="5" s="1"/>
  <c r="DF85" i="7"/>
  <c r="O15" i="5" s="1"/>
  <c r="DF84" i="7"/>
  <c r="O9" i="5" s="1"/>
  <c r="EB86" i="7"/>
  <c r="AK37" i="5" s="1"/>
  <c r="EB87" i="7"/>
  <c r="AK43" i="5" s="1"/>
  <c r="EF77" i="7" l="1"/>
  <c r="EE81" i="7"/>
  <c r="EG73" i="7"/>
  <c r="EH66" i="7"/>
  <c r="EF29" i="7"/>
  <c r="EF31" i="7" s="1"/>
  <c r="EF78" i="7" s="1"/>
  <c r="EG24" i="7"/>
  <c r="ED84" i="7"/>
  <c r="AM9" i="5" s="1"/>
  <c r="EC86" i="7"/>
  <c r="AL37" i="5" s="1"/>
  <c r="EC87" i="7"/>
  <c r="AL43" i="5" s="1"/>
  <c r="ED63" i="7"/>
  <c r="ED83" i="7" s="1"/>
  <c r="AM21" i="5" s="1"/>
  <c r="EE55" i="7"/>
  <c r="ED56" i="7"/>
  <c r="EG29" i="7" l="1"/>
  <c r="EG31" i="7" s="1"/>
  <c r="EG78" i="7" s="1"/>
  <c r="EH24" i="7"/>
  <c r="EE56" i="7"/>
  <c r="EF55" i="7"/>
  <c r="EE63" i="7"/>
  <c r="EH73" i="7"/>
  <c r="EI66" i="7"/>
  <c r="ED86" i="7"/>
  <c r="AM37" i="5" s="1"/>
  <c r="ED85" i="7"/>
  <c r="AM15" i="5" s="1"/>
  <c r="ED87" i="7"/>
  <c r="AM43" i="5" s="1"/>
  <c r="EE83" i="7"/>
  <c r="AN21" i="5" s="1"/>
  <c r="EE84" i="7"/>
  <c r="AN9" i="5" s="1"/>
  <c r="EF81" i="7"/>
  <c r="EG77" i="7"/>
  <c r="EE86" i="7" l="1"/>
  <c r="AN37" i="5" s="1"/>
  <c r="EE85" i="7"/>
  <c r="AN15" i="5" s="1"/>
  <c r="EE87" i="7"/>
  <c r="AN43" i="5" s="1"/>
  <c r="EH29" i="7"/>
  <c r="EH31" i="7" s="1"/>
  <c r="EH78" i="7" s="1"/>
  <c r="EI24" i="7"/>
  <c r="EF83" i="7"/>
  <c r="AO21" i="5" s="1"/>
  <c r="EF84" i="7"/>
  <c r="AO9" i="5" s="1"/>
  <c r="EJ66" i="7"/>
  <c r="EI73" i="7"/>
  <c r="EF56" i="7"/>
  <c r="EG55" i="7"/>
  <c r="EF63" i="7"/>
  <c r="EG81" i="7"/>
  <c r="EH77" i="7"/>
  <c r="EH81" i="7" l="1"/>
  <c r="EI77" i="7"/>
  <c r="EG84" i="7"/>
  <c r="AP9" i="5" s="1"/>
  <c r="EJ24" i="7"/>
  <c r="EI29" i="7"/>
  <c r="EI31" i="7" s="1"/>
  <c r="EI78" i="7" s="1"/>
  <c r="EG63" i="7"/>
  <c r="EG83" i="7" s="1"/>
  <c r="AP21" i="5" s="1"/>
  <c r="EG56" i="7"/>
  <c r="EH55" i="7"/>
  <c r="EK66" i="7"/>
  <c r="EJ73" i="7"/>
  <c r="EF86" i="7"/>
  <c r="AO37" i="5" s="1"/>
  <c r="EF85" i="7"/>
  <c r="AO15" i="5" s="1"/>
  <c r="EF87" i="7"/>
  <c r="AO43" i="5" s="1"/>
  <c r="EK24" i="7" l="1"/>
  <c r="EJ29" i="7"/>
  <c r="EJ31" i="7" s="1"/>
  <c r="EJ78" i="7" s="1"/>
  <c r="EJ77" i="7"/>
  <c r="EI81" i="7"/>
  <c r="EL66" i="7"/>
  <c r="EK73" i="7"/>
  <c r="EH56" i="7"/>
  <c r="EI55" i="7"/>
  <c r="EH63" i="7"/>
  <c r="EG86" i="7"/>
  <c r="AP37" i="5" s="1"/>
  <c r="EG85" i="7"/>
  <c r="AP15" i="5" s="1"/>
  <c r="EG87" i="7"/>
  <c r="AP43" i="5" s="1"/>
  <c r="EH83" i="7"/>
  <c r="AQ21" i="5" s="1"/>
  <c r="EH84" i="7"/>
  <c r="AQ9" i="5" s="1"/>
  <c r="EH86" i="7" l="1"/>
  <c r="AQ37" i="5" s="1"/>
  <c r="EH85" i="7"/>
  <c r="AQ15" i="5" s="1"/>
  <c r="EH87" i="7"/>
  <c r="AQ43" i="5" s="1"/>
  <c r="EL73" i="7"/>
  <c r="EM66" i="7"/>
  <c r="EI83" i="7"/>
  <c r="AR21" i="5" s="1"/>
  <c r="EI84" i="7"/>
  <c r="AR9" i="5" s="1"/>
  <c r="EJ55" i="7"/>
  <c r="EI56" i="7"/>
  <c r="EI63" i="7"/>
  <c r="EK77" i="7"/>
  <c r="EJ81" i="7"/>
  <c r="EK29" i="7"/>
  <c r="EK31" i="7" s="1"/>
  <c r="EK78" i="7" s="1"/>
  <c r="EL24" i="7"/>
  <c r="EN66" i="7" l="1"/>
  <c r="EM73" i="7"/>
  <c r="EJ83" i="7"/>
  <c r="AS21" i="5" s="1"/>
  <c r="EJ84" i="7"/>
  <c r="AS9" i="5" s="1"/>
  <c r="EK81" i="7"/>
  <c r="EL77" i="7"/>
  <c r="EJ56" i="7"/>
  <c r="EK55" i="7"/>
  <c r="EJ63" i="7"/>
  <c r="EL29" i="7"/>
  <c r="EL31" i="7" s="1"/>
  <c r="EL78" i="7" s="1"/>
  <c r="EM24" i="7"/>
  <c r="EI86" i="7"/>
  <c r="AR37" i="5" s="1"/>
  <c r="EI85" i="7"/>
  <c r="AR15" i="5" s="1"/>
  <c r="EI87" i="7"/>
  <c r="AR43" i="5" s="1"/>
  <c r="EJ86" i="7" l="1"/>
  <c r="AS37" i="5" s="1"/>
  <c r="EJ85" i="7"/>
  <c r="AS15" i="5" s="1"/>
  <c r="EJ87" i="7"/>
  <c r="AS43" i="5" s="1"/>
  <c r="EO66" i="7"/>
  <c r="EN73" i="7"/>
  <c r="EL81" i="7"/>
  <c r="EM77" i="7"/>
  <c r="EM29" i="7"/>
  <c r="EM31" i="7" s="1"/>
  <c r="EM78" i="7" s="1"/>
  <c r="EN24" i="7"/>
  <c r="EK84" i="7"/>
  <c r="AT9" i="5" s="1"/>
  <c r="EK63" i="7"/>
  <c r="EK83" i="7" s="1"/>
  <c r="AT21" i="5" s="1"/>
  <c r="EK56" i="7"/>
  <c r="EL55" i="7"/>
  <c r="EK86" i="7" l="1"/>
  <c r="AT37" i="5" s="1"/>
  <c r="EK85" i="7"/>
  <c r="AT15" i="5" s="1"/>
  <c r="EK87" i="7"/>
  <c r="AT43" i="5" s="1"/>
  <c r="EN77" i="7"/>
  <c r="EM81" i="7"/>
  <c r="EL83" i="7"/>
  <c r="AU21" i="5" s="1"/>
  <c r="EL84" i="7"/>
  <c r="AU9" i="5" s="1"/>
  <c r="EO73" i="7"/>
  <c r="EP66" i="7"/>
  <c r="EL63" i="7"/>
  <c r="EM55" i="7"/>
  <c r="EL56" i="7"/>
  <c r="EN29" i="7"/>
  <c r="EN31" i="7" s="1"/>
  <c r="EN78" i="7" s="1"/>
  <c r="EO24" i="7"/>
  <c r="EM63" i="7" l="1"/>
  <c r="EM56" i="7"/>
  <c r="EN55" i="7"/>
  <c r="EP73" i="7"/>
  <c r="EQ66" i="7"/>
  <c r="EL86" i="7"/>
  <c r="AU37" i="5" s="1"/>
  <c r="EL85" i="7"/>
  <c r="AU15" i="5" s="1"/>
  <c r="EL87" i="7"/>
  <c r="AU43" i="5" s="1"/>
  <c r="EM83" i="7"/>
  <c r="AV21" i="5" s="1"/>
  <c r="EM84" i="7"/>
  <c r="AV9" i="5" s="1"/>
  <c r="EN81" i="7"/>
  <c r="EO77" i="7"/>
  <c r="EO29" i="7"/>
  <c r="EO31" i="7" s="1"/>
  <c r="EO78" i="7" s="1"/>
  <c r="EP24" i="7"/>
  <c r="EQ73" i="7" l="1"/>
  <c r="ER66" i="7"/>
  <c r="EO81" i="7"/>
  <c r="EP77" i="7"/>
  <c r="EN83" i="7"/>
  <c r="AW21" i="5" s="1"/>
  <c r="EN84" i="7"/>
  <c r="AW9" i="5" s="1"/>
  <c r="EO55" i="7"/>
  <c r="EN56" i="7"/>
  <c r="EN63" i="7"/>
  <c r="EM86" i="7"/>
  <c r="AV37" i="5" s="1"/>
  <c r="EM85" i="7"/>
  <c r="AV15" i="5" s="1"/>
  <c r="EM87" i="7"/>
  <c r="AV43" i="5" s="1"/>
  <c r="EP29" i="7"/>
  <c r="EP31" i="7" s="1"/>
  <c r="EP78" i="7" s="1"/>
  <c r="EQ24" i="7"/>
  <c r="EN86" i="7" l="1"/>
  <c r="AW37" i="5" s="1"/>
  <c r="EN85" i="7"/>
  <c r="AW15" i="5" s="1"/>
  <c r="EN87" i="7"/>
  <c r="AW43" i="5" s="1"/>
  <c r="EO56" i="7"/>
  <c r="EO63" i="7"/>
  <c r="EO83" i="7" s="1"/>
  <c r="AX21" i="5" s="1"/>
  <c r="EP55" i="7"/>
  <c r="EQ77" i="7"/>
  <c r="EP81" i="7"/>
  <c r="EO84" i="7"/>
  <c r="AX9" i="5" s="1"/>
  <c r="ER73" i="7"/>
  <c r="ES66" i="7"/>
  <c r="ER24" i="7"/>
  <c r="EQ29" i="7"/>
  <c r="EQ31" i="7" s="1"/>
  <c r="EQ78" i="7" s="1"/>
  <c r="ER77" i="7" l="1"/>
  <c r="EQ81" i="7"/>
  <c r="EP56" i="7"/>
  <c r="EQ55" i="7"/>
  <c r="EP63" i="7"/>
  <c r="EO86" i="7"/>
  <c r="AX37" i="5" s="1"/>
  <c r="EO85" i="7"/>
  <c r="AX15" i="5" s="1"/>
  <c r="EO87" i="7"/>
  <c r="AX43" i="5" s="1"/>
  <c r="ER29" i="7"/>
  <c r="ER31" i="7" s="1"/>
  <c r="ER78" i="7" s="1"/>
  <c r="ES24" i="7"/>
  <c r="ES73" i="7"/>
  <c r="ET66" i="7"/>
  <c r="EP83" i="7"/>
  <c r="AY21" i="5" s="1"/>
  <c r="EP84" i="7"/>
  <c r="AY9" i="5" s="1"/>
  <c r="ER55" i="7" l="1"/>
  <c r="EQ56" i="7"/>
  <c r="EQ63" i="7"/>
  <c r="EQ83" i="7"/>
  <c r="AZ21" i="5" s="1"/>
  <c r="EQ84" i="7"/>
  <c r="AZ9" i="5" s="1"/>
  <c r="ET73" i="7"/>
  <c r="EU66" i="7"/>
  <c r="ES29" i="7"/>
  <c r="ES31" i="7" s="1"/>
  <c r="ES78" i="7" s="1"/>
  <c r="ET24" i="7"/>
  <c r="EP86" i="7"/>
  <c r="AY37" i="5" s="1"/>
  <c r="EP85" i="7"/>
  <c r="AY15" i="5" s="1"/>
  <c r="EP87" i="7"/>
  <c r="AY43" i="5" s="1"/>
  <c r="ES77" i="7"/>
  <c r="ER81" i="7"/>
  <c r="ES81" i="7" l="1"/>
  <c r="ET77" i="7"/>
  <c r="EU24" i="7"/>
  <c r="ET29" i="7"/>
  <c r="ET31" i="7" s="1"/>
  <c r="ET78" i="7" s="1"/>
  <c r="EQ86" i="7"/>
  <c r="AZ37" i="5" s="1"/>
  <c r="EQ85" i="7"/>
  <c r="AZ15" i="5" s="1"/>
  <c r="EQ87" i="7"/>
  <c r="AZ43" i="5" s="1"/>
  <c r="ER56" i="7"/>
  <c r="ES55" i="7"/>
  <c r="ER63" i="7"/>
  <c r="ER83" i="7"/>
  <c r="BA21" i="5" s="1"/>
  <c r="ER84" i="7"/>
  <c r="BA9" i="5" s="1"/>
  <c r="EV66" i="7"/>
  <c r="EU73" i="7"/>
  <c r="ER86" i="7" l="1"/>
  <c r="BA37" i="5" s="1"/>
  <c r="ER85" i="7"/>
  <c r="BA15" i="5" s="1"/>
  <c r="ER87" i="7"/>
  <c r="BA43" i="5" s="1"/>
  <c r="ET81" i="7"/>
  <c r="EU77" i="7"/>
  <c r="EW66" i="7"/>
  <c r="EV73" i="7"/>
  <c r="ES63" i="7"/>
  <c r="ET55" i="7"/>
  <c r="ES56" i="7"/>
  <c r="EU29" i="7"/>
  <c r="EU31" i="7" s="1"/>
  <c r="EU78" i="7" s="1"/>
  <c r="EV24" i="7"/>
  <c r="ES83" i="7"/>
  <c r="BB21" i="5" s="1"/>
  <c r="ES84" i="7"/>
  <c r="BB9" i="5" s="1"/>
  <c r="EW73" i="7" l="1"/>
  <c r="EX66" i="7"/>
  <c r="EV29" i="7"/>
  <c r="EV31" i="7" s="1"/>
  <c r="EV78" i="7" s="1"/>
  <c r="EW24" i="7"/>
  <c r="EU81" i="7"/>
  <c r="EV77" i="7"/>
  <c r="ET84" i="7"/>
  <c r="BC9" i="5" s="1"/>
  <c r="ES86" i="7"/>
  <c r="BB37" i="5" s="1"/>
  <c r="ES85" i="7"/>
  <c r="BB15" i="5" s="1"/>
  <c r="ES87" i="7"/>
  <c r="BB43" i="5" s="1"/>
  <c r="ET63" i="7"/>
  <c r="ET83" i="7" s="1"/>
  <c r="BC21" i="5" s="1"/>
  <c r="ET56" i="7"/>
  <c r="EU55" i="7"/>
  <c r="EV81" i="7" l="1"/>
  <c r="EW77" i="7"/>
  <c r="EU84" i="7"/>
  <c r="BD9" i="5" s="1"/>
  <c r="EW29" i="7"/>
  <c r="EW31" i="7" s="1"/>
  <c r="EW78" i="7" s="1"/>
  <c r="EX24" i="7"/>
  <c r="EU56" i="7"/>
  <c r="EU63" i="7"/>
  <c r="EU83" i="7" s="1"/>
  <c r="BD21" i="5" s="1"/>
  <c r="EV55" i="7"/>
  <c r="ET86" i="7"/>
  <c r="BC37" i="5" s="1"/>
  <c r="ET85" i="7"/>
  <c r="BC15" i="5" s="1"/>
  <c r="ET87" i="7"/>
  <c r="BC43" i="5" s="1"/>
  <c r="EX73" i="7"/>
  <c r="EY66" i="7"/>
  <c r="EZ66" i="7" l="1"/>
  <c r="EY73" i="7"/>
  <c r="EW81" i="7"/>
  <c r="EX77" i="7"/>
  <c r="EU86" i="7"/>
  <c r="BD37" i="5" s="1"/>
  <c r="EU85" i="7"/>
  <c r="BD15" i="5" s="1"/>
  <c r="EU87" i="7"/>
  <c r="BD43" i="5" s="1"/>
  <c r="EX29" i="7"/>
  <c r="EX31" i="7" s="1"/>
  <c r="EX78" i="7" s="1"/>
  <c r="EY24" i="7"/>
  <c r="EV63" i="7"/>
  <c r="EW55" i="7"/>
  <c r="EV56" i="7"/>
  <c r="EV83" i="7"/>
  <c r="BE21" i="5" s="1"/>
  <c r="EV84" i="7"/>
  <c r="BE9" i="5" s="1"/>
  <c r="EV86" i="7" l="1"/>
  <c r="BE37" i="5" s="1"/>
  <c r="EV85" i="7"/>
  <c r="BE15" i="5" s="1"/>
  <c r="EV87" i="7"/>
  <c r="BE43" i="5" s="1"/>
  <c r="EW63" i="7"/>
  <c r="EW83" i="7" s="1"/>
  <c r="BF21" i="5" s="1"/>
  <c r="EX55" i="7"/>
  <c r="EW56" i="7"/>
  <c r="EX81" i="7"/>
  <c r="EY77" i="7"/>
  <c r="EW84" i="7"/>
  <c r="BF9" i="5" s="1"/>
  <c r="EZ24" i="7"/>
  <c r="EY29" i="7"/>
  <c r="EY31" i="7" s="1"/>
  <c r="EY78" i="7" s="1"/>
  <c r="FA66" i="7"/>
  <c r="FA73" i="7" s="1"/>
  <c r="EZ73" i="7"/>
  <c r="EW86" i="7" l="1"/>
  <c r="BF37" i="5" s="1"/>
  <c r="EW85" i="7"/>
  <c r="BF15" i="5" s="1"/>
  <c r="EW87" i="7"/>
  <c r="BF43" i="5" s="1"/>
  <c r="EX63" i="7"/>
  <c r="EX83" i="7" s="1"/>
  <c r="BG21" i="5" s="1"/>
  <c r="EX56" i="7"/>
  <c r="EY55" i="7"/>
  <c r="FA24" i="7"/>
  <c r="FA29" i="7" s="1"/>
  <c r="FA31" i="7" s="1"/>
  <c r="FA78" i="7" s="1"/>
  <c r="EZ29" i="7"/>
  <c r="EZ31" i="7" s="1"/>
  <c r="EZ78" i="7" s="1"/>
  <c r="EZ77" i="7"/>
  <c r="EY81" i="7"/>
  <c r="EX84" i="7"/>
  <c r="BG9" i="5" s="1"/>
  <c r="FA77" i="7" l="1"/>
  <c r="FA81" i="7" s="1"/>
  <c r="EZ81" i="7"/>
  <c r="EZ55" i="7"/>
  <c r="EY56" i="7"/>
  <c r="EY63" i="7"/>
  <c r="EY83" i="7" s="1"/>
  <c r="BH21" i="5" s="1"/>
  <c r="EX86" i="7"/>
  <c r="BG37" i="5" s="1"/>
  <c r="EX85" i="7"/>
  <c r="BG15" i="5" s="1"/>
  <c r="EX87" i="7"/>
  <c r="BG43" i="5" s="1"/>
  <c r="EY84" i="7"/>
  <c r="BH9" i="5" s="1"/>
  <c r="EZ84" i="7" l="1"/>
  <c r="BI9" i="5" s="1"/>
  <c r="EY86" i="7"/>
  <c r="BH37" i="5" s="1"/>
  <c r="EY85" i="7"/>
  <c r="BH15" i="5" s="1"/>
  <c r="EY87" i="7"/>
  <c r="BH43" i="5" s="1"/>
  <c r="EZ56" i="7"/>
  <c r="EZ63" i="7"/>
  <c r="EZ83" i="7" s="1"/>
  <c r="BI21" i="5" s="1"/>
  <c r="FA55" i="7"/>
  <c r="FA84" i="7"/>
  <c r="BJ9" i="5" s="1"/>
  <c r="FA63" i="7" l="1"/>
  <c r="FA83" i="7" s="1"/>
  <c r="BJ21" i="5" s="1"/>
  <c r="FA56" i="7"/>
  <c r="EZ86" i="7"/>
  <c r="BI37" i="5" s="1"/>
  <c r="EZ85" i="7"/>
  <c r="BI15" i="5" s="1"/>
  <c r="EZ87" i="7"/>
  <c r="BI43" i="5" s="1"/>
  <c r="FA86" i="7" l="1"/>
  <c r="BJ37" i="5" s="1"/>
  <c r="FA85" i="7"/>
  <c r="BJ15" i="5" s="1"/>
  <c r="FA87" i="7"/>
  <c r="BJ4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4" authorId="0" shapeId="0" xr:uid="{00000000-0006-0000-0000-000001000000}">
      <text>
        <r>
          <rPr>
            <sz val="11"/>
            <color rgb="FF000000"/>
            <rFont val="Aptos Narrow"/>
            <scheme val="minor"/>
          </rPr>
          <t>======
ID#AAAB3suHf00
Denise Cardenas    (2026-04-17 22:32:10)
Agregar aquí el fiduciario, podemos juntar el administrador maestro con núumero fideicomiso 
Hay que hacer esto con el template en general
@rbarron@syscap.com.mx
_Asignado a rbarron@syscap.com.mx_</t>
        </r>
      </text>
    </comment>
  </commentList>
  <extLst>
    <ext xmlns:r="http://schemas.openxmlformats.org/officeDocument/2006/relationships" uri="GoogleSheetsCustomDataVersion2">
      <go:sheetsCustomData xmlns:go="http://customooxmlschemas.google.com/" r:id="rId1" roundtripDataSignature="AMtx7mgZ1dfJyeK3kR0fNnvoY7Y1MdFlv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X37" authorId="0" shapeId="0" xr:uid="{00000000-0006-0000-0500-000001000000}">
      <text>
        <r>
          <rPr>
            <sz val="11"/>
            <color rgb="FF000000"/>
            <rFont val="Aptos Narrow"/>
            <scheme val="minor"/>
          </rPr>
          <t>======
ID#AAABzzTN7Ak
tc={318FA32D-70AC-A04C-B935-7918470130A7}    (2026-02-06 23:24:03)
[Threaded comment]
Your version of Excel allows you to read this threaded comment; however, any edits to it will get removed if the file is opened in a newer version of Excel. Learn more: https://go.microsoft.com/fwlink/?linkid=870924
Comment:
    La categoría se excluye del Balance General, pero se asume que representa está cantidad</t>
        </r>
      </text>
    </comment>
    <comment ref="L46" authorId="0" shapeId="0" xr:uid="{00000000-0006-0000-0500-000002000000}">
      <text>
        <r>
          <rPr>
            <sz val="11"/>
            <color rgb="FF000000"/>
            <rFont val="Aptos Narrow"/>
            <scheme val="minor"/>
          </rPr>
          <t>======
ID#AAAByBk-uX0
cordelia molina cueva    (2025-12-23 18:26:10)
Si se demostró ese aumento en capital</t>
        </r>
      </text>
    </comment>
    <comment ref="L61" authorId="0" shapeId="0" xr:uid="{00000000-0006-0000-0500-000003000000}">
      <text>
        <r>
          <rPr>
            <sz val="11"/>
            <color rgb="FF000000"/>
            <rFont val="Aptos Narrow"/>
            <scheme val="minor"/>
          </rPr>
          <t>======
ID#AAAByBk-uXw
tc={3DC84DEC-0B70-CF4D-87F8-B140A5D6B457}    (2025-12-23 18:26:10)
[Threaded comment]
Your version of Excel allows you to read this threaded comment; however, any edits to it will get removed if the file is opened in a newer version of Excel. Learn more: https://go.microsoft.com/fwlink/?linkid=870924
Comment:
    hacerlo con cartera de dic</t>
        </r>
      </text>
    </comment>
  </commentList>
  <extLst>
    <ext xmlns:r="http://schemas.openxmlformats.org/officeDocument/2006/relationships" uri="GoogleSheetsCustomDataVersion2">
      <go:sheetsCustomData xmlns:go="http://customooxmlschemas.google.com/" r:id="rId1" roundtripDataSignature="AMtx7miiIaR2jeibaKg/LuE+DgwyGagsZQ=="/>
    </ext>
  </extLst>
</comments>
</file>

<file path=xl/sharedStrings.xml><?xml version="1.0" encoding="utf-8"?>
<sst xmlns="http://schemas.openxmlformats.org/spreadsheetml/2006/main" count="682" uniqueCount="503">
  <si>
    <t>FICHA CONTRACTUAL</t>
  </si>
  <si>
    <t>Completar al inicio y actualizar ante cualquier modificación</t>
  </si>
  <si>
    <t xml:space="preserve">  A.  DATOS GENERALES DEL CRÉDITO</t>
  </si>
  <si>
    <t>Acreditado</t>
  </si>
  <si>
    <t>Red Girasol</t>
  </si>
  <si>
    <t>ID del Contrato</t>
  </si>
  <si>
    <t xml:space="preserve">2025LP0007 </t>
  </si>
  <si>
    <t>Razón Social</t>
  </si>
  <si>
    <t xml:space="preserve">RED GIRASOL SAPI DE CV </t>
  </si>
  <si>
    <t>Fecha de Firma</t>
  </si>
  <si>
    <t>RFC</t>
  </si>
  <si>
    <t xml:space="preserve">RGI160414TR9 </t>
  </si>
  <si>
    <t>Fecha de 1ª disposición</t>
  </si>
  <si>
    <t>Tipo de crédito</t>
  </si>
  <si>
    <t>Simple</t>
  </si>
  <si>
    <t>Fecha Vencimiento</t>
  </si>
  <si>
    <t>Monto original (MXN)</t>
  </si>
  <si>
    <t>Sindicado (si aplica)</t>
  </si>
  <si>
    <t>No</t>
  </si>
  <si>
    <t>Plazo (meses)</t>
  </si>
  <si>
    <t>Periodicidad de pago capital</t>
  </si>
  <si>
    <t>Mensual, Despues de 6 meses calendario a partir de la fecha de la primera Disposición</t>
  </si>
  <si>
    <t>Tasa base</t>
  </si>
  <si>
    <t>Administrador Maestro</t>
  </si>
  <si>
    <t>CXC</t>
  </si>
  <si>
    <t>Tipo de tasa</t>
  </si>
  <si>
    <t>FIJA</t>
  </si>
  <si>
    <t>Número de fideicomiso</t>
  </si>
  <si>
    <t>Fideicomiso - 1403</t>
  </si>
  <si>
    <t xml:space="preserve">  B.  COVENANTS — LÍMITES Y NIVELES DE INCUMPLIMIENTO</t>
  </si>
  <si>
    <t>Nivel I: Ajustes generales en covenants |Nivel II: Ajuste de tasa +1% y aforo sube a 1.50x   |   Nivel III: Evento de aceleración</t>
  </si>
  <si>
    <t>Covenant</t>
  </si>
  <si>
    <t>Fórmula Modelo Monitoreo</t>
  </si>
  <si>
    <t>Base</t>
  </si>
  <si>
    <t>Post-ajuste
Nivel I</t>
  </si>
  <si>
    <t>Post-ajuste
Nivel II</t>
  </si>
  <si>
    <t>COVENANTS ESTÁNDAR (aplican a todos los créditos)</t>
  </si>
  <si>
    <t>Rentabilidad Operativa</t>
  </si>
  <si>
    <t>(Gtos venta + Gtos admin + Gtos operación) / (Intereses cobrados + Comisiones cobradas)</t>
  </si>
  <si>
    <t>Cobertura de Deuda</t>
  </si>
  <si>
    <t>Activos productivos / Pasivos totales  [Activos prod. = Bancos + Inversiones + Cartera]</t>
  </si>
  <si>
    <t>Cartera Vencida Neta</t>
  </si>
  <si>
    <t>(Cartera Vencida − Reservas) / (Cartera Vigente + Cartera Vencida)</t>
  </si>
  <si>
    <t>Capitalización</t>
  </si>
  <si>
    <t>(Cartera crédito neta) / Capital Contable Elegible</t>
  </si>
  <si>
    <t>Estimación preventiva de riesgos</t>
  </si>
  <si>
    <t>Reservas / Cartera vencida</t>
  </si>
  <si>
    <t>Coeficiente de liquidez</t>
  </si>
  <si>
    <t>(Efectivo + Inversiones disponibles + Cobranza programada) / Vencimientos deuda programados</t>
  </si>
  <si>
    <t>1.1x</t>
  </si>
  <si>
    <t>1.0x</t>
  </si>
  <si>
    <t>COVENANTS ESPECÍFICOS DEL CONTRATO</t>
  </si>
  <si>
    <t>IMOR 16</t>
  </si>
  <si>
    <t>Cartera vencida 16m / Portafolio 16m</t>
  </si>
  <si>
    <t>≤ 7.5%</t>
  </si>
  <si>
    <t>TBA</t>
  </si>
  <si>
    <t xml:space="preserve">Índice de apalancamiento </t>
  </si>
  <si>
    <t>Pasivo Total/ Capital Contable Ajustado</t>
  </si>
  <si>
    <t>≤ 6.0</t>
  </si>
  <si>
    <t>≤ 5.0</t>
  </si>
  <si>
    <t>Índice de apalancamiento ajustado</t>
  </si>
  <si>
    <t>Pasivo Total / Derechos de Cobro sobre Participaciones</t>
  </si>
  <si>
    <t>≤ 90%</t>
  </si>
  <si>
    <t>≤ 85%</t>
  </si>
  <si>
    <t>Índice de capitalización</t>
  </si>
  <si>
    <t>Capital Contable Ajustado / Activo Total</t>
  </si>
  <si>
    <t>≥ 13%</t>
  </si>
  <si>
    <t>≥ 15%</t>
  </si>
  <si>
    <t>Índice de cartera atrasada</t>
  </si>
  <si>
    <t>Cartera Atrasada / Valor del Portafolio</t>
  </si>
  <si>
    <t>≤ 11%</t>
  </si>
  <si>
    <t>Índice de cartera vencida</t>
  </si>
  <si>
    <t>Cartera Vencida/ Valor del Portafolio</t>
  </si>
  <si>
    <t>≤ 14%</t>
  </si>
  <si>
    <t>Índice de rendimiento</t>
  </si>
  <si>
    <t>Ingresos Agregados / Valor del Portafolio</t>
  </si>
  <si>
    <t>≥ 28%</t>
  </si>
  <si>
    <t>≥ 30%</t>
  </si>
  <si>
    <t>Índice de rentabilidad</t>
  </si>
  <si>
    <t>Utilidad Neta / Valor del Portafolio</t>
  </si>
  <si>
    <t>≥ -2%</t>
  </si>
  <si>
    <t>≥ 0%</t>
  </si>
  <si>
    <t>Aforo mínimo</t>
  </si>
  <si>
    <t>Ver fórmula completa en pestaña EEFF — CTO A</t>
  </si>
  <si>
    <t>≥ 1.35x</t>
  </si>
  <si>
    <t>≥ 1.50x*</t>
  </si>
  <si>
    <t>* El aforo aplicable cambia a 1.50x ante incumplimiento del escenario base de IMOR 16 (IMOR 16 &gt; 7.5%)</t>
  </si>
  <si>
    <t xml:space="preserve">  C.  EVENTOS DE INCUMPLIMIENTO — CONSECUENCIAS POR NIVEL</t>
  </si>
  <si>
    <t>Nivel</t>
  </si>
  <si>
    <t>Descripción</t>
  </si>
  <si>
    <t>Consecuencias contractuales</t>
  </si>
  <si>
    <t>Fecha de activación</t>
  </si>
  <si>
    <t>Nivel I</t>
  </si>
  <si>
    <t>Incumplimiento de Niveles I de los covenants</t>
  </si>
  <si>
    <t>Ajustes en las condiciones generales de los covenants base</t>
  </si>
  <si>
    <t>Nivel II</t>
  </si>
  <si>
    <t>Incumplimiento de Niveles II de los covenants</t>
  </si>
  <si>
    <t>Ajuste de tasa de interés +1% sobre la tasa vigente. Aforo mínimo requerido sube a 1.50x.</t>
  </si>
  <si>
    <t>[Fecha]</t>
  </si>
  <si>
    <t>[Otro evento]</t>
  </si>
  <si>
    <t>[Describir el evento de incumplimiento adicional según el contrato]</t>
  </si>
  <si>
    <t>Se considera Evento de Aceleración. El acreditante puede exigir el pago anticipado de la totalidad del crédito.</t>
  </si>
  <si>
    <t xml:space="preserve">  D.  DEFINICIONES CONTRACTUALES CLAVE</t>
  </si>
  <si>
    <t>Concepto</t>
  </si>
  <si>
    <t>Definición resumida</t>
  </si>
  <si>
    <t>Cartera Vigente</t>
  </si>
  <si>
    <t>Créditos al corriente sin días de atraso.</t>
  </si>
  <si>
    <t>Cartera Atrasada</t>
  </si>
  <si>
    <t>&gt;30 y &lt;90 días de atraso; o adeudo equiv. a pagos entre 30 y 90 días previos.</t>
  </si>
  <si>
    <t>Cartera Vencida</t>
  </si>
  <si>
    <t>En concurso mercantil; ≥90 días de atraso; o adeudo equiv. a 90 días previos.</t>
  </si>
  <si>
    <t>Reservas para futuras pérdidas</t>
  </si>
  <si>
    <t>Estimación preventiva de riesgos constituida conforme a criterios contables aplicables.</t>
  </si>
  <si>
    <t>Capital Contable Ajustado / Elegible</t>
  </si>
  <si>
    <t>Cap. social suscrito + utilidades ejercicios anteriores + utilidades año corriente − CxC neto.</t>
  </si>
  <si>
    <t>Valor del Portafolio</t>
  </si>
  <si>
    <t>Saldo D/C Participaciones − créditos &gt;36 meses que califican como cartera vencida.</t>
  </si>
  <si>
    <t>Activos Productivos</t>
  </si>
  <si>
    <t>Bancos + Inversiones (disponibles y no comprometidas) + Cartera de crédito.</t>
  </si>
  <si>
    <t>Ingresos Agregados</t>
  </si>
  <si>
    <t>Ingresos por comisiones + intereses cobrados. [Verificar definición contractual exacta]</t>
  </si>
  <si>
    <t>Cobranza Programada</t>
  </si>
  <si>
    <t>Pagos de capital e intereses programados para los próximos [n] meses. [Definir según contrato]</t>
  </si>
  <si>
    <t>Vencimientos de Deuda Programados</t>
  </si>
  <si>
    <t>Pagos de capital e intereses de pasivos exigibles en los próximos [n] meses.</t>
  </si>
  <si>
    <t>Valor Presente Neto</t>
  </si>
  <si>
    <t>Flujos futuros descontados a Tasa Interés / 12. Suma de (flujo ÷ (1+Tasa Mensual)^n).</t>
  </si>
  <si>
    <t>[Concepto adicional 1]</t>
  </si>
  <si>
    <t>[Definir según contrato]</t>
  </si>
  <si>
    <t>[Concepto adicional 2]</t>
  </si>
  <si>
    <t>[Concepto adicional 3]</t>
  </si>
  <si>
    <t xml:space="preserve">  E.  CALENDARIO DE DOCUMENTOS REQUERIDOS</t>
  </si>
  <si>
    <t>Documento</t>
  </si>
  <si>
    <t>Frecuencia</t>
  </si>
  <si>
    <t>Día límite</t>
  </si>
  <si>
    <t>Notas</t>
  </si>
  <si>
    <t>Loan Tape</t>
  </si>
  <si>
    <t>Mensual</t>
  </si>
  <si>
    <t>Día 10</t>
  </si>
  <si>
    <t>Cálculo de IMOR, cartera, aforo</t>
  </si>
  <si>
    <t>Estados Financieros (BG + ER)</t>
  </si>
  <si>
    <t>Día 15</t>
  </si>
  <si>
    <t>Certificado de cumplimiento</t>
  </si>
  <si>
    <t>15 días post-cierre</t>
  </si>
  <si>
    <t>Adjuntar pestaña Obligaciones</t>
  </si>
  <si>
    <t>Desglose de Pasivos</t>
  </si>
  <si>
    <t>Trimestral</t>
  </si>
  <si>
    <t>Reporte de Buró de Crédito</t>
  </si>
  <si>
    <t>Día 5</t>
  </si>
  <si>
    <t>Verificar autorización vigente</t>
  </si>
  <si>
    <t>Reporte Syntage</t>
  </si>
  <si>
    <t>Reporte mensual Fideicomiso</t>
  </si>
  <si>
    <t>Solo si aplica</t>
  </si>
  <si>
    <t>Declaraciones fiscales anuales</t>
  </si>
  <si>
    <t>Anual</t>
  </si>
  <si>
    <t>30 días post-presentación</t>
  </si>
  <si>
    <t>[Documento adicional]</t>
  </si>
  <si>
    <t>OBLIGACIONES DE HACER Y NO HACER</t>
  </si>
  <si>
    <t>Documento informativo · Adjuntar al correo de solicitud del certificado de cumplimiento trimestral</t>
  </si>
  <si>
    <t>Este documento  es un resumen ejecutivo sobre las obligaciones contractuales. Las obligaciones completas, sus definiciones y consecuencias de incumplimiento constan en el Contrato de Crédito respectivo.</t>
  </si>
  <si>
    <t xml:space="preserve">  I.  OBLIGACIONES DE HACER</t>
  </si>
  <si>
    <t>#</t>
  </si>
  <si>
    <t>Obligación</t>
  </si>
  <si>
    <t>Frecuencia / Plazo</t>
  </si>
  <si>
    <t>1</t>
  </si>
  <si>
    <t>Entregar balances y estados de resultados internos mensuales dentro de los 15 días posteriores al cierre de cada mes.</t>
  </si>
  <si>
    <t>Mensual — día 15</t>
  </si>
  <si>
    <t>2</t>
  </si>
  <si>
    <t>Proporcionar estados financieros auditados por un contador independiente dentro de los 120 días siguientes al cierre del ejercicio fiscal.</t>
  </si>
  <si>
    <t>Anual — Hasta 120 días</t>
  </si>
  <si>
    <t>3</t>
  </si>
  <si>
    <t>Entregar, junto con la información financiera, un certificado que acredite el cumplimiento de las obligaciones financieras y la inexistencia de incumplimientos.</t>
  </si>
  <si>
    <t>4</t>
  </si>
  <si>
    <t>Mantener una conexión en tiempo real entre sus sistemas contables y de cobranza con el Agente Administrativo y el Administrador Maestro. Que permitan al agente administrativo el acceso en todo momento a la información relacionada con los Derecho de Cobro Transmitidos</t>
  </si>
  <si>
    <t>Continua</t>
  </si>
  <si>
    <t>5</t>
  </si>
  <si>
    <t>Informar al Agente Administrativo sobre cualquier "Efecto Adverso de Importancia" o incumplimiento en un plazo máximo de 5 días hábiles.</t>
  </si>
  <si>
    <t>Inmediato al evento</t>
  </si>
  <si>
    <t>6</t>
  </si>
  <si>
    <t>Notificar sobre litigios cuya cuantía exceda los $5,000,000.00 MXN o multas impuestas por autoridades que superen dicho umbral.</t>
  </si>
  <si>
    <t>7</t>
  </si>
  <si>
    <t>Observar todas las leyes aplicables (especialmente LRITF, LTOSF y LPDUSF), así como presentar y pagar impuestos de manera oportuna.</t>
  </si>
  <si>
    <t>8</t>
  </si>
  <si>
    <t>Realizar todos los actos necesarios para transmitir los Derechos de Cobro al Patrimonio del Fideicomiso y mantener vigente el Contrato de Factoraje.</t>
  </si>
  <si>
    <t>9</t>
  </si>
  <si>
    <t>Mantener covenants financieros dentro de los límites del contrato.</t>
  </si>
  <si>
    <t>10</t>
  </si>
  <si>
    <t>Permitir al Agente Administrativo auditar sus bienes y libros con un aviso previo de 5 días.</t>
  </si>
  <si>
    <t>A Solicitud</t>
  </si>
  <si>
    <t>11</t>
  </si>
  <si>
    <t>Mantener en el fideicomiso el monto necesario para cubrir capital e intereses de la siguiente fecha de pago.</t>
  </si>
  <si>
    <t xml:space="preserve">  II.  OBLIGACIONES DE NO HACER</t>
  </si>
  <si>
    <t>Restricción</t>
  </si>
  <si>
    <t>Condiciones / Excepciones</t>
  </si>
  <si>
    <t>No contratar nueva deuda, salvo la ya existente o aquella que no cause incumplimiento en sus obligaciones financieras.</t>
  </si>
  <si>
    <t>Con autorización escrita previa</t>
  </si>
  <si>
    <t>No otorgar garantías a favor de terceros o constituir gravámenes sobre sus activos (especialmente sobre los que forman parte del patrimonio del fideicomiso).</t>
  </si>
  <si>
    <t>Ver covenants de capitalización y cobertura</t>
  </si>
  <si>
    <t>No realizar fusiones, escisiones, disoluciones o ventas de activos sustanciales, ni cambiar la naturaleza de su negocio.</t>
  </si>
  <si>
    <t>Ver condiciones específicas del contrato</t>
  </si>
  <si>
    <t>No distribuir dividendos si esto resulta en un incumplimiento de sus obligaciones bajo los Documentos del Crédito.</t>
  </si>
  <si>
    <t>No realizar pagos extraordinarios de salarios o bonos a accionistas o funcionarios fuera de términos de mercado o que afecten los límites financieros.</t>
  </si>
  <si>
    <t>No realizar un "Cambio de Control" (perder el control o bajar del 50% de los valores representativos de capital).</t>
  </si>
  <si>
    <t>No modificar sus políticas de otorgamiento de crédito o los formatos de contratos con sus clientes (Contratos de Crédito Red Girasol) sin autorización.</t>
  </si>
  <si>
    <t>No Participar en actividades ilícitas, producción de armas, tabaco, juegos de azar o aquellas que dañen el medio ambiente.</t>
  </si>
  <si>
    <t>No permitir que otras obligaciones quirografarias tengan mayor preferencia de pago que el crédito presente.</t>
  </si>
  <si>
    <t>MODELO</t>
  </si>
  <si>
    <t>Inicio Crédito Syscap</t>
  </si>
  <si>
    <t>Dic-24</t>
  </si>
  <si>
    <t>Cuentas por cobrar, neto</t>
  </si>
  <si>
    <t>Disp. Inicial</t>
  </si>
  <si>
    <t>Pagos anticipados y otros activos, neto</t>
  </si>
  <si>
    <t>Cobranza</t>
  </si>
  <si>
    <t>Propiedades, mobiliario y equipo, neto</t>
  </si>
  <si>
    <t>Crecimiento Cartera</t>
  </si>
  <si>
    <t>CAPITALIZACIÓN</t>
  </si>
  <si>
    <t>Crecimiento Gastos</t>
  </si>
  <si>
    <t>Castigo Tasa Activa</t>
  </si>
  <si>
    <t>CARTERA</t>
  </si>
  <si>
    <t># de Registros</t>
  </si>
  <si>
    <t>Días de Atraso Vencimientos</t>
  </si>
  <si>
    <t>Primer Crédito</t>
  </si>
  <si>
    <t>Participación Histórica</t>
  </si>
  <si>
    <t>Tasa Activa Ponderada</t>
  </si>
  <si>
    <t>Inicio Com. Apertura</t>
  </si>
  <si>
    <t>Fecha LT</t>
  </si>
  <si>
    <t>COMISIONES</t>
  </si>
  <si>
    <t>Tipo Producto</t>
  </si>
  <si>
    <t>Preoriginación</t>
  </si>
  <si>
    <t>Contratación</t>
  </si>
  <si>
    <t>Administración</t>
  </si>
  <si>
    <t>Verde</t>
  </si>
  <si>
    <t>Antes del 1 de Enero 2023</t>
  </si>
  <si>
    <t>Verde+</t>
  </si>
  <si>
    <t>Entre 01/01/23 y 01/01/24 - SOBRE EL SALDO INSOLUTO</t>
  </si>
  <si>
    <t>Crédito Automotriz</t>
  </si>
  <si>
    <t>A partir del 2024</t>
  </si>
  <si>
    <t>Crédito Personal</t>
  </si>
  <si>
    <t>Crédito PYME</t>
  </si>
  <si>
    <t>Crédito Solar</t>
  </si>
  <si>
    <t>Comisión Éxito Vieja</t>
  </si>
  <si>
    <t>Sobre cobranza total (intereses y amortizaciones)</t>
  </si>
  <si>
    <t>Comisión Éxito Nueva</t>
  </si>
  <si>
    <t>Desde</t>
  </si>
  <si>
    <t>Sobre intereses a partir de Sep. 2024</t>
  </si>
  <si>
    <t>Mes</t>
  </si>
  <si>
    <t>Saldo Inicial</t>
  </si>
  <si>
    <t>Disposiciones</t>
  </si>
  <si>
    <t>Pago</t>
  </si>
  <si>
    <t>Interés</t>
  </si>
  <si>
    <t>Amortización</t>
  </si>
  <si>
    <t>Saldo Final</t>
  </si>
  <si>
    <t>Comisión Estr</t>
  </si>
  <si>
    <t>Comisión Admin</t>
  </si>
  <si>
    <t>Total Comisiones</t>
  </si>
  <si>
    <t>Tasa</t>
  </si>
  <si>
    <t>Monto Disposiciones</t>
  </si>
  <si>
    <t>Saldo Total Línea</t>
  </si>
  <si>
    <t>Cantidad de Disp.</t>
  </si>
  <si>
    <t>Plazo</t>
  </si>
  <si>
    <t>Gracia de Capital</t>
  </si>
  <si>
    <t>Gastos Notariales</t>
  </si>
  <si>
    <t>Comisión Estr.</t>
  </si>
  <si>
    <t>Comisión Admin.</t>
  </si>
  <si>
    <t>RL</t>
  </si>
  <si>
    <t>MAX</t>
  </si>
  <si>
    <t>Indice de apalancamiento</t>
  </si>
  <si>
    <t>OG</t>
  </si>
  <si>
    <t>Indice de apalancamiento ajustado</t>
  </si>
  <si>
    <t>Indice de capitalizacion</t>
  </si>
  <si>
    <t>MIN</t>
  </si>
  <si>
    <t>Indice de cartera atrasada</t>
  </si>
  <si>
    <t>Indice de cartera vencida</t>
  </si>
  <si>
    <t>Indice de rendimiento</t>
  </si>
  <si>
    <t>Indice rentabilidad</t>
  </si>
  <si>
    <t>Saldo Insoluto</t>
  </si>
  <si>
    <t>Monto cedido</t>
  </si>
  <si>
    <t>Aforo cedido</t>
  </si>
  <si>
    <t>Estado de resultados</t>
  </si>
  <si>
    <t>Comisiones cobradas</t>
  </si>
  <si>
    <t>Comisiones pagadas</t>
  </si>
  <si>
    <t>Pagadas vs Cobradas</t>
  </si>
  <si>
    <t>Resultado por Servicios</t>
  </si>
  <si>
    <t>Ingresos por intereses</t>
  </si>
  <si>
    <t>Resultado por valuación a valor razonable</t>
  </si>
  <si>
    <t>Gastos por Intereses</t>
  </si>
  <si>
    <t>Margen Financiero por Intermediación</t>
  </si>
  <si>
    <t>Otros ingresos (egresos) de la operación</t>
  </si>
  <si>
    <t>Gastos de Administración y Promoción</t>
  </si>
  <si>
    <t>Impuestos a la utilidad y diferido</t>
  </si>
  <si>
    <t>Resultado Neto</t>
  </si>
  <si>
    <t>|</t>
  </si>
  <si>
    <t>Cuentas Bajo Administración</t>
  </si>
  <si>
    <t>Deuda cuentas corrientes</t>
  </si>
  <si>
    <t>Depósitos de inversionistas</t>
  </si>
  <si>
    <t>Otras cuentas corrientes</t>
  </si>
  <si>
    <t>Instrumentos financieros de clientes en administración</t>
  </si>
  <si>
    <t>Comisiones vs. Cartera</t>
  </si>
  <si>
    <t>Colaterales recibidos en garanía por cuenta de solicitantes</t>
  </si>
  <si>
    <t>Total Operaciones de Administración</t>
  </si>
  <si>
    <t>Balance General</t>
  </si>
  <si>
    <t>Efectivo y equivalentes de efectivo</t>
  </si>
  <si>
    <t>Inversiones en instrumentos financieros (cartera RG)</t>
  </si>
  <si>
    <t>Estimación de pérdidas crediticias</t>
  </si>
  <si>
    <t>Depreciación acumulada</t>
  </si>
  <si>
    <t>Activo por impuestos a la utilidad diferidos, neto</t>
  </si>
  <si>
    <t>Total Activo</t>
  </si>
  <si>
    <t>Préstamos de corto plazo</t>
  </si>
  <si>
    <t>Préstamos de largo plazo</t>
  </si>
  <si>
    <t>Contribuciones por pagar</t>
  </si>
  <si>
    <t>Acreedores diversas y otras cuentas por pagar</t>
  </si>
  <si>
    <t>Aportaciones para futuros aumentos de capital como pasivos</t>
  </si>
  <si>
    <t>Pasivo por impuestos a la utilidad</t>
  </si>
  <si>
    <t>Pasivo por Beneficios a Empleados</t>
  </si>
  <si>
    <t>Total Pasivo</t>
  </si>
  <si>
    <t>Capital Social</t>
  </si>
  <si>
    <t>Aportaciones para futuros aumentos de capital</t>
  </si>
  <si>
    <t>Prima en Venta de Acciones</t>
  </si>
  <si>
    <t>Resultados acumulados</t>
  </si>
  <si>
    <t>Utilidad o pérdida del ejercicio</t>
  </si>
  <si>
    <t>Total participación no controlada</t>
  </si>
  <si>
    <t>Total Capital</t>
  </si>
  <si>
    <t>Balance</t>
  </si>
  <si>
    <t>Activo Total</t>
  </si>
  <si>
    <t>Capital Contable Ajustado</t>
  </si>
  <si>
    <t>Índice de Apalancamiento (CNBV)</t>
  </si>
  <si>
    <t>Índice de Apalancamiento Ajustado</t>
  </si>
  <si>
    <t>Apalancamiento Oso</t>
  </si>
  <si>
    <t>Índice de Capitalización</t>
  </si>
  <si>
    <t>Índice de Rendimiento</t>
  </si>
  <si>
    <t>Índice de Rentabilidad</t>
  </si>
  <si>
    <t>Tasa Activa</t>
  </si>
  <si>
    <t>Tasa Pasiva</t>
  </si>
  <si>
    <t>Monto Originado 16 Meses</t>
  </si>
  <si>
    <t>Saldo Vencido 16 Meses</t>
  </si>
  <si>
    <t>IMOR 16 Meses</t>
  </si>
  <si>
    <t>Vencido +36 Meses</t>
  </si>
  <si>
    <t>Vencido -36 Meses</t>
  </si>
  <si>
    <t>Atrasado - 36 meses</t>
  </si>
  <si>
    <t>Índice de Cartera Vencida</t>
  </si>
  <si>
    <t>Índice de Cartera Atrasada</t>
  </si>
  <si>
    <t>Ingresos por Intereses</t>
  </si>
  <si>
    <t>Comisiones de Apertura y Preoriginación</t>
  </si>
  <si>
    <t>Comisiones de Administración</t>
  </si>
  <si>
    <t>Comisiones de Éxito</t>
  </si>
  <si>
    <t>Gastos por Intereses Fondeador 2</t>
  </si>
  <si>
    <t>Gastos por Comisiones Fondeador 2</t>
  </si>
  <si>
    <t>Gastos por Comisiones Syscap</t>
  </si>
  <si>
    <t>Comisiones Pagadas</t>
  </si>
  <si>
    <t>Total Gastos por Intereses</t>
  </si>
  <si>
    <t>Margen Financiero</t>
  </si>
  <si>
    <t>Beneficios directos a corto plazo</t>
  </si>
  <si>
    <t>Honorarios</t>
  </si>
  <si>
    <t>Impuestos y derechos diversos</t>
  </si>
  <si>
    <t>Gastos en tecnología</t>
  </si>
  <si>
    <t>Otros gastos</t>
  </si>
  <si>
    <t>Total Gastos</t>
  </si>
  <si>
    <t>Margen Neto</t>
  </si>
  <si>
    <t>CUENTAS BAJO ADMINISTRACIÓN</t>
  </si>
  <si>
    <t>Saldo Vigente Portafolio AUM</t>
  </si>
  <si>
    <t>Saldo Vencido Portafolio AUM</t>
  </si>
  <si>
    <t>Nuevo Saldo Portafolio AUM</t>
  </si>
  <si>
    <t>Saldo Total Portafolio AUM</t>
  </si>
  <si>
    <t>Intereses Portafolio AUM</t>
  </si>
  <si>
    <t>Intereses Nuevo Portafolio AUM</t>
  </si>
  <si>
    <t>Amortizaciones Portafolio AUM</t>
  </si>
  <si>
    <t>Total Cobranza Portafolio AUM</t>
  </si>
  <si>
    <t>Tasa Activa Promedio Portafolio AUM</t>
  </si>
  <si>
    <t>BALANCE</t>
  </si>
  <si>
    <t>Inversiones en instrumentos financieros (1% Cartera)</t>
  </si>
  <si>
    <t>Colocaciones Propias</t>
  </si>
  <si>
    <t>Cartera Propia Originada</t>
  </si>
  <si>
    <t>Cartera Total</t>
  </si>
  <si>
    <t>Crédito Fondeador 2</t>
  </si>
  <si>
    <t>Crédito Syscap</t>
  </si>
  <si>
    <t>Resultado del Ejercicio</t>
  </si>
  <si>
    <t>Capitalización Adicional</t>
  </si>
  <si>
    <t>Castigo por Vesting</t>
  </si>
  <si>
    <t>Índice de Capitalización vs. Activos</t>
  </si>
  <si>
    <t>Índice de Apalancamiento vs. Capital</t>
  </si>
  <si>
    <t>Apalancamiento vs. Cartera</t>
  </si>
  <si>
    <t>Rendimiento Total Cartera y Portafolio</t>
  </si>
  <si>
    <t>Rentabilidad sobre Cartera y Portafolio</t>
  </si>
  <si>
    <t>Inversiones en instrumentos financieros</t>
  </si>
  <si>
    <t>Notas check Septiembre-25</t>
  </si>
  <si>
    <t>Insights</t>
  </si>
  <si>
    <t>Referencia</t>
  </si>
  <si>
    <t>Next Steps</t>
  </si>
  <si>
    <t>Avances</t>
  </si>
  <si>
    <t>Se esta viendo la opción de hacer un aumento de la linea de $10MDP. Se hablo con Mau para ver si esta opcion es viable dependiendo de como mejora tanto su cobranza como sus covenants. Nos comento que uno de los clientes con mayor concentración que esta atrasado "Materiales Franco" va a liquidar la linea y "Birsa" ya se recupero pero pedimos info para validar esto. Ahorita se encuentran en incumplimiento de todos los covenants porque en contrato se tiene que a partir del mes de agosto los covenants se iban a apretar.</t>
  </si>
  <si>
    <t>Birsa cliente con mayor concentracion paso a atraso con 38 dias y cuenta con un saldo de $13MDP llevando a un incumplimiento de cartera atrasada pasando de 6% a 15%.</t>
  </si>
  <si>
    <t>Loan Tape Septiembre 2025</t>
  </si>
  <si>
    <t>Preguntar sobre la cobranza de este caso en particular y si se ve recuperación o no</t>
  </si>
  <si>
    <t>Nos comentaron que al día de hoy  Oct ya se recuperó y no debería atrasarse nuevamente</t>
  </si>
  <si>
    <t>9 créditos desaparecidos que contaban con días de atraso, afectando la confiabilidad de los datos que nos pasan e indicadores. Estos créditos representan un saldo insoluto total de $445,170</t>
  </si>
  <si>
    <t>Estos créditos realmente se liquidaron o porque no se registraron en la cartera de septiembre?</t>
  </si>
  <si>
    <t>6 créditos con cambio en fecha de finalizacion, dos de ellos que debieron de terminar este mes con un saldo de $820,979 y se les aumento otro mes por lo que podrían ser créditos que no pagaron y solamente se les cambio la fecha de finalización para no tomarlos como atrasados.</t>
  </si>
  <si>
    <t xml:space="preserve">Preguntar sobre el cambio de estas fechas, fueron acuerdos con los clientes? </t>
  </si>
  <si>
    <t>1 crédito vencido sin movimiento en días de atraso y sin cambio en monto histórico pagado. Este crédito comoquiera ya se considera vencido pero el que no cambien los días de atraso desmuestra inconsistencias y errores dentro de su LT</t>
  </si>
  <si>
    <t>Pedir que se registre este cambio en los días de atraso del cliente</t>
  </si>
  <si>
    <t>Recuperación de un crédito vencido: un crédito paso de 196 días a 0 días por lo que parece que se recupero porque si se ve aumento en el monto pagado histórico solo validar que se haya recuperado y ese monto pagado no solo represente lo que estaba vencido si no también lo que le tocaba pagar este mes</t>
  </si>
  <si>
    <t>Platicar con ellos para comprobar que efectivamente el pago de este cliente se hizo incluyendo lo que le tocaba en el mes de septiembre y  ya se encuentra al corriente</t>
  </si>
  <si>
    <t>5 créditos que debieron de haber terminado este mes y pero siguen apareciendo con saldo insoluto y sin días de atraso. Estos 5 créditos representan un saldo total de $1,059,577</t>
  </si>
  <si>
    <t>Preguntar porque no se hicieron las liquidaciones de estos créditos, deben de ser atrasados?, fue error en el reporte?, se les dio chance?</t>
  </si>
  <si>
    <t>Hubo una baja en el capital contable ajustado que viene directamente de el aumento en pérdidas por resultado del ejercicio, por otro lado la cartera se quedo igual y dentro de sus pasivos aumentaron las contribuciones por pagar; llevando a un incumplimiento de capitalización que se encuentre en 13% y de apalancamiento ajustado en un 89%.</t>
  </si>
  <si>
    <t>Balance General Agosto 2025</t>
  </si>
  <si>
    <t>Tomar en cuenta estos cambios para ver el aumento de la línea que se les quiere dar</t>
  </si>
  <si>
    <t>Aumento de estimación preventiva por aumento en cartera vencida llevando a mayores pérdidas en el mes y a un incumplimiento en la rentabilidad dejando el indicador en -0.8%</t>
  </si>
  <si>
    <t>Estado de Resultados Agosto 2025</t>
  </si>
  <si>
    <t>Notas check Agosto-25</t>
  </si>
  <si>
    <t>Se sigue avanzando con la compra de cartera de CiBanco y con Fincitri. Mauricio quiere dar una propiedad suya como garantia.Si se completa esta compra de cartera es es bueno tanto para RG como para nosotros porque van a tener una cartera mas sana y más grande por lo que nuestros indicadores como el IMOR16 van a bajar y esta cartera se debe compartar de mejor manera (es menos riesgosa).</t>
  </si>
  <si>
    <t>Aumento IMOR16 de 9.89% a 11.19%: algunos créditos pasaron a 90 días afectando el indicador y demostrando que no han podido manejar la cobranza.</t>
  </si>
  <si>
    <t>Loan Tape Agosto 2025</t>
  </si>
  <si>
    <t>Seguir monitoreando la cobranza, preguntando sobre updates de alguna recuperación, y presionar para mejorar el indicador</t>
  </si>
  <si>
    <t>Aumento cartera vencida de 14.9% a 15.85%: ligado a lo mismo del IMOR16.</t>
  </si>
  <si>
    <t>Tendencia de baja en rendimiento: por temas de menor cobranza se refleja en menores ingresos proporcionale al valor de su portafolio.</t>
  </si>
  <si>
    <t>Monitoreo Julio 2025</t>
  </si>
  <si>
    <t>Sin aumento de estimacion preventiva: No se ve un aumento en la estimación preventiva aun teniendo aumento en cartera vencida</t>
  </si>
  <si>
    <t>Estado de Resultados Julio 2025</t>
  </si>
  <si>
    <t>Preguntar porque no se ve este aumento y pedir que se haga</t>
  </si>
  <si>
    <t>Clientes sin movimientos en días de atraso: Se ven algunos clientes como Birsa, acciones ecologicas, materiales franco, que tienen alta concentración en la cartera sin movimiento en los días de atraso y ya se válido que se debe a que si han estado haciendo sus pagos correspondientes mes con mes solo no han pagado los meses atrasados. Esto demuestra que han podido estar en contacto con estos clientes y cobrando lo actual sin dejar que pasen a ser vencidos.</t>
  </si>
  <si>
    <t>Seguir monitoreando estos clientes que tienen mayor concentración</t>
  </si>
  <si>
    <t>Cliente "desplasificate" con baja en días de atraso: Este cliente sigue pagando y también pago un mes de los que estaba atrasado por lo que se ve esa baja en dís de atraso y demuestra igual comunicación en cobranza y recuperación.</t>
  </si>
  <si>
    <t>Seguir monitoreando el proceso con CiBanco y Fincitri</t>
  </si>
  <si>
    <t>Notas check Julio-25</t>
  </si>
  <si>
    <t>Contexto: Incumplimientos de covenants cartera vencida e IMOR16. El IMOR16 ya subio de 7.5% por lo que el aforo debe subir a 1.5. Acutalmente estamos desaforados con 4.75, se esta viendo el proceso para esa nueva cesión pero Mau de mucha igual esta buscando bajar ese indicador del IMOR16 porque si le afecta en otros financiamientos el tenernos cedido 1.5 de aforo.</t>
  </si>
  <si>
    <t>Atraso de 8 dias del cliente más grande (Birsa) representa un 7%. No se habia visto con atrasos anteriormente</t>
  </si>
  <si>
    <t>Loan Tape Julio 2025</t>
  </si>
  <si>
    <t>Montirorear que el proximo mes haya pagado y en caso de que no hablar con RG notificarles esto y presionar en que se mejore la cobranza</t>
  </si>
  <si>
    <t>Materiales franco sigue atrasado y en algunos de sus créditos a un mes de pasar a vencido. Es el crédito que comentaron que es un primo de el y si va a pagar pero seguirlo monitoreando porque representa un 4%.</t>
  </si>
  <si>
    <t>Preguntar porque no se ha recuperado este cliente que es primo y cuando debe verse recuperado</t>
  </si>
  <si>
    <t>Aportaciones para futuros aumentos de capital: sigue aumentando las aportaciones desde 2024 pero no se ve un aumento en capital social. De mayo a junio aumento 2.5MDP</t>
  </si>
  <si>
    <t>Estado de Resultados Junio 2025</t>
  </si>
  <si>
    <t>Acciones ecologicas: Cliente atrasado con 30 días que representa 1% de la cartera total</t>
  </si>
  <si>
    <t>Comentaron sobre una oportunidad que tienen de comprar cartera de créditos solares de CI Banco, con tasa de 15% esos créditos.</t>
  </si>
  <si>
    <t>Notas check Junio-25</t>
  </si>
  <si>
    <t>Contexto: Se hizo nueva cesión e hicieron una disposición el lunes de $3MDP. Se planea hacer la última disposición de $6MDP la próxima semana pero hubo unos errores con OPAM entonces se debe resolver y checar 100% que el aforo este bien para ver si se puede hacer esa siguiente disposición o si nos deben ceder más.</t>
  </si>
  <si>
    <t>En abril no se reportaron gastos por intereses y en mayo se vio un monto más grande. Validamos los intereses que nos pagaron a nosotros esos meses y coincide lo que pusieron en mayo con la sujma de sus pagos de abril y mayo.</t>
  </si>
  <si>
    <t>Estado de Resultados Mayo 25</t>
  </si>
  <si>
    <t>Platicar sobre los desfases en los gastos, que fue lo que paso con no llevaron ese registro en abril?</t>
  </si>
  <si>
    <t>Nosotros les facturamos esos gastos hasta despues</t>
  </si>
  <si>
    <t>Reportaron mayores gastos en Mayo dejandolos con muy pooco margen financiero positivo. La cuenta de "resultado por valuación a valor razonable" no sabemos que es y paso de $0MXN a -$725 mil MXN de abril a mayo. Asi como mayores gastos en admin y menores ingresos.</t>
  </si>
  <si>
    <t xml:space="preserve">Preguntar y entender que es esqa cuenta de "Resultado por valuación a valor razonable" y que cambios hubo que hicieron que haya menos ingresos y mayores gastos </t>
  </si>
  <si>
    <t>La cuenta de resutaldo por valuacion razonable es la estimacion preventiva</t>
  </si>
  <si>
    <t>La cartera se mantuvo practicamente igual de abril a mayo</t>
  </si>
  <si>
    <t>Balance general Mayo 25</t>
  </si>
  <si>
    <t>Preguntar si no hubo muchas colocaciones? Se amortizo la misma cantidad que se coloco?</t>
  </si>
  <si>
    <t>Lo iban a checar porque dijeron que no deberia ser igual</t>
  </si>
  <si>
    <t>IMOR16 sigue aumentando. Paso de 7.11% en mayo a 7.40% en junio. Si llegan a 7.5% es cuando aumenta el aforo requerido</t>
  </si>
  <si>
    <t>Loan Tape Junio 25</t>
  </si>
  <si>
    <t>Tenerlos al tanto de la situación y estar pendiente de como se mueve el IMOR16 en julio para ver si brinca a ese nuevo aforo de 1.5</t>
  </si>
  <si>
    <t>Cartera atrasada aumento de 5% a 10% dejandolos muy cerca del incumplimiento del covenant. Y lo mismo con la cartera vencido aumento de 12.9% a 13.3% lo que los acerca al incumplimiento del convenant de cartera vencida con diferencia de 0.7%</t>
  </si>
  <si>
    <t>Hablar con ellos sobre la cobranza, qué esta ocasionando estos aumentos y que planes tienen para recuperarlos?</t>
  </si>
  <si>
    <t>Incumplimiento de covenant: apalancamiento ajustado con 91%. En las proyecciones de originación si se esperaba que el apalancamiento este más alto estos meses, esperando que baje cuando empiece a amortizar. Al igual sacamos el apalancamiento restandole el efectivo a los pasivos (que es lo correcto) y asi se encuentran en 88.5%</t>
  </si>
  <si>
    <t>Seguir monitoreando</t>
  </si>
  <si>
    <t>Caso Herguin: Cliente de puebla que representa un 3% de la cartera total de RG atrasado ya con 148 días no se ha recuperado ninguno de sus créditos. Desde abril paso a cartera vencida.</t>
  </si>
  <si>
    <t>Preguntar contexto y actualización del caso</t>
  </si>
  <si>
    <t xml:space="preserve">Caso Materiales Franco: cliente que representa un 4% con 8 créditos en su cartera de los cuales 6 ya pasaron a cartera atrasada y las otras dos tienen 28 dias de atraso pero se consideran vigentes. </t>
  </si>
  <si>
    <t>Nos comenta que es un primo y si debe de pagar</t>
  </si>
  <si>
    <t>Nuevo cliento con mayor concentración: Ebony que representa un 4%</t>
  </si>
  <si>
    <t>Notas check Mayo-25</t>
  </si>
  <si>
    <t>Contexto: se hizo una cesión de cartera para las nuevas disposiciones. Dos disposiciones una de $4MDP y otra de $9MDP. Se espera hacer otra disposición de $9MDP</t>
  </si>
  <si>
    <t>1.- Aumento de IMOR16, se encuentra en 7.11% y si llega a 7.5% el aforo debe de subir</t>
  </si>
  <si>
    <t>Loan Tape Mayo 25</t>
  </si>
  <si>
    <t xml:space="preserve">2.- Aumento de cartera vencida a 13% con incumplimiento en 14% </t>
  </si>
  <si>
    <t>Loan tape Mayo 25</t>
  </si>
  <si>
    <t>3.- Nuevo cliente con mayor concentración</t>
  </si>
  <si>
    <t>Notas check Abr-25</t>
  </si>
  <si>
    <t>Contexto: Se dispusieron $14MDP de los que se pensaba que con la cesión pasada para el aforo se podia disponer, hubo errores de comunicación entre OPAM, nosotros, y Red Girasol. OPAM nos dijo que si tenian el aforo para disponer $4MDP despues de los $10MDP que dispusieron pero realmente no se tenia el aforo suficiente. Se esta buscando tener otra cesión pero RG esta esperando saber si si vamos a poder darles el saldo faltante del crédito para que ya nos cedan todo o solamente lo de los $4MDP.</t>
  </si>
  <si>
    <t>1.- No existe registro de estimación preventiva en el ER, solamente en el BG</t>
  </si>
  <si>
    <t>Estado de Resultados Abr 25</t>
  </si>
  <si>
    <t>Preguntarles porque no se lleva ese registro e incitar a que es importante que lo agreguen</t>
  </si>
  <si>
    <t>2.- No estan incluyendo gastos por intereses, la cuenta sale como $0 cuando si nos pagaron a nosotros</t>
  </si>
  <si>
    <t>Estado de Resultados Abr25</t>
  </si>
  <si>
    <t>Preguntar porque no incluyen los gastos por intereses? Hay algun tema en la contabilidad?</t>
  </si>
  <si>
    <t>3.- Aportaciones para futuros aumentos: tienen esta cuenta la cual va aumentando desde el 2023 y ahorita cuentan con $25MDP a diferencia de $22MDPO del mes pasado.</t>
  </si>
  <si>
    <t>Balance General Abr25</t>
  </si>
  <si>
    <t>Preguntarles si planean protocalizar esto y pasarlo a su capital, porque esta ahí parado, de donde vienen estos aumentos? Cuales es su plan con esta cuenta? Saber donde esta en activos</t>
  </si>
  <si>
    <t>4.- Nueva cuenta en capital reportada como "Total participación no controlada" de $-642 mil pesos</t>
  </si>
  <si>
    <t xml:space="preserve">Preguntarles sobre esta nueva cuenta, qué es? </t>
  </si>
  <si>
    <t>5.- Vemos que OPAM no esta restando unas cuentas que deben ser como inelegibles</t>
  </si>
  <si>
    <t>OPAM Abr25</t>
  </si>
  <si>
    <t>Platicar con ellos para no dejar pasar esas pequeñas diferencias</t>
  </si>
  <si>
    <t>6.- Aumento su cartera $12MDP al igual que su deuda, demostrando que si están utilizando su fondeo para colocar y crecer su cartera</t>
  </si>
  <si>
    <t>7.- Hacer nuevo check y análisis de atrasos y vencido por cliente, no solo por crédito. Ver esa diferencia para ver si es importante tomarlo en cuenta en los covenants.</t>
  </si>
  <si>
    <t>Análisis LT Abr25</t>
  </si>
  <si>
    <t>Notas check Mar-25</t>
  </si>
  <si>
    <t>1.- No existe registro de estimación preventiva en el ER</t>
  </si>
  <si>
    <t>Checar con ellos, porque no ponen ese registro?</t>
  </si>
  <si>
    <t>Prioridades: creemos que el aforo es más importante y salieron temas acerca de eso entonces decidimos buscar reslover antes de hacer estas preguntas, vamos a esperar a cuando manden la info de mayo para hacer esa pregunta</t>
  </si>
  <si>
    <t>2.- Aumento de cartera vencida y atrasada</t>
  </si>
  <si>
    <t>Platicar con ellos sobre porque esta pasando con la cobranza, y si esperan recuperar algo</t>
  </si>
  <si>
    <t>Si vimos recuperación tanto de cartera atrasada como de cartera vencida, nos comentaron que si tenian tema con un cliente de $4MDP que no estaba contestando y ya lo estaban demandando. Creemos que recuperaron ese cliente</t>
  </si>
  <si>
    <t>3.- El LT no se esta compartiendo en el formato solicitado</t>
  </si>
  <si>
    <t>Pedir que no se cambie el formato y regrese al formato solicitado</t>
  </si>
  <si>
    <t>4.- Agregar el check de moffin/syntage</t>
  </si>
  <si>
    <t>Ya se agregó, hace falta la declaración anual</t>
  </si>
  <si>
    <t>5.- No se ve la declaración anual en syntage</t>
  </si>
  <si>
    <t>Syntage</t>
  </si>
  <si>
    <t>Preguntar que pasó, porque no se ve el registro</t>
  </si>
  <si>
    <t>Volvimos a correr la declaración anual de syntage y siguen sin tenerla, junto con la opinión de cumplimiento negativa</t>
  </si>
  <si>
    <t>&gt;</t>
  </si>
  <si>
    <t>feb-26 restado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</si>
</sst>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8" formatCode="&quot;$&quot;#,##0.00_);[Red]\(&quot;$&quot;#,##0.00\)"/>
    <numFmt numFmtId="44" formatCode="_(&quot;$&quot;* #,##0.00_);_(&quot;$&quot;* \(#,##0.00\);_(&quot;$&quot;* &quot;-&quot;??_);_(@_)"/>
    <numFmt numFmtId="43" formatCode="_(* #,##0.00_);_(* \(#,##0.00\);_(* &quot;-&quot;??_);_(@_)"/>
    <numFmt numFmtId="164" formatCode="d/m/yyyy"/>
    <numFmt numFmtId="165" formatCode="_-&quot;$&quot;* #,##0_-;\-&quot;$&quot;* #,##0_-;_-&quot;$&quot;* &quot;-&quot;??_-;_-@"/>
    <numFmt numFmtId="166" formatCode="_(&quot;$&quot;* #,##0_);_(&quot;$&quot;* \(#,##0\);_(&quot;$&quot;* &quot;-&quot;??_);_(@_)"/>
    <numFmt numFmtId="167" formatCode="yyyy\-mm\-dd"/>
    <numFmt numFmtId="168" formatCode="[$-409]mmm\-yy"/>
    <numFmt numFmtId="169" formatCode="_(* #,##0.0_);_(* \(#,##0.0\);_(* &quot;-&quot;??_);_(@_)"/>
    <numFmt numFmtId="170" formatCode="0.0"/>
    <numFmt numFmtId="171" formatCode="0.0%"/>
    <numFmt numFmtId="172" formatCode="0.0\x"/>
    <numFmt numFmtId="173" formatCode="0.00\x"/>
    <numFmt numFmtId="174" formatCode="_(&quot;$&quot;* #,##0.0000000000000_);_(&quot;$&quot;* \(#,##0.0000000000000\);_(&quot;$&quot;* &quot;-&quot;??_);_(@_)"/>
  </numFmts>
  <fonts count="38" x14ac:knownFonts="1">
    <font>
      <sz val="11"/>
      <color rgb="FF000000"/>
      <name val="Aptos Narrow"/>
      <scheme val="minor"/>
    </font>
    <font>
      <sz val="11"/>
      <color rgb="FF0447E6"/>
      <name val="Aptos Narrow"/>
    </font>
    <font>
      <sz val="11"/>
      <name val="Aptos Narrow"/>
    </font>
    <font>
      <sz val="11"/>
      <color theme="1"/>
      <name val="Aptos Narrow"/>
    </font>
    <font>
      <b/>
      <sz val="12"/>
      <color rgb="FFFFFFFF"/>
      <name val="Arial"/>
      <family val="2"/>
    </font>
    <font>
      <sz val="8"/>
      <color rgb="FF12127A"/>
      <name val="Arial"/>
      <family val="2"/>
    </font>
    <font>
      <b/>
      <sz val="9"/>
      <color rgb="FFFFFFFF"/>
      <name val="Arial"/>
      <family val="2"/>
    </font>
    <font>
      <b/>
      <sz val="9"/>
      <color theme="1"/>
      <name val="Arial"/>
      <family val="2"/>
    </font>
    <font>
      <sz val="9"/>
      <color theme="1"/>
      <name val="Arial"/>
      <family val="2"/>
    </font>
    <font>
      <b/>
      <sz val="8"/>
      <color theme="1"/>
      <name val="Arial"/>
      <family val="2"/>
    </font>
    <font>
      <b/>
      <sz val="8"/>
      <color rgb="FFFFFFFF"/>
      <name val="Arial"/>
      <family val="2"/>
    </font>
    <font>
      <i/>
      <sz val="8"/>
      <color rgb="FF5A5A5A"/>
      <name val="Arial"/>
      <family val="2"/>
    </font>
    <font>
      <sz val="9"/>
      <color rgb="FF000000"/>
      <name val="Arial"/>
      <family val="2"/>
    </font>
    <font>
      <i/>
      <sz val="8"/>
      <color theme="1"/>
      <name val="Arial"/>
      <family val="2"/>
    </font>
    <font>
      <sz val="8"/>
      <color theme="1"/>
      <name val="Arial"/>
      <family val="2"/>
    </font>
    <font>
      <sz val="9"/>
      <color rgb="FF0000FF"/>
      <name val="Arial"/>
      <family val="2"/>
    </font>
    <font>
      <sz val="9"/>
      <color rgb="FF0447E6"/>
      <name val="Arial"/>
      <family val="2"/>
    </font>
    <font>
      <b/>
      <sz val="9"/>
      <color rgb="FF12127A"/>
      <name val="Arial"/>
      <family val="2"/>
    </font>
    <font>
      <i/>
      <sz val="8"/>
      <color rgb="FF000000"/>
      <name val="Arial"/>
      <family val="2"/>
    </font>
    <font>
      <sz val="8"/>
      <color rgb="FF000000"/>
      <name val="Arial"/>
      <family val="2"/>
    </font>
    <font>
      <sz val="11"/>
      <color rgb="FF1F1F1F"/>
      <name val="Arial"/>
      <family val="2"/>
    </font>
    <font>
      <b/>
      <sz val="18"/>
      <color rgb="FF1F1F1F"/>
      <name val="Arial"/>
      <family val="2"/>
    </font>
    <font>
      <b/>
      <sz val="11"/>
      <color rgb="FF1F1F1F"/>
      <name val="Arial"/>
      <family val="2"/>
    </font>
    <font>
      <b/>
      <sz val="11"/>
      <color theme="0"/>
      <name val="Aptos Narrow"/>
    </font>
    <font>
      <sz val="11"/>
      <color rgb="FF000000"/>
      <name val="Aptos Narrow"/>
    </font>
    <font>
      <b/>
      <sz val="11"/>
      <color rgb="FF000000"/>
      <name val="Aptos Narrow"/>
    </font>
    <font>
      <sz val="11"/>
      <color theme="1"/>
      <name val="Arial"/>
      <family val="2"/>
    </font>
    <font>
      <sz val="11"/>
      <color rgb="FF000000"/>
      <name val="Arial"/>
      <family val="2"/>
    </font>
    <font>
      <b/>
      <sz val="12"/>
      <color theme="0"/>
      <name val="Aptos Narrow"/>
    </font>
    <font>
      <sz val="12"/>
      <color theme="1"/>
      <name val="Aptos Narrow"/>
    </font>
    <font>
      <sz val="12"/>
      <color theme="1"/>
      <name val="Arial"/>
      <family val="2"/>
    </font>
    <font>
      <i/>
      <sz val="12"/>
      <color rgb="FF0B769F"/>
      <name val="Aptos Narrow"/>
    </font>
    <font>
      <i/>
      <sz val="11"/>
      <color rgb="FF0B769F"/>
      <name val="Aptos Narrow"/>
    </font>
    <font>
      <b/>
      <sz val="12"/>
      <color theme="1"/>
      <name val="Aptos Narrow"/>
    </font>
    <font>
      <sz val="12"/>
      <color theme="0"/>
      <name val="Aptos Narrow"/>
    </font>
    <font>
      <i/>
      <sz val="11"/>
      <color rgb="FF215E99"/>
      <name val="Aptos Narrow"/>
    </font>
    <font>
      <i/>
      <sz val="11"/>
      <color rgb="FF000000"/>
      <name val="Aptos Narrow"/>
    </font>
    <font>
      <sz val="12"/>
      <color theme="1"/>
      <name val="Helvetica Neue"/>
      <family val="2"/>
    </font>
  </fonts>
  <fills count="21">
    <fill>
      <patternFill patternType="none"/>
    </fill>
    <fill>
      <patternFill patternType="gray125"/>
    </fill>
    <fill>
      <patternFill patternType="solid">
        <fgColor rgb="FF0447E6"/>
        <bgColor rgb="FF0447E6"/>
      </patternFill>
    </fill>
    <fill>
      <patternFill patternType="solid">
        <fgColor rgb="FFF2F2F2"/>
        <bgColor rgb="FFF2F2F2"/>
      </patternFill>
    </fill>
    <fill>
      <patternFill patternType="solid">
        <fgColor theme="0"/>
        <bgColor theme="0"/>
      </patternFill>
    </fill>
    <fill>
      <patternFill patternType="solid">
        <fgColor rgb="FF1E1ECC"/>
        <bgColor rgb="FF1E1ECC"/>
      </patternFill>
    </fill>
    <fill>
      <patternFill patternType="solid">
        <fgColor rgb="FFEBF3FF"/>
        <bgColor rgb="FFEBF3FF"/>
      </patternFill>
    </fill>
    <fill>
      <patternFill patternType="solid">
        <fgColor rgb="FFFFFFFF"/>
        <bgColor rgb="FFFFFFFF"/>
      </patternFill>
    </fill>
    <fill>
      <patternFill patternType="solid">
        <fgColor rgb="FF18AEE7"/>
        <bgColor rgb="FF18AEE7"/>
      </patternFill>
    </fill>
    <fill>
      <patternFill patternType="solid">
        <fgColor theme="1"/>
        <bgColor theme="1"/>
      </patternFill>
    </fill>
    <fill>
      <patternFill patternType="solid">
        <fgColor rgb="FFFFFF00"/>
        <bgColor rgb="FFFFFF00"/>
      </patternFill>
    </fill>
    <fill>
      <patternFill patternType="solid">
        <fgColor rgb="FFC1E4F5"/>
        <bgColor rgb="FFC1E4F5"/>
      </patternFill>
    </fill>
    <fill>
      <patternFill patternType="solid">
        <fgColor rgb="FFFAE2D5"/>
        <bgColor rgb="FFFAE2D5"/>
      </patternFill>
    </fill>
    <fill>
      <patternFill patternType="solid">
        <fgColor rgb="FFF1CEEE"/>
        <bgColor rgb="FFF1CEEE"/>
      </patternFill>
    </fill>
    <fill>
      <patternFill patternType="solid">
        <fgColor rgb="FFDBE9F7"/>
        <bgColor rgb="FFDBE9F7"/>
      </patternFill>
    </fill>
    <fill>
      <patternFill patternType="solid">
        <fgColor rgb="FF0E2841"/>
        <bgColor rgb="FF0E2841"/>
      </patternFill>
    </fill>
    <fill>
      <patternFill patternType="solid">
        <fgColor rgb="FFD9F2D0"/>
        <bgColor rgb="FFD9F2D0"/>
      </patternFill>
    </fill>
    <fill>
      <patternFill patternType="solid">
        <fgColor rgb="FF002060"/>
        <bgColor rgb="FF002060"/>
      </patternFill>
    </fill>
    <fill>
      <patternFill patternType="solid">
        <fgColor rgb="FFAEAEAE"/>
        <bgColor rgb="FFAEAEAE"/>
      </patternFill>
    </fill>
    <fill>
      <patternFill patternType="solid">
        <fgColor rgb="FFDCDCDC"/>
        <bgColor rgb="FFDCDCDC"/>
      </patternFill>
    </fill>
    <fill>
      <patternFill patternType="solid">
        <fgColor rgb="FFD8D8D8"/>
        <bgColor rgb="FFD8D8D8"/>
      </patternFill>
    </fill>
  </fills>
  <borders count="61">
    <border>
      <left/>
      <right/>
      <top/>
      <bottom/>
      <diagonal/>
    </border>
    <border>
      <left/>
      <right/>
      <top/>
      <bottom/>
      <diagonal/>
    </border>
    <border>
      <left/>
      <right/>
      <top/>
      <bottom/>
      <diagonal/>
    </border>
    <border>
      <left/>
      <right/>
      <top/>
      <bottom/>
      <diagonal/>
    </border>
    <border>
      <left style="thin">
        <color rgb="FFD8D8D8"/>
      </left>
      <right/>
      <top style="thin">
        <color rgb="FFD8D8D8"/>
      </top>
      <bottom style="thin">
        <color rgb="FFD8D8D8"/>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1E1ECC"/>
      </left>
      <right/>
      <top style="thin">
        <color rgb="FF1E1ECC"/>
      </top>
      <bottom/>
      <diagonal/>
    </border>
    <border>
      <left/>
      <right/>
      <top style="thin">
        <color rgb="FF1E1ECC"/>
      </top>
      <bottom/>
      <diagonal/>
    </border>
    <border>
      <left/>
      <right/>
      <top style="thin">
        <color rgb="FF1E1ECC"/>
      </top>
      <bottom/>
      <diagonal/>
    </border>
    <border>
      <left style="thin">
        <color rgb="FFD0D0D0"/>
      </left>
      <right style="thin">
        <color rgb="FFD0D0D0"/>
      </right>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top/>
      <bottom style="thin">
        <color rgb="FFD0D0D0"/>
      </bottom>
      <diagonal/>
    </border>
    <border>
      <left/>
      <right/>
      <top/>
      <bottom style="thin">
        <color rgb="FFD0D0D0"/>
      </bottom>
      <diagonal/>
    </border>
    <border>
      <left/>
      <right style="thin">
        <color rgb="FFD0D0D0"/>
      </right>
      <top/>
      <bottom style="thin">
        <color rgb="FFD0D0D0"/>
      </bottom>
      <diagonal/>
    </border>
    <border>
      <left style="thin">
        <color rgb="FFD0D0D0"/>
      </left>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1E1ECC"/>
      </left>
      <right/>
      <top/>
      <bottom/>
      <diagonal/>
    </border>
    <border>
      <left/>
      <right/>
      <top/>
      <bottom style="thin">
        <color rgb="FFD0D0D0"/>
      </bottom>
      <diagonal/>
    </border>
    <border>
      <left style="thin">
        <color rgb="FFFFFFFF"/>
      </left>
      <right style="thin">
        <color rgb="FFFFFFFF"/>
      </right>
      <top style="thin">
        <color rgb="FFFFFFFF"/>
      </top>
      <bottom style="thin">
        <color rgb="FFFFFFFF"/>
      </bottom>
      <diagonal/>
    </border>
    <border>
      <left style="thin">
        <color rgb="FFD0D0D0"/>
      </left>
      <right/>
      <top style="thin">
        <color rgb="FFFFFFFF"/>
      </top>
      <bottom style="thin">
        <color rgb="FFD0D0D0"/>
      </bottom>
      <diagonal/>
    </border>
    <border>
      <left/>
      <right/>
      <top style="thin">
        <color rgb="FFFFFFFF"/>
      </top>
      <bottom style="thin">
        <color rgb="FFD0D0D0"/>
      </bottom>
      <diagonal/>
    </border>
    <border>
      <left/>
      <right/>
      <top style="thin">
        <color rgb="FFFFFFFF"/>
      </top>
      <bottom style="thin">
        <color rgb="FFD0D0D0"/>
      </bottom>
      <diagonal/>
    </border>
    <border>
      <left/>
      <right/>
      <top style="thin">
        <color rgb="FFD0D0D0"/>
      </top>
      <bottom style="thin">
        <color rgb="FFD0D0D0"/>
      </bottom>
      <diagonal/>
    </border>
    <border>
      <left style="thin">
        <color rgb="FFD8D8D8"/>
      </left>
      <right style="thin">
        <color rgb="FFD8D8D8"/>
      </right>
      <top style="thin">
        <color rgb="FFD8D8D8"/>
      </top>
      <bottom style="thin">
        <color rgb="FFD8D8D8"/>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style="thin">
        <color rgb="FFD0D0D0"/>
      </right>
      <top style="thin">
        <color rgb="FFFFFFFF"/>
      </top>
      <bottom style="thin">
        <color rgb="FFD0D0D0"/>
      </bottom>
      <diagonal/>
    </border>
    <border>
      <left/>
      <right style="thin">
        <color theme="0"/>
      </right>
      <top/>
      <bottom/>
      <diagonal/>
    </border>
    <border>
      <left style="thin">
        <color theme="0"/>
      </left>
      <right style="thin">
        <color theme="0"/>
      </right>
      <top style="thin">
        <color theme="0"/>
      </top>
      <bottom style="thin">
        <color theme="0"/>
      </bottom>
      <diagonal/>
    </border>
    <border>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D0D0D0"/>
      </left>
      <right/>
      <top/>
      <bottom style="thin">
        <color rgb="FFD0D0D0"/>
      </bottom>
      <diagonal/>
    </border>
    <border>
      <left style="thin">
        <color rgb="FF1E1ECC"/>
      </left>
      <right/>
      <top style="thin">
        <color rgb="FF1E1ECC"/>
      </top>
      <bottom style="thin">
        <color theme="0"/>
      </bottom>
      <diagonal/>
    </border>
    <border>
      <left/>
      <right/>
      <top style="thin">
        <color rgb="FF1E1ECC"/>
      </top>
      <bottom style="thin">
        <color theme="0"/>
      </bottom>
      <diagonal/>
    </border>
    <border>
      <left/>
      <right/>
      <top style="thin">
        <color rgb="FF1E1ECC"/>
      </top>
      <bottom style="thin">
        <color theme="0"/>
      </bottom>
      <diagonal/>
    </border>
    <border>
      <left style="thin">
        <color theme="0"/>
      </left>
      <right style="thin">
        <color rgb="FFFFFFFF"/>
      </right>
      <top style="thin">
        <color theme="0"/>
      </top>
      <bottom style="thin">
        <color rgb="FFFFFFFF"/>
      </bottom>
      <diagonal/>
    </border>
    <border>
      <left style="thin">
        <color rgb="FFFFFFFF"/>
      </left>
      <right style="thin">
        <color rgb="FFFFFFFF"/>
      </right>
      <top/>
      <bottom/>
      <diagonal/>
    </border>
    <border>
      <left style="thin">
        <color rgb="FFFFFFFF"/>
      </left>
      <right/>
      <top/>
      <bottom/>
      <diagonal/>
    </border>
    <border>
      <left style="thin">
        <color rgb="FFFFFFFF"/>
      </left>
      <right/>
      <top/>
      <bottom/>
      <diagonal/>
    </border>
    <border>
      <left style="thin">
        <color rgb="FF1E1ECC"/>
      </left>
      <right/>
      <top style="thin">
        <color rgb="FF1E1ECC"/>
      </top>
      <bottom style="thin">
        <color rgb="FF1E1ECC"/>
      </bottom>
      <diagonal/>
    </border>
    <border>
      <left/>
      <right/>
      <top style="thin">
        <color rgb="FF1E1ECC"/>
      </top>
      <bottom style="thin">
        <color rgb="FF1E1ECC"/>
      </bottom>
      <diagonal/>
    </border>
    <border>
      <left/>
      <right style="thin">
        <color rgb="FF1E1ECC"/>
      </right>
      <top style="thin">
        <color rgb="FF1E1ECC"/>
      </top>
      <bottom style="thin">
        <color rgb="FF1E1ECC"/>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15">
    <xf numFmtId="0" fontId="0" fillId="0" borderId="0" xfId="0"/>
    <xf numFmtId="0" fontId="3" fillId="0" borderId="0" xfId="0" applyFont="1" applyAlignment="1">
      <alignment vertical="center"/>
    </xf>
    <xf numFmtId="0" fontId="7" fillId="3" borderId="10" xfId="0" applyFont="1" applyFill="1" applyBorder="1" applyAlignment="1">
      <alignment vertical="center" wrapText="1"/>
    </xf>
    <xf numFmtId="0" fontId="8" fillId="4" borderId="11" xfId="0" applyFont="1" applyFill="1" applyBorder="1" applyAlignment="1">
      <alignment vertical="center" wrapText="1"/>
    </xf>
    <xf numFmtId="0" fontId="7" fillId="3" borderId="11" xfId="0" applyFont="1" applyFill="1" applyBorder="1" applyAlignment="1">
      <alignment vertical="center" wrapText="1"/>
    </xf>
    <xf numFmtId="165" fontId="8" fillId="4" borderId="11" xfId="0" applyNumberFormat="1" applyFont="1" applyFill="1" applyBorder="1" applyAlignment="1">
      <alignment horizontal="center" vertical="center" wrapText="1"/>
    </xf>
    <xf numFmtId="10" fontId="8" fillId="4" borderId="11" xfId="0" applyNumberFormat="1" applyFont="1" applyFill="1" applyBorder="1" applyAlignment="1">
      <alignment vertical="center" wrapText="1"/>
    </xf>
    <xf numFmtId="0" fontId="10" fillId="5" borderId="20" xfId="0" applyFont="1" applyFill="1" applyBorder="1" applyAlignment="1">
      <alignment vertical="center" wrapText="1"/>
    </xf>
    <xf numFmtId="0" fontId="10" fillId="5" borderId="20" xfId="0" applyFont="1" applyFill="1" applyBorder="1" applyAlignment="1">
      <alignment horizontal="center" vertical="center" wrapText="1"/>
    </xf>
    <xf numFmtId="0" fontId="11" fillId="6" borderId="11" xfId="0" applyFont="1" applyFill="1" applyBorder="1" applyAlignment="1">
      <alignment vertical="center" wrapText="1"/>
    </xf>
    <xf numFmtId="9" fontId="12" fillId="6" borderId="11" xfId="0" applyNumberFormat="1" applyFont="1" applyFill="1" applyBorder="1" applyAlignment="1">
      <alignment horizontal="center" vertical="center" wrapText="1"/>
    </xf>
    <xf numFmtId="0" fontId="11" fillId="7" borderId="11" xfId="0" applyFont="1" applyFill="1" applyBorder="1" applyAlignment="1">
      <alignment vertical="center" wrapText="1"/>
    </xf>
    <xf numFmtId="9" fontId="12" fillId="7" borderId="11" xfId="0" applyNumberFormat="1" applyFont="1" applyFill="1" applyBorder="1" applyAlignment="1">
      <alignment horizontal="center" vertical="center" wrapText="1"/>
    </xf>
    <xf numFmtId="0" fontId="12" fillId="7" borderId="11" xfId="0" applyFont="1" applyFill="1" applyBorder="1" applyAlignment="1">
      <alignment horizontal="center" vertical="center" wrapText="1"/>
    </xf>
    <xf numFmtId="0" fontId="12" fillId="6" borderId="11" xfId="0" applyFont="1" applyFill="1" applyBorder="1" applyAlignment="1">
      <alignment horizontal="center" vertical="center" wrapText="1"/>
    </xf>
    <xf numFmtId="0" fontId="10" fillId="5" borderId="25" xfId="0" applyFont="1" applyFill="1" applyBorder="1" applyAlignment="1">
      <alignment vertical="center" wrapText="1"/>
    </xf>
    <xf numFmtId="0" fontId="10" fillId="5" borderId="26" xfId="0" applyFont="1" applyFill="1" applyBorder="1" applyAlignment="1">
      <alignment vertical="center" wrapText="1"/>
    </xf>
    <xf numFmtId="0" fontId="12" fillId="4" borderId="11" xfId="0" applyFont="1" applyFill="1" applyBorder="1" applyAlignment="1">
      <alignment vertical="center" wrapText="1"/>
    </xf>
    <xf numFmtId="17" fontId="15" fillId="4" borderId="11" xfId="0" applyNumberFormat="1" applyFont="1" applyFill="1" applyBorder="1" applyAlignment="1">
      <alignment horizontal="center" vertical="center" wrapText="1"/>
    </xf>
    <xf numFmtId="0" fontId="14" fillId="6" borderId="11" xfId="0" applyFont="1" applyFill="1" applyBorder="1" applyAlignment="1">
      <alignment vertical="center" wrapText="1"/>
    </xf>
    <xf numFmtId="0" fontId="16" fillId="6" borderId="11" xfId="0" applyFont="1" applyFill="1" applyBorder="1" applyAlignment="1">
      <alignment vertical="center" wrapText="1"/>
    </xf>
    <xf numFmtId="0" fontId="15" fillId="4" borderId="11" xfId="0" applyFont="1" applyFill="1" applyBorder="1" applyAlignment="1">
      <alignment vertical="center" wrapText="1"/>
    </xf>
    <xf numFmtId="0" fontId="3" fillId="0" borderId="31" xfId="0" applyFont="1" applyBorder="1" applyAlignment="1">
      <alignment vertical="center"/>
    </xf>
    <xf numFmtId="0" fontId="10" fillId="5" borderId="32" xfId="0" applyFont="1" applyFill="1" applyBorder="1" applyAlignment="1">
      <alignment vertical="center" wrapText="1"/>
    </xf>
    <xf numFmtId="0" fontId="7" fillId="3" borderId="36" xfId="0" applyFont="1" applyFill="1" applyBorder="1" applyAlignment="1">
      <alignment vertical="center" wrapText="1"/>
    </xf>
    <xf numFmtId="0" fontId="10" fillId="5" borderId="40" xfId="0" applyFont="1" applyFill="1" applyBorder="1" applyAlignment="1">
      <alignment vertical="center" wrapText="1"/>
    </xf>
    <xf numFmtId="0" fontId="10" fillId="5" borderId="41" xfId="0" applyFont="1" applyFill="1" applyBorder="1" applyAlignment="1">
      <alignment vertical="center" wrapText="1"/>
    </xf>
    <xf numFmtId="0" fontId="10" fillId="5" borderId="42" xfId="0" applyFont="1" applyFill="1" applyBorder="1" applyAlignment="1">
      <alignment vertical="center" wrapText="1"/>
    </xf>
    <xf numFmtId="0" fontId="12" fillId="6" borderId="25" xfId="0" applyFont="1" applyFill="1" applyBorder="1" applyAlignment="1">
      <alignment vertical="center" wrapText="1"/>
    </xf>
    <xf numFmtId="0" fontId="12" fillId="7" borderId="25" xfId="0" applyFont="1" applyFill="1" applyBorder="1" applyAlignment="1">
      <alignment vertical="center" wrapText="1"/>
    </xf>
    <xf numFmtId="0" fontId="17" fillId="0" borderId="0" xfId="0" applyFont="1" applyAlignment="1">
      <alignment vertical="center" wrapText="1"/>
    </xf>
    <xf numFmtId="0" fontId="12" fillId="0" borderId="0" xfId="0" applyFont="1" applyAlignment="1">
      <alignment vertical="center" wrapText="1"/>
    </xf>
    <xf numFmtId="0" fontId="11" fillId="0" borderId="0" xfId="0" applyFont="1" applyAlignment="1">
      <alignment vertical="center" wrapText="1"/>
    </xf>
    <xf numFmtId="0" fontId="3" fillId="0" borderId="0" xfId="0" applyFont="1"/>
    <xf numFmtId="0" fontId="20" fillId="0" borderId="0" xfId="0" applyFont="1"/>
    <xf numFmtId="0" fontId="21" fillId="0" borderId="0" xfId="0" applyFont="1"/>
    <xf numFmtId="0" fontId="22" fillId="0" borderId="0" xfId="0" applyFont="1"/>
    <xf numFmtId="0" fontId="7" fillId="3" borderId="11" xfId="0" applyFont="1" applyFill="1" applyBorder="1" applyAlignment="1">
      <alignment horizontal="center" vertical="center" wrapText="1"/>
    </xf>
    <xf numFmtId="0" fontId="12" fillId="6" borderId="11" xfId="0" applyFont="1" applyFill="1" applyBorder="1" applyAlignment="1">
      <alignment horizontal="left" vertical="center" wrapText="1"/>
    </xf>
    <xf numFmtId="0" fontId="12" fillId="7" borderId="11" xfId="0" applyFont="1" applyFill="1" applyBorder="1" applyAlignment="1">
      <alignment horizontal="left" vertical="center" wrapText="1"/>
    </xf>
    <xf numFmtId="0" fontId="11" fillId="6" borderId="11" xfId="0" applyFont="1" applyFill="1" applyBorder="1" applyAlignment="1">
      <alignment horizontal="left" vertical="center" wrapText="1"/>
    </xf>
    <xf numFmtId="0" fontId="11" fillId="7" borderId="11" xfId="0" applyFont="1" applyFill="1" applyBorder="1" applyAlignment="1">
      <alignment horizontal="left" vertical="center" wrapText="1"/>
    </xf>
    <xf numFmtId="0" fontId="24" fillId="0" borderId="0" xfId="0" applyFont="1" applyAlignment="1">
      <alignment horizontal="center" vertical="center"/>
    </xf>
    <xf numFmtId="0" fontId="25" fillId="0" borderId="0" xfId="0" applyFont="1" applyAlignment="1">
      <alignment horizontal="center" vertical="center"/>
    </xf>
    <xf numFmtId="0" fontId="25" fillId="0" borderId="0" xfId="0" applyFont="1"/>
    <xf numFmtId="166" fontId="24" fillId="0" borderId="0" xfId="0" applyNumberFormat="1" applyFont="1"/>
    <xf numFmtId="166" fontId="24" fillId="0" borderId="0" xfId="0" applyNumberFormat="1" applyFont="1" applyAlignment="1">
      <alignment horizontal="center" vertical="center"/>
    </xf>
    <xf numFmtId="9" fontId="24" fillId="0" borderId="0" xfId="0" applyNumberFormat="1" applyFont="1" applyAlignment="1">
      <alignment horizontal="center" vertical="center"/>
    </xf>
    <xf numFmtId="10" fontId="24" fillId="0" borderId="0" xfId="0" applyNumberFormat="1" applyFont="1" applyAlignment="1">
      <alignment horizontal="center" vertical="center"/>
    </xf>
    <xf numFmtId="0" fontId="25" fillId="10" borderId="47" xfId="0" applyFont="1" applyFill="1" applyBorder="1"/>
    <xf numFmtId="166" fontId="24" fillId="10" borderId="47" xfId="0" applyNumberFormat="1" applyFont="1" applyFill="1" applyBorder="1"/>
    <xf numFmtId="167" fontId="24" fillId="0" borderId="0" xfId="0" applyNumberFormat="1" applyFont="1" applyAlignment="1">
      <alignment horizontal="center" vertical="center"/>
    </xf>
    <xf numFmtId="17" fontId="24" fillId="0" borderId="0" xfId="0" applyNumberFormat="1" applyFont="1" applyAlignment="1">
      <alignment horizontal="center" vertical="center"/>
    </xf>
    <xf numFmtId="164" fontId="24" fillId="0" borderId="0" xfId="0" applyNumberFormat="1" applyFont="1" applyAlignment="1">
      <alignment horizontal="center" vertical="center"/>
    </xf>
    <xf numFmtId="164" fontId="25" fillId="11" borderId="47" xfId="0" applyNumberFormat="1" applyFont="1" applyFill="1" applyBorder="1" applyAlignment="1">
      <alignment horizontal="center" vertical="center"/>
    </xf>
    <xf numFmtId="164" fontId="25" fillId="12" borderId="47" xfId="0" applyNumberFormat="1" applyFont="1" applyFill="1" applyBorder="1" applyAlignment="1">
      <alignment horizontal="center" vertical="center"/>
    </xf>
    <xf numFmtId="164" fontId="25" fillId="13" borderId="47" xfId="0" applyNumberFormat="1" applyFont="1" applyFill="1" applyBorder="1" applyAlignment="1">
      <alignment horizontal="center" vertical="center"/>
    </xf>
    <xf numFmtId="164" fontId="25" fillId="0" borderId="0" xfId="0" applyNumberFormat="1" applyFont="1" applyAlignment="1">
      <alignment horizontal="center" vertical="center"/>
    </xf>
    <xf numFmtId="9" fontId="24" fillId="11" borderId="47" xfId="0" applyNumberFormat="1" applyFont="1" applyFill="1" applyBorder="1" applyAlignment="1">
      <alignment horizontal="center" vertical="center"/>
    </xf>
    <xf numFmtId="9" fontId="24" fillId="12" borderId="47" xfId="0" applyNumberFormat="1" applyFont="1" applyFill="1" applyBorder="1" applyAlignment="1">
      <alignment horizontal="center" vertical="center"/>
    </xf>
    <xf numFmtId="10" fontId="24" fillId="13" borderId="47" xfId="0" applyNumberFormat="1" applyFont="1" applyFill="1" applyBorder="1" applyAlignment="1">
      <alignment horizontal="center" vertical="center"/>
    </xf>
    <xf numFmtId="9" fontId="24" fillId="13" borderId="47" xfId="0" applyNumberFormat="1" applyFont="1" applyFill="1" applyBorder="1" applyAlignment="1">
      <alignment horizontal="center" vertical="center"/>
    </xf>
    <xf numFmtId="10" fontId="24" fillId="12" borderId="47" xfId="0" applyNumberFormat="1" applyFont="1" applyFill="1" applyBorder="1" applyAlignment="1">
      <alignment horizontal="center" vertical="center"/>
    </xf>
    <xf numFmtId="44" fontId="24" fillId="0" borderId="0" xfId="0" applyNumberFormat="1" applyFont="1" applyAlignment="1">
      <alignment horizontal="center" vertical="center"/>
    </xf>
    <xf numFmtId="165" fontId="24" fillId="0" borderId="0" xfId="0" applyNumberFormat="1" applyFont="1" applyAlignment="1">
      <alignment horizontal="center" vertical="center"/>
    </xf>
    <xf numFmtId="0" fontId="26" fillId="0" borderId="0" xfId="0" applyFont="1"/>
    <xf numFmtId="9" fontId="24" fillId="0" borderId="0" xfId="0" applyNumberFormat="1" applyFont="1"/>
    <xf numFmtId="168" fontId="14" fillId="14" borderId="48" xfId="0" applyNumberFormat="1" applyFont="1" applyFill="1" applyBorder="1" applyAlignment="1">
      <alignment horizontal="right" vertical="center" wrapText="1"/>
    </xf>
    <xf numFmtId="168" fontId="14" fillId="0" borderId="48" xfId="0" applyNumberFormat="1" applyFont="1" applyBorder="1" applyAlignment="1">
      <alignment horizontal="right" vertical="center" wrapText="1"/>
    </xf>
    <xf numFmtId="168" fontId="14" fillId="0" borderId="0" xfId="0" applyNumberFormat="1" applyFont="1" applyAlignment="1">
      <alignment horizontal="right" vertical="center" wrapText="1"/>
    </xf>
    <xf numFmtId="10" fontId="24" fillId="0" borderId="0" xfId="0" applyNumberFormat="1" applyFont="1"/>
    <xf numFmtId="169" fontId="24" fillId="0" borderId="0" xfId="0" applyNumberFormat="1" applyFont="1"/>
    <xf numFmtId="170" fontId="24" fillId="0" borderId="0" xfId="0" applyNumberFormat="1" applyFont="1"/>
    <xf numFmtId="171" fontId="24" fillId="0" borderId="0" xfId="0" applyNumberFormat="1" applyFont="1"/>
    <xf numFmtId="44" fontId="24" fillId="0" borderId="0" xfId="0" applyNumberFormat="1" applyFont="1"/>
    <xf numFmtId="43" fontId="24" fillId="0" borderId="0" xfId="0" applyNumberFormat="1" applyFont="1"/>
    <xf numFmtId="2" fontId="24" fillId="0" borderId="0" xfId="0" applyNumberFormat="1" applyFont="1"/>
    <xf numFmtId="2" fontId="27" fillId="0" borderId="0" xfId="0" applyNumberFormat="1" applyFont="1"/>
    <xf numFmtId="0" fontId="28" fillId="15" borderId="47" xfId="0" applyFont="1" applyFill="1" applyBorder="1" applyAlignment="1">
      <alignment horizontal="center" vertical="center"/>
    </xf>
    <xf numFmtId="17" fontId="28" fillId="15" borderId="47" xfId="0" applyNumberFormat="1" applyFont="1" applyFill="1" applyBorder="1" applyAlignment="1">
      <alignment horizontal="center" vertical="center"/>
    </xf>
    <xf numFmtId="17" fontId="4" fillId="15" borderId="47" xfId="0" applyNumberFormat="1" applyFont="1" applyFill="1" applyBorder="1" applyAlignment="1">
      <alignment horizontal="center" vertical="center"/>
    </xf>
    <xf numFmtId="44" fontId="29" fillId="0" borderId="0" xfId="0" applyNumberFormat="1" applyFont="1"/>
    <xf numFmtId="166" fontId="29" fillId="0" borderId="0" xfId="0" applyNumberFormat="1" applyFont="1"/>
    <xf numFmtId="166" fontId="30" fillId="0" borderId="0" xfId="0" applyNumberFormat="1" applyFont="1"/>
    <xf numFmtId="44" fontId="31" fillId="0" borderId="0" xfId="0" applyNumberFormat="1" applyFont="1"/>
    <xf numFmtId="10" fontId="31" fillId="0" borderId="0" xfId="0" applyNumberFormat="1" applyFont="1"/>
    <xf numFmtId="0" fontId="32" fillId="0" borderId="0" xfId="0" applyFont="1"/>
    <xf numFmtId="44" fontId="33" fillId="0" borderId="0" xfId="0" applyNumberFormat="1" applyFont="1"/>
    <xf numFmtId="166" fontId="33" fillId="0" borderId="0" xfId="0" applyNumberFormat="1" applyFont="1"/>
    <xf numFmtId="166" fontId="29" fillId="10" borderId="47" xfId="0" applyNumberFormat="1" applyFont="1" applyFill="1" applyBorder="1"/>
    <xf numFmtId="1" fontId="34" fillId="0" borderId="0" xfId="0" applyNumberFormat="1" applyFont="1"/>
    <xf numFmtId="2" fontId="34" fillId="0" borderId="0" xfId="0" applyNumberFormat="1" applyFont="1"/>
    <xf numFmtId="0" fontId="29" fillId="0" borderId="0" xfId="0" applyFont="1"/>
    <xf numFmtId="0" fontId="33" fillId="0" borderId="0" xfId="0" applyFont="1"/>
    <xf numFmtId="166" fontId="34" fillId="0" borderId="0" xfId="0" applyNumberFormat="1" applyFont="1"/>
    <xf numFmtId="0" fontId="24" fillId="10" borderId="47" xfId="0" applyFont="1" applyFill="1" applyBorder="1"/>
    <xf numFmtId="172" fontId="35" fillId="0" borderId="0" xfId="0" applyNumberFormat="1" applyFont="1"/>
    <xf numFmtId="171" fontId="35" fillId="0" borderId="0" xfId="0" applyNumberFormat="1" applyFont="1"/>
    <xf numFmtId="171" fontId="35" fillId="10" borderId="47" xfId="0" applyNumberFormat="1" applyFont="1" applyFill="1" applyBorder="1"/>
    <xf numFmtId="9" fontId="36" fillId="0" borderId="0" xfId="0" applyNumberFormat="1" applyFont="1"/>
    <xf numFmtId="44" fontId="27" fillId="0" borderId="0" xfId="0" applyNumberFormat="1" applyFont="1"/>
    <xf numFmtId="6" fontId="24" fillId="0" borderId="0" xfId="0" applyNumberFormat="1" applyFont="1"/>
    <xf numFmtId="10" fontId="25" fillId="0" borderId="0" xfId="0" applyNumberFormat="1" applyFont="1"/>
    <xf numFmtId="8" fontId="24" fillId="0" borderId="0" xfId="0" applyNumberFormat="1" applyFont="1"/>
    <xf numFmtId="166" fontId="25" fillId="0" borderId="0" xfId="0" applyNumberFormat="1" applyFont="1"/>
    <xf numFmtId="44" fontId="25" fillId="0" borderId="0" xfId="0" applyNumberFormat="1" applyFont="1"/>
    <xf numFmtId="17" fontId="25" fillId="0" borderId="0" xfId="0" applyNumberFormat="1" applyFont="1"/>
    <xf numFmtId="17" fontId="25" fillId="16" borderId="47" xfId="0" applyNumberFormat="1" applyFont="1" applyFill="1" applyBorder="1"/>
    <xf numFmtId="17" fontId="25" fillId="12" borderId="47" xfId="0" applyNumberFormat="1" applyFont="1" applyFill="1" applyBorder="1"/>
    <xf numFmtId="166" fontId="25" fillId="16" borderId="47" xfId="0" applyNumberFormat="1" applyFont="1" applyFill="1" applyBorder="1"/>
    <xf numFmtId="166" fontId="25" fillId="12" borderId="47" xfId="0" applyNumberFormat="1" applyFont="1" applyFill="1" applyBorder="1"/>
    <xf numFmtId="0" fontId="24" fillId="16" borderId="47" xfId="0" applyFont="1" applyFill="1" applyBorder="1"/>
    <xf numFmtId="0" fontId="24" fillId="12" borderId="47" xfId="0" applyFont="1" applyFill="1" applyBorder="1"/>
    <xf numFmtId="0" fontId="24" fillId="0" borderId="0" xfId="0" applyFont="1"/>
    <xf numFmtId="166" fontId="24" fillId="16" borderId="47" xfId="0" applyNumberFormat="1" applyFont="1" applyFill="1" applyBorder="1"/>
    <xf numFmtId="166" fontId="24" fillId="12" borderId="47" xfId="0" applyNumberFormat="1" applyFont="1" applyFill="1" applyBorder="1"/>
    <xf numFmtId="171" fontId="25" fillId="16" borderId="47" xfId="0" applyNumberFormat="1" applyFont="1" applyFill="1" applyBorder="1"/>
    <xf numFmtId="1" fontId="25" fillId="0" borderId="0" xfId="0" applyNumberFormat="1" applyFont="1"/>
    <xf numFmtId="171" fontId="32" fillId="0" borderId="0" xfId="0" applyNumberFormat="1" applyFont="1"/>
    <xf numFmtId="171" fontId="32" fillId="16" borderId="47" xfId="0" applyNumberFormat="1" applyFont="1" applyFill="1" applyBorder="1"/>
    <xf numFmtId="171" fontId="32" fillId="12" borderId="47" xfId="0" applyNumberFormat="1" applyFont="1" applyFill="1" applyBorder="1"/>
    <xf numFmtId="0" fontId="23" fillId="17" borderId="47" xfId="0" applyFont="1" applyFill="1" applyBorder="1"/>
    <xf numFmtId="0" fontId="24" fillId="17" borderId="47" xfId="0" applyFont="1" applyFill="1" applyBorder="1"/>
    <xf numFmtId="10" fontId="24" fillId="16" borderId="47" xfId="0" applyNumberFormat="1" applyFont="1" applyFill="1" applyBorder="1"/>
    <xf numFmtId="10" fontId="24" fillId="12" borderId="47" xfId="0" applyNumberFormat="1" applyFont="1" applyFill="1" applyBorder="1"/>
    <xf numFmtId="171" fontId="35" fillId="12" borderId="47" xfId="0" applyNumberFormat="1" applyFont="1" applyFill="1" applyBorder="1"/>
    <xf numFmtId="173" fontId="35" fillId="0" borderId="0" xfId="0" applyNumberFormat="1" applyFont="1"/>
    <xf numFmtId="172" fontId="35" fillId="12" borderId="47" xfId="0" applyNumberFormat="1" applyFont="1" applyFill="1" applyBorder="1"/>
    <xf numFmtId="0" fontId="37" fillId="0" borderId="0" xfId="0" applyFont="1"/>
    <xf numFmtId="0" fontId="33" fillId="18" borderId="49" xfId="0" applyFont="1" applyFill="1" applyBorder="1"/>
    <xf numFmtId="0" fontId="33" fillId="18" borderId="48" xfId="0" applyFont="1" applyFill="1" applyBorder="1"/>
    <xf numFmtId="0" fontId="24" fillId="19" borderId="53" xfId="0" applyFont="1" applyFill="1" applyBorder="1" applyAlignment="1">
      <alignment vertical="top" wrapText="1"/>
    </xf>
    <xf numFmtId="0" fontId="24" fillId="19" borderId="53" xfId="0" applyFont="1" applyFill="1" applyBorder="1" applyAlignment="1">
      <alignment vertical="top"/>
    </xf>
    <xf numFmtId="0" fontId="24" fillId="19" borderId="54" xfId="0" applyFont="1" applyFill="1" applyBorder="1" applyAlignment="1">
      <alignment vertical="top"/>
    </xf>
    <xf numFmtId="0" fontId="24" fillId="0" borderId="55" xfId="0" applyFont="1" applyBorder="1" applyAlignment="1">
      <alignment vertical="top" wrapText="1"/>
    </xf>
    <xf numFmtId="0" fontId="24" fillId="0" borderId="55" xfId="0" applyFont="1" applyBorder="1" applyAlignment="1">
      <alignment vertical="top"/>
    </xf>
    <xf numFmtId="0" fontId="24" fillId="0" borderId="56" xfId="0" applyFont="1" applyBorder="1" applyAlignment="1">
      <alignment vertical="top"/>
    </xf>
    <xf numFmtId="0" fontId="24" fillId="20" borderId="53" xfId="0" applyFont="1" applyFill="1" applyBorder="1" applyAlignment="1">
      <alignment wrapText="1"/>
    </xf>
    <xf numFmtId="0" fontId="24" fillId="20" borderId="53" xfId="0" applyFont="1" applyFill="1" applyBorder="1" applyAlignment="1">
      <alignment vertical="top"/>
    </xf>
    <xf numFmtId="0" fontId="24" fillId="20" borderId="53" xfId="0" applyFont="1" applyFill="1" applyBorder="1" applyAlignment="1">
      <alignment vertical="top" wrapText="1"/>
    </xf>
    <xf numFmtId="0" fontId="24" fillId="20" borderId="54" xfId="0" applyFont="1" applyFill="1" applyBorder="1"/>
    <xf numFmtId="0" fontId="24" fillId="0" borderId="57" xfId="0" applyFont="1" applyBorder="1" applyAlignment="1">
      <alignment vertical="top" wrapText="1"/>
    </xf>
    <xf numFmtId="0" fontId="24" fillId="0" borderId="57" xfId="0" applyFont="1" applyBorder="1" applyAlignment="1">
      <alignment vertical="top"/>
    </xf>
    <xf numFmtId="0" fontId="25" fillId="0" borderId="57" xfId="0" applyFont="1" applyBorder="1" applyAlignment="1">
      <alignment vertical="top"/>
    </xf>
    <xf numFmtId="0" fontId="24" fillId="0" borderId="58" xfId="0" applyFont="1" applyBorder="1" applyAlignment="1">
      <alignment vertical="top"/>
    </xf>
    <xf numFmtId="0" fontId="24" fillId="0" borderId="0" xfId="0" applyFont="1" applyAlignment="1">
      <alignment vertical="top"/>
    </xf>
    <xf numFmtId="0" fontId="24" fillId="0" borderId="55" xfId="0" applyFont="1" applyBorder="1" applyAlignment="1">
      <alignment wrapText="1"/>
    </xf>
    <xf numFmtId="0" fontId="24" fillId="0" borderId="56" xfId="0" applyFont="1" applyBorder="1"/>
    <xf numFmtId="0" fontId="24" fillId="19" borderId="59" xfId="0" applyFont="1" applyFill="1" applyBorder="1" applyAlignment="1">
      <alignment vertical="top" wrapText="1"/>
    </xf>
    <xf numFmtId="0" fontId="24" fillId="19" borderId="59" xfId="0" applyFont="1" applyFill="1" applyBorder="1" applyAlignment="1">
      <alignment vertical="top"/>
    </xf>
    <xf numFmtId="0" fontId="25" fillId="19" borderId="59" xfId="0" applyFont="1" applyFill="1" applyBorder="1" applyAlignment="1">
      <alignment vertical="top"/>
    </xf>
    <xf numFmtId="0" fontId="24" fillId="19" borderId="60" xfId="0" applyFont="1" applyFill="1" applyBorder="1" applyAlignment="1">
      <alignment vertical="top"/>
    </xf>
    <xf numFmtId="0" fontId="24" fillId="0" borderId="55" xfId="0" applyFont="1" applyBorder="1"/>
    <xf numFmtId="0" fontId="24" fillId="0" borderId="56" xfId="0" applyFont="1" applyBorder="1" applyAlignment="1">
      <alignment vertical="top" wrapText="1"/>
    </xf>
    <xf numFmtId="0" fontId="24" fillId="19" borderId="54" xfId="0" applyFont="1" applyFill="1" applyBorder="1" applyAlignment="1">
      <alignment vertical="top" wrapText="1"/>
    </xf>
    <xf numFmtId="0" fontId="24" fillId="0" borderId="0" xfId="0" applyFont="1" applyAlignment="1">
      <alignment vertical="top" wrapText="1"/>
    </xf>
    <xf numFmtId="0" fontId="24" fillId="0" borderId="0" xfId="0" applyFont="1" applyAlignment="1">
      <alignment wrapText="1"/>
    </xf>
    <xf numFmtId="166" fontId="0" fillId="0" borderId="0" xfId="0" applyNumberFormat="1"/>
    <xf numFmtId="0" fontId="36" fillId="0" borderId="0" xfId="0" applyFont="1"/>
    <xf numFmtId="174" fontId="33" fillId="0" borderId="0" xfId="0" applyNumberFormat="1" applyFont="1"/>
    <xf numFmtId="0" fontId="6" fillId="5" borderId="44" xfId="0" applyFont="1" applyFill="1" applyBorder="1" applyAlignment="1">
      <alignment horizontal="left" vertical="center" wrapText="1"/>
    </xf>
    <xf numFmtId="0" fontId="2" fillId="0" borderId="45" xfId="0" applyFont="1" applyBorder="1"/>
    <xf numFmtId="0" fontId="2" fillId="0" borderId="46" xfId="0" applyFont="1" applyBorder="1"/>
    <xf numFmtId="0" fontId="3" fillId="5" borderId="1" xfId="0" applyFont="1" applyFill="1" applyBorder="1"/>
    <xf numFmtId="0" fontId="2" fillId="0" borderId="2" xfId="0" applyFont="1" applyBorder="1"/>
    <xf numFmtId="0" fontId="2" fillId="0" borderId="3" xfId="0" applyFont="1" applyBorder="1"/>
    <xf numFmtId="0" fontId="6" fillId="5" borderId="4" xfId="0" applyFont="1" applyFill="1" applyBorder="1" applyAlignment="1">
      <alignment horizontal="left" vertical="center" wrapText="1"/>
    </xf>
    <xf numFmtId="0" fontId="2" fillId="0" borderId="5" xfId="0" applyFont="1" applyBorder="1"/>
    <xf numFmtId="0" fontId="2" fillId="0" borderId="6" xfId="0" applyFont="1" applyBorder="1"/>
    <xf numFmtId="0" fontId="18" fillId="6" borderId="4" xfId="0" applyFont="1" applyFill="1" applyBorder="1" applyAlignment="1">
      <alignment vertical="center" wrapText="1"/>
    </xf>
    <xf numFmtId="0" fontId="19" fillId="7" borderId="15" xfId="0" applyFont="1" applyFill="1" applyBorder="1" applyAlignment="1">
      <alignment horizontal="left" vertical="center" wrapText="1"/>
    </xf>
    <xf numFmtId="0" fontId="2" fillId="0" borderId="16" xfId="0" applyFont="1" applyBorder="1"/>
    <xf numFmtId="0" fontId="2" fillId="0" borderId="17" xfId="0" applyFont="1" applyBorder="1"/>
    <xf numFmtId="0" fontId="11" fillId="7" borderId="4" xfId="0" applyFont="1" applyFill="1" applyBorder="1" applyAlignment="1">
      <alignment horizontal="center" vertical="center" wrapText="1"/>
    </xf>
    <xf numFmtId="0" fontId="11" fillId="6" borderId="4" xfId="0" applyFont="1" applyFill="1" applyBorder="1" applyAlignment="1">
      <alignment horizontal="left" vertical="center" wrapText="1"/>
    </xf>
    <xf numFmtId="0" fontId="3" fillId="8" borderId="1" xfId="0" applyFont="1" applyFill="1" applyBorder="1" applyAlignment="1">
      <alignment vertical="center"/>
    </xf>
    <xf numFmtId="0" fontId="11" fillId="7" borderId="4" xfId="0" applyFont="1" applyFill="1" applyBorder="1" applyAlignment="1">
      <alignment horizontal="left" vertical="center" wrapText="1"/>
    </xf>
    <xf numFmtId="0" fontId="6" fillId="2" borderId="37" xfId="0" applyFont="1" applyFill="1" applyBorder="1" applyAlignment="1">
      <alignment vertical="center" wrapText="1"/>
    </xf>
    <xf numFmtId="0" fontId="2" fillId="0" borderId="38" xfId="0" applyFont="1" applyBorder="1"/>
    <xf numFmtId="0" fontId="2" fillId="0" borderId="39" xfId="0" applyFont="1" applyBorder="1"/>
    <xf numFmtId="0" fontId="10" fillId="5" borderId="43" xfId="0" applyFont="1" applyFill="1" applyBorder="1" applyAlignment="1">
      <alignment vertical="center" wrapText="1"/>
    </xf>
    <xf numFmtId="0" fontId="14" fillId="6" borderId="15" xfId="0" applyFont="1" applyFill="1" applyBorder="1" applyAlignment="1">
      <alignment horizontal="left" vertical="center" wrapText="1"/>
    </xf>
    <xf numFmtId="0" fontId="14" fillId="4" borderId="21" xfId="0" applyFont="1" applyFill="1" applyBorder="1" applyAlignment="1">
      <alignment horizontal="left" vertical="center" wrapText="1"/>
    </xf>
    <xf numFmtId="0" fontId="2" fillId="0" borderId="22" xfId="0" applyFont="1" applyBorder="1"/>
    <xf numFmtId="0" fontId="2" fillId="0" borderId="30" xfId="0" applyFont="1" applyBorder="1"/>
    <xf numFmtId="0" fontId="6" fillId="2" borderId="7" xfId="0" applyFont="1" applyFill="1" applyBorder="1" applyAlignment="1">
      <alignment vertical="center" wrapText="1"/>
    </xf>
    <xf numFmtId="0" fontId="2" fillId="0" borderId="8" xfId="0" applyFont="1" applyBorder="1"/>
    <xf numFmtId="0" fontId="2" fillId="0" borderId="9" xfId="0" applyFont="1" applyBorder="1"/>
    <xf numFmtId="0" fontId="10" fillId="5" borderId="33" xfId="0" applyFont="1" applyFill="1" applyBorder="1" applyAlignment="1">
      <alignment horizontal="left" vertical="center" wrapText="1"/>
    </xf>
    <xf numFmtId="0" fontId="2" fillId="0" borderId="34" xfId="0" applyFont="1" applyBorder="1"/>
    <xf numFmtId="0" fontId="2" fillId="0" borderId="35" xfId="0" applyFont="1" applyBorder="1"/>
    <xf numFmtId="0" fontId="9" fillId="3" borderId="15" xfId="0" applyFont="1" applyFill="1" applyBorder="1" applyAlignment="1">
      <alignment horizontal="left" vertical="center" wrapText="1"/>
    </xf>
    <xf numFmtId="0" fontId="2" fillId="0" borderId="24" xfId="0" applyFont="1" applyBorder="1"/>
    <xf numFmtId="0" fontId="13" fillId="3" borderId="15" xfId="0" applyFont="1" applyFill="1" applyBorder="1" applyAlignment="1">
      <alignment horizontal="left" vertical="center" wrapText="1"/>
    </xf>
    <xf numFmtId="0" fontId="10" fillId="5" borderId="27" xfId="0" applyFont="1" applyFill="1" applyBorder="1" applyAlignment="1">
      <alignment vertical="center" wrapText="1"/>
    </xf>
    <xf numFmtId="0" fontId="2" fillId="0" borderId="28" xfId="0" applyFont="1" applyBorder="1"/>
    <xf numFmtId="0" fontId="2" fillId="0" borderId="29" xfId="0" applyFont="1" applyBorder="1"/>
    <xf numFmtId="0" fontId="8" fillId="4" borderId="15" xfId="0" applyFont="1" applyFill="1" applyBorder="1" applyAlignment="1">
      <alignment horizontal="center" vertical="center" wrapText="1"/>
    </xf>
    <xf numFmtId="0" fontId="6" fillId="2" borderId="18" xfId="0" applyFont="1" applyFill="1" applyBorder="1" applyAlignment="1">
      <alignment horizontal="left" vertical="center" wrapText="1"/>
    </xf>
    <xf numFmtId="0" fontId="9" fillId="3" borderId="12" xfId="0" applyFont="1" applyFill="1" applyBorder="1" applyAlignment="1">
      <alignment horizontal="left" vertical="center" wrapText="1"/>
    </xf>
    <xf numFmtId="0" fontId="2" fillId="0" borderId="13" xfId="0" applyFont="1" applyBorder="1"/>
    <xf numFmtId="0" fontId="2" fillId="0" borderId="19" xfId="0" applyFont="1" applyBorder="1"/>
    <xf numFmtId="0" fontId="9" fillId="3" borderId="21" xfId="0" applyFont="1" applyFill="1" applyBorder="1" applyAlignment="1">
      <alignment horizontal="left" vertical="center" wrapText="1"/>
    </xf>
    <xf numFmtId="0" fontId="2" fillId="0" borderId="23" xfId="0" applyFont="1" applyBorder="1"/>
    <xf numFmtId="164" fontId="8" fillId="4" borderId="15" xfId="0" applyNumberFormat="1" applyFont="1" applyFill="1" applyBorder="1" applyAlignment="1">
      <alignment horizontal="center" vertical="center" wrapText="1"/>
    </xf>
    <xf numFmtId="0" fontId="8" fillId="4" borderId="15" xfId="0" applyFont="1" applyFill="1" applyBorder="1" applyAlignment="1">
      <alignment vertical="center" wrapText="1"/>
    </xf>
    <xf numFmtId="0" fontId="1" fillId="2" borderId="1" xfId="0" applyFont="1" applyFill="1" applyBorder="1" applyAlignment="1">
      <alignment vertical="center"/>
    </xf>
    <xf numFmtId="0" fontId="4" fillId="2" borderId="1" xfId="0" applyFont="1" applyFill="1" applyBorder="1" applyAlignment="1">
      <alignment vertical="center" wrapText="1"/>
    </xf>
    <xf numFmtId="0" fontId="5" fillId="3" borderId="4" xfId="0" applyFont="1" applyFill="1" applyBorder="1" applyAlignment="1">
      <alignment vertical="center" wrapText="1"/>
    </xf>
    <xf numFmtId="0" fontId="8" fillId="4" borderId="12" xfId="0" applyFont="1" applyFill="1" applyBorder="1" applyAlignment="1">
      <alignment horizontal="center" vertical="center" wrapText="1"/>
    </xf>
    <xf numFmtId="0" fontId="2" fillId="0" borderId="14" xfId="0" applyFont="1" applyBorder="1"/>
    <xf numFmtId="0" fontId="23" fillId="9" borderId="1" xfId="0" applyFont="1" applyFill="1" applyBorder="1" applyAlignment="1">
      <alignment horizontal="center" vertical="center"/>
    </xf>
    <xf numFmtId="0" fontId="24" fillId="0" borderId="50" xfId="0" applyFont="1" applyBorder="1" applyAlignment="1">
      <alignment horizontal="center" vertical="top" wrapText="1"/>
    </xf>
    <xf numFmtId="0" fontId="2" fillId="0" borderId="51" xfId="0" applyFont="1" applyBorder="1"/>
    <xf numFmtId="0" fontId="2" fillId="0" borderId="52" xfId="0" applyFont="1" applyBorder="1"/>
  </cellXfs>
  <cellStyles count="1">
    <cellStyle name="Normal" xfId="0" builtinId="0"/>
  </cellStyles>
  <dxfs count="16">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s-MX" sz="1400" b="0" i="0">
                <a:solidFill>
                  <a:srgbClr val="757575"/>
                </a:solidFill>
                <a:latin typeface="+mn-lt"/>
              </a:rPr>
              <a:t>IMOR 16</a:t>
            </a:r>
          </a:p>
        </c:rich>
      </c:tx>
      <c:overlay val="0"/>
    </c:title>
    <c:autoTitleDeleted val="0"/>
    <c:plotArea>
      <c:layout/>
      <c:lineChart>
        <c:grouping val="standard"/>
        <c:varyColors val="1"/>
        <c:ser>
          <c:idx val="0"/>
          <c:order val="0"/>
          <c:spPr>
            <a:ln w="28575" cmpd="sng">
              <a:solidFill>
                <a:srgbClr val="00B0F0">
                  <a:alpha val="100000"/>
                </a:srgbClr>
              </a:solidFill>
            </a:ln>
          </c:spPr>
          <c:marker>
            <c:symbol val="none"/>
          </c:marker>
          <c:cat>
            <c:numRef>
              <c:f>Monitoreo!$B$3:$BJ$3</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Monitoreo!$B$4:$BJ$4</c:f>
              <c:numCache>
                <c:formatCode>0.00%</c:formatCode>
                <c:ptCount val="61"/>
                <c:pt idx="0">
                  <c:v>5.1749425900626901E-2</c:v>
                </c:pt>
                <c:pt idx="2">
                  <c:v>3.8760461485424891E-2</c:v>
                </c:pt>
                <c:pt idx="3">
                  <c:v>3.7997795339011348E-2</c:v>
                </c:pt>
                <c:pt idx="4">
                  <c:v>2.4646229687134175E-2</c:v>
                </c:pt>
                <c:pt idx="5">
                  <c:v>7.1112877096389068E-2</c:v>
                </c:pt>
                <c:pt idx="6">
                  <c:v>7.4020122102406716E-2</c:v>
                </c:pt>
                <c:pt idx="7">
                  <c:v>9.8921488596477591E-2</c:v>
                </c:pt>
                <c:pt idx="8">
                  <c:v>0.11188498752783917</c:v>
                </c:pt>
                <c:pt idx="9">
                  <c:v>0.13215844452339962</c:v>
                </c:pt>
                <c:pt idx="10">
                  <c:v>0.11651676459481995</c:v>
                </c:pt>
                <c:pt idx="11">
                  <c:v>0.10914943119632835</c:v>
                </c:pt>
                <c:pt idx="12">
                  <c:v>7.6144905856400949E-2</c:v>
                </c:pt>
                <c:pt idx="13">
                  <c:v>6.7766140129845789E-2</c:v>
                </c:pt>
                <c:pt idx="14">
                  <c:v>6.7340333492078505E-2</c:v>
                </c:pt>
              </c:numCache>
            </c:numRef>
          </c:val>
          <c:smooth val="0"/>
          <c:extLst>
            <c:ext xmlns:c16="http://schemas.microsoft.com/office/drawing/2014/chart" uri="{C3380CC4-5D6E-409C-BE32-E72D297353CC}">
              <c16:uniqueId val="{00000000-7FE8-7346-8F7A-EB32B06338C2}"/>
            </c:ext>
          </c:extLst>
        </c:ser>
        <c:ser>
          <c:idx val="1"/>
          <c:order val="1"/>
          <c:spPr>
            <a:ln w="28575" cmpd="sng">
              <a:solidFill>
                <a:srgbClr val="FF0000">
                  <a:alpha val="100000"/>
                </a:srgbClr>
              </a:solidFill>
              <a:prstDash val="dash"/>
            </a:ln>
          </c:spPr>
          <c:marker>
            <c:symbol val="none"/>
          </c:marker>
          <c:cat>
            <c:numRef>
              <c:f>Monitoreo!$B$3:$BJ$3</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Monitoreo!$B$5:$BJ$5</c:f>
              <c:numCache>
                <c:formatCode>0.00%</c:formatCode>
                <c:ptCount val="61"/>
                <c:pt idx="0">
                  <c:v>7.4999999999999997E-2</c:v>
                </c:pt>
                <c:pt idx="1">
                  <c:v>7.4999999999999997E-2</c:v>
                </c:pt>
                <c:pt idx="2">
                  <c:v>7.4999999999999997E-2</c:v>
                </c:pt>
                <c:pt idx="3">
                  <c:v>7.4999999999999997E-2</c:v>
                </c:pt>
                <c:pt idx="4">
                  <c:v>7.4999999999999997E-2</c:v>
                </c:pt>
                <c:pt idx="5">
                  <c:v>7.4999999999999997E-2</c:v>
                </c:pt>
                <c:pt idx="6">
                  <c:v>7.4999999999999997E-2</c:v>
                </c:pt>
                <c:pt idx="7">
                  <c:v>7.4999999999999997E-2</c:v>
                </c:pt>
                <c:pt idx="8">
                  <c:v>7.4999999999999997E-2</c:v>
                </c:pt>
                <c:pt idx="9">
                  <c:v>7.4999999999999997E-2</c:v>
                </c:pt>
                <c:pt idx="10">
                  <c:v>7.4999999999999997E-2</c:v>
                </c:pt>
                <c:pt idx="11">
                  <c:v>7.4999999999999997E-2</c:v>
                </c:pt>
                <c:pt idx="12">
                  <c:v>7.4999999999999997E-2</c:v>
                </c:pt>
                <c:pt idx="13">
                  <c:v>7.4999999999999997E-2</c:v>
                </c:pt>
                <c:pt idx="14">
                  <c:v>7.4999999999999997E-2</c:v>
                </c:pt>
                <c:pt idx="15">
                  <c:v>7.4999999999999997E-2</c:v>
                </c:pt>
                <c:pt idx="16">
                  <c:v>7.4999999999999997E-2</c:v>
                </c:pt>
                <c:pt idx="17">
                  <c:v>7.4999999999999997E-2</c:v>
                </c:pt>
                <c:pt idx="18">
                  <c:v>7.4999999999999997E-2</c:v>
                </c:pt>
                <c:pt idx="19">
                  <c:v>7.4999999999999997E-2</c:v>
                </c:pt>
                <c:pt idx="20">
                  <c:v>7.4999999999999997E-2</c:v>
                </c:pt>
                <c:pt idx="21">
                  <c:v>7.4999999999999997E-2</c:v>
                </c:pt>
                <c:pt idx="22">
                  <c:v>7.4999999999999997E-2</c:v>
                </c:pt>
                <c:pt idx="23">
                  <c:v>7.4999999999999997E-2</c:v>
                </c:pt>
                <c:pt idx="24">
                  <c:v>7.4999999999999997E-2</c:v>
                </c:pt>
                <c:pt idx="25">
                  <c:v>7.4999999999999997E-2</c:v>
                </c:pt>
                <c:pt idx="26">
                  <c:v>7.4999999999999997E-2</c:v>
                </c:pt>
                <c:pt idx="27">
                  <c:v>7.4999999999999997E-2</c:v>
                </c:pt>
                <c:pt idx="28">
                  <c:v>7.4999999999999997E-2</c:v>
                </c:pt>
                <c:pt idx="29">
                  <c:v>7.4999999999999997E-2</c:v>
                </c:pt>
                <c:pt idx="30">
                  <c:v>7.4999999999999997E-2</c:v>
                </c:pt>
                <c:pt idx="31">
                  <c:v>7.4999999999999997E-2</c:v>
                </c:pt>
                <c:pt idx="32">
                  <c:v>7.4999999999999997E-2</c:v>
                </c:pt>
                <c:pt idx="33">
                  <c:v>7.4999999999999997E-2</c:v>
                </c:pt>
                <c:pt idx="34">
                  <c:v>7.4999999999999997E-2</c:v>
                </c:pt>
                <c:pt idx="35">
                  <c:v>7.4999999999999997E-2</c:v>
                </c:pt>
                <c:pt idx="36">
                  <c:v>7.4999999999999997E-2</c:v>
                </c:pt>
                <c:pt idx="37">
                  <c:v>7.4999999999999997E-2</c:v>
                </c:pt>
                <c:pt idx="38">
                  <c:v>7.4999999999999997E-2</c:v>
                </c:pt>
                <c:pt idx="39">
                  <c:v>7.4999999999999997E-2</c:v>
                </c:pt>
                <c:pt idx="40">
                  <c:v>7.4999999999999997E-2</c:v>
                </c:pt>
                <c:pt idx="41">
                  <c:v>7.4999999999999997E-2</c:v>
                </c:pt>
                <c:pt idx="42">
                  <c:v>7.4999999999999997E-2</c:v>
                </c:pt>
                <c:pt idx="43">
                  <c:v>7.4999999999999997E-2</c:v>
                </c:pt>
                <c:pt idx="44">
                  <c:v>7.4999999999999997E-2</c:v>
                </c:pt>
                <c:pt idx="45">
                  <c:v>7.4999999999999997E-2</c:v>
                </c:pt>
                <c:pt idx="46">
                  <c:v>7.4999999999999997E-2</c:v>
                </c:pt>
                <c:pt idx="47">
                  <c:v>7.4999999999999997E-2</c:v>
                </c:pt>
                <c:pt idx="48">
                  <c:v>7.4999999999999997E-2</c:v>
                </c:pt>
                <c:pt idx="49">
                  <c:v>7.4999999999999997E-2</c:v>
                </c:pt>
                <c:pt idx="50">
                  <c:v>7.4999999999999997E-2</c:v>
                </c:pt>
                <c:pt idx="51">
                  <c:v>7.4999999999999997E-2</c:v>
                </c:pt>
                <c:pt idx="52">
                  <c:v>7.4999999999999997E-2</c:v>
                </c:pt>
                <c:pt idx="53">
                  <c:v>7.4999999999999997E-2</c:v>
                </c:pt>
                <c:pt idx="54">
                  <c:v>7.4999999999999997E-2</c:v>
                </c:pt>
                <c:pt idx="55">
                  <c:v>7.4999999999999997E-2</c:v>
                </c:pt>
                <c:pt idx="56">
                  <c:v>7.4999999999999997E-2</c:v>
                </c:pt>
                <c:pt idx="57">
                  <c:v>7.4999999999999997E-2</c:v>
                </c:pt>
                <c:pt idx="58">
                  <c:v>7.4999999999999997E-2</c:v>
                </c:pt>
                <c:pt idx="59">
                  <c:v>7.4999999999999997E-2</c:v>
                </c:pt>
                <c:pt idx="60">
                  <c:v>7.4999999999999997E-2</c:v>
                </c:pt>
              </c:numCache>
            </c:numRef>
          </c:val>
          <c:smooth val="0"/>
          <c:extLst>
            <c:ext xmlns:c16="http://schemas.microsoft.com/office/drawing/2014/chart" uri="{C3380CC4-5D6E-409C-BE32-E72D297353CC}">
              <c16:uniqueId val="{00000001-7FE8-7346-8F7A-EB32B06338C2}"/>
            </c:ext>
          </c:extLst>
        </c:ser>
        <c:dLbls>
          <c:showLegendKey val="0"/>
          <c:showVal val="0"/>
          <c:showCatName val="0"/>
          <c:showSerName val="0"/>
          <c:showPercent val="0"/>
          <c:showBubbleSize val="0"/>
        </c:dLbls>
        <c:smooth val="0"/>
        <c:axId val="406866881"/>
        <c:axId val="387818611"/>
      </c:lineChart>
      <c:dateAx>
        <c:axId val="406866881"/>
        <c:scaling>
          <c:orientation val="minMax"/>
        </c:scaling>
        <c:delete val="0"/>
        <c:axPos val="b"/>
        <c:title>
          <c:tx>
            <c:rich>
              <a:bodyPr/>
              <a:lstStyle/>
              <a:p>
                <a:pPr lvl="0">
                  <a:defRPr b="0">
                    <a:solidFill>
                      <a:srgbClr val="000000"/>
                    </a:solidFill>
                    <a:latin typeface="+mn-lt"/>
                  </a:defRPr>
                </a:pPr>
                <a:endParaRPr lang="es-MX"/>
              </a:p>
            </c:rich>
          </c:tx>
          <c:overlay val="0"/>
        </c:title>
        <c:numFmt formatCode="[$-409]mmm\-yy" sourceLinked="1"/>
        <c:majorTickMark val="out"/>
        <c:minorTickMark val="none"/>
        <c:tickLblPos val="nextTo"/>
        <c:txPr>
          <a:bodyPr/>
          <a:lstStyle/>
          <a:p>
            <a:pPr lvl="0">
              <a:defRPr sz="900" b="0" i="0">
                <a:solidFill>
                  <a:srgbClr val="000000"/>
                </a:solidFill>
                <a:latin typeface="+mn-lt"/>
              </a:defRPr>
            </a:pPr>
            <a:endParaRPr lang="es-MX"/>
          </a:p>
        </c:txPr>
        <c:crossAx val="387818611"/>
        <c:crosses val="autoZero"/>
        <c:auto val="1"/>
        <c:lblOffset val="100"/>
        <c:baseTimeUnit val="months"/>
      </c:dateAx>
      <c:valAx>
        <c:axId val="38781861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MX"/>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s-MX"/>
          </a:p>
        </c:txPr>
        <c:crossAx val="406866881"/>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s-MX" sz="1400" b="0" i="0">
                <a:solidFill>
                  <a:srgbClr val="757575"/>
                </a:solidFill>
                <a:latin typeface="+mn-lt"/>
              </a:rPr>
              <a:t>Indice de apalancamiento</a:t>
            </a:r>
          </a:p>
        </c:rich>
      </c:tx>
      <c:overlay val="0"/>
    </c:title>
    <c:autoTitleDeleted val="0"/>
    <c:plotArea>
      <c:layout/>
      <c:lineChart>
        <c:grouping val="standard"/>
        <c:varyColors val="1"/>
        <c:ser>
          <c:idx val="0"/>
          <c:order val="0"/>
          <c:spPr>
            <a:ln w="28575" cmpd="sng">
              <a:solidFill>
                <a:schemeClr val="accent1"/>
              </a:solidFill>
            </a:ln>
          </c:spPr>
          <c:marker>
            <c:symbol val="none"/>
          </c:marker>
          <c:cat>
            <c:numRef>
              <c:f>Monitoreo!$B$8:$BJ$8</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Monitoreo!$B$9:$BJ$9</c:f>
              <c:numCache>
                <c:formatCode>_(* #,##0.0_);_(* \(#,##0.0\);_(* "-"??_);_(@_)</c:formatCode>
                <c:ptCount val="61"/>
                <c:pt idx="0">
                  <c:v>0.79734676643686309</c:v>
                </c:pt>
                <c:pt idx="1">
                  <c:v>0.79016043680382875</c:v>
                </c:pt>
                <c:pt idx="2">
                  <c:v>2.0580309926328004</c:v>
                </c:pt>
                <c:pt idx="3">
                  <c:v>2.9822117002719231</c:v>
                </c:pt>
                <c:pt idx="4">
                  <c:v>4.9712842075347581</c:v>
                </c:pt>
                <c:pt idx="5">
                  <c:v>5.5084033278450439</c:v>
                </c:pt>
                <c:pt idx="6">
                  <c:v>5.8675784233999213</c:v>
                </c:pt>
                <c:pt idx="7">
                  <c:v>5.4374108207687497</c:v>
                </c:pt>
                <c:pt idx="8">
                  <c:v>5.0600933042636322</c:v>
                </c:pt>
                <c:pt idx="9">
                  <c:v>4.6694509257622938</c:v>
                </c:pt>
                <c:pt idx="10">
                  <c:v>4.3191163969752688</c:v>
                </c:pt>
                <c:pt idx="11">
                  <c:v>3.9547158001709573</c:v>
                </c:pt>
                <c:pt idx="12">
                  <c:v>3.6246798620701854</c:v>
                </c:pt>
                <c:pt idx="13">
                  <c:v>3.3252768345170476</c:v>
                </c:pt>
                <c:pt idx="14">
                  <c:v>3.0524607254836438</c:v>
                </c:pt>
                <c:pt idx="15">
                  <c:v>2.8030714967028576</c:v>
                </c:pt>
                <c:pt idx="16">
                  <c:v>2.5742035768573062</c:v>
                </c:pt>
                <c:pt idx="17">
                  <c:v>2.3639874502680813</c:v>
                </c:pt>
                <c:pt idx="18">
                  <c:v>2.1703564165082727</c:v>
                </c:pt>
                <c:pt idx="19">
                  <c:v>1.991606018274948</c:v>
                </c:pt>
                <c:pt idx="20">
                  <c:v>1.8261806824528264</c:v>
                </c:pt>
                <c:pt idx="21">
                  <c:v>1.6730627609078066</c:v>
                </c:pt>
                <c:pt idx="22">
                  <c:v>1.5309750541045104</c:v>
                </c:pt>
                <c:pt idx="23">
                  <c:v>1.3985365032816002</c:v>
                </c:pt>
                <c:pt idx="24">
                  <c:v>1.2747948848991026</c:v>
                </c:pt>
                <c:pt idx="25">
                  <c:v>1.1588762862451041</c:v>
                </c:pt>
                <c:pt idx="26">
                  <c:v>1.0502147853361488</c:v>
                </c:pt>
                <c:pt idx="27">
                  <c:v>0.94818672594458397</c:v>
                </c:pt>
                <c:pt idx="28">
                  <c:v>0.85234427342178343</c:v>
                </c:pt>
                <c:pt idx="29">
                  <c:v>0.76216706958481817</c:v>
                </c:pt>
                <c:pt idx="30">
                  <c:v>0.67709590667501041</c:v>
                </c:pt>
                <c:pt idx="31">
                  <c:v>0.59674305184408782</c:v>
                </c:pt>
                <c:pt idx="32">
                  <c:v>0.52074529588692975</c:v>
                </c:pt>
                <c:pt idx="33">
                  <c:v>0.44875219457183219</c:v>
                </c:pt>
                <c:pt idx="34">
                  <c:v>0.38047341818835084</c:v>
                </c:pt>
                <c:pt idx="35">
                  <c:v>0.31566258019168209</c:v>
                </c:pt>
                <c:pt idx="36">
                  <c:v>0.25408611637827777</c:v>
                </c:pt>
                <c:pt idx="37">
                  <c:v>0.19554754003173419</c:v>
                </c:pt>
                <c:pt idx="38">
                  <c:v>0.13981177642133896</c:v>
                </c:pt>
                <c:pt idx="39">
                  <c:v>0.11096493444650765</c:v>
                </c:pt>
                <c:pt idx="40">
                  <c:v>8.353025656674623E-2</c:v>
                </c:pt>
                <c:pt idx="41">
                  <c:v>8.0039495588744888E-2</c:v>
                </c:pt>
                <c:pt idx="42">
                  <c:v>7.6737417511449899E-2</c:v>
                </c:pt>
                <c:pt idx="43">
                  <c:v>7.3626308421858466E-2</c:v>
                </c:pt>
                <c:pt idx="44">
                  <c:v>7.0707209506817109E-2</c:v>
                </c:pt>
                <c:pt idx="45">
                  <c:v>6.7938782661602942E-2</c:v>
                </c:pt>
                <c:pt idx="46">
                  <c:v>6.5318122904151343E-2</c:v>
                </c:pt>
                <c:pt idx="47">
                  <c:v>6.282452366531277E-2</c:v>
                </c:pt>
                <c:pt idx="48">
                  <c:v>6.0484175951107118E-2</c:v>
                </c:pt>
                <c:pt idx="49">
                  <c:v>5.8248765963992824E-2</c:v>
                </c:pt>
                <c:pt idx="50">
                  <c:v>5.6140854683198627E-2</c:v>
                </c:pt>
                <c:pt idx="51">
                  <c:v>5.4112237634610184E-2</c:v>
                </c:pt>
                <c:pt idx="52">
                  <c:v>5.2154660492119524E-2</c:v>
                </c:pt>
                <c:pt idx="53">
                  <c:v>5.0247356496700361E-2</c:v>
                </c:pt>
                <c:pt idx="54">
                  <c:v>4.8408809465520973E-2</c:v>
                </c:pt>
                <c:pt idx="55">
                  <c:v>4.6493149270198306E-2</c:v>
                </c:pt>
                <c:pt idx="56">
                  <c:v>4.461642413881986E-2</c:v>
                </c:pt>
                <c:pt idx="57">
                  <c:v>4.2780045050361988E-2</c:v>
                </c:pt>
                <c:pt idx="58">
                  <c:v>4.2117685314118858E-2</c:v>
                </c:pt>
                <c:pt idx="59">
                  <c:v>4.1466432830127964E-2</c:v>
                </c:pt>
                <c:pt idx="60">
                  <c:v>4.0826052649541117E-2</c:v>
                </c:pt>
              </c:numCache>
            </c:numRef>
          </c:val>
          <c:smooth val="0"/>
          <c:extLst>
            <c:ext xmlns:c16="http://schemas.microsoft.com/office/drawing/2014/chart" uri="{C3380CC4-5D6E-409C-BE32-E72D297353CC}">
              <c16:uniqueId val="{00000000-6238-904A-9DA3-5CF53AC70C6C}"/>
            </c:ext>
          </c:extLst>
        </c:ser>
        <c:ser>
          <c:idx val="1"/>
          <c:order val="1"/>
          <c:spPr>
            <a:ln w="28575" cmpd="sng">
              <a:solidFill>
                <a:srgbClr val="00B0F0">
                  <a:alpha val="100000"/>
                </a:srgbClr>
              </a:solidFill>
            </a:ln>
          </c:spPr>
          <c:marker>
            <c:symbol val="none"/>
          </c:marker>
          <c:cat>
            <c:numRef>
              <c:f>Monitoreo!$B$8:$BJ$8</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Monitoreo!$B$10:$BJ$10</c:f>
              <c:numCache>
                <c:formatCode>_(* #,##0.0_);_(* \(#,##0.0\);_(* "-"??_);_(@_)</c:formatCode>
                <c:ptCount val="61"/>
                <c:pt idx="0">
                  <c:v>1.0218305184748138</c:v>
                </c:pt>
                <c:pt idx="1">
                  <c:v>1.1200473559589581</c:v>
                </c:pt>
                <c:pt idx="2">
                  <c:v>1.5228593568384348</c:v>
                </c:pt>
                <c:pt idx="3">
                  <c:v>3.1426380368098159</c:v>
                </c:pt>
                <c:pt idx="4">
                  <c:v>3.2542372445522809</c:v>
                </c:pt>
                <c:pt idx="5">
                  <c:v>4.3216202312720382</c:v>
                </c:pt>
                <c:pt idx="6">
                  <c:v>4.0454955632425929</c:v>
                </c:pt>
                <c:pt idx="7">
                  <c:v>5.2496794929794888</c:v>
                </c:pt>
                <c:pt idx="8">
                  <c:v>6.5992078955638034</c:v>
                </c:pt>
                <c:pt idx="9">
                  <c:v>7.8936354631005452</c:v>
                </c:pt>
                <c:pt idx="10">
                  <c:v>8.9212746135726153</c:v>
                </c:pt>
                <c:pt idx="11">
                  <c:v>8.5685906424831444</c:v>
                </c:pt>
                <c:pt idx="12">
                  <c:v>9.2171374192619044</c:v>
                </c:pt>
                <c:pt idx="13">
                  <c:v>11.591329068941009</c:v>
                </c:pt>
                <c:pt idx="14">
                  <c:v>14.334916864608076</c:v>
                </c:pt>
              </c:numCache>
            </c:numRef>
          </c:val>
          <c:smooth val="0"/>
          <c:extLst>
            <c:ext xmlns:c16="http://schemas.microsoft.com/office/drawing/2014/chart" uri="{C3380CC4-5D6E-409C-BE32-E72D297353CC}">
              <c16:uniqueId val="{00000001-6238-904A-9DA3-5CF53AC70C6C}"/>
            </c:ext>
          </c:extLst>
        </c:ser>
        <c:ser>
          <c:idx val="2"/>
          <c:order val="2"/>
          <c:spPr>
            <a:ln w="28575" cmpd="sng">
              <a:solidFill>
                <a:srgbClr val="FF0000">
                  <a:alpha val="100000"/>
                </a:srgbClr>
              </a:solidFill>
              <a:prstDash val="dash"/>
            </a:ln>
          </c:spPr>
          <c:marker>
            <c:symbol val="none"/>
          </c:marker>
          <c:cat>
            <c:numRef>
              <c:f>Monitoreo!$B$8:$BJ$8</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Monitoreo!$B$11:$BJ$11</c:f>
              <c:numCache>
                <c:formatCode>0.0</c:formatCode>
                <c:ptCount val="61"/>
                <c:pt idx="0">
                  <c:v>6</c:v>
                </c:pt>
                <c:pt idx="1">
                  <c:v>6</c:v>
                </c:pt>
                <c:pt idx="2">
                  <c:v>6</c:v>
                </c:pt>
                <c:pt idx="3">
                  <c:v>6</c:v>
                </c:pt>
                <c:pt idx="4">
                  <c:v>6</c:v>
                </c:pt>
                <c:pt idx="5">
                  <c:v>6</c:v>
                </c:pt>
                <c:pt idx="6">
                  <c:v>6</c:v>
                </c:pt>
                <c:pt idx="7">
                  <c:v>6</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pt idx="45">
                  <c:v>5</c:v>
                </c:pt>
                <c:pt idx="46">
                  <c:v>5</c:v>
                </c:pt>
                <c:pt idx="47">
                  <c:v>5</c:v>
                </c:pt>
                <c:pt idx="48">
                  <c:v>5</c:v>
                </c:pt>
                <c:pt idx="49">
                  <c:v>5</c:v>
                </c:pt>
                <c:pt idx="50">
                  <c:v>5</c:v>
                </c:pt>
                <c:pt idx="51">
                  <c:v>5</c:v>
                </c:pt>
                <c:pt idx="52">
                  <c:v>5</c:v>
                </c:pt>
                <c:pt idx="53">
                  <c:v>5</c:v>
                </c:pt>
                <c:pt idx="54">
                  <c:v>5</c:v>
                </c:pt>
                <c:pt idx="55">
                  <c:v>5</c:v>
                </c:pt>
                <c:pt idx="56">
                  <c:v>5</c:v>
                </c:pt>
                <c:pt idx="57">
                  <c:v>5</c:v>
                </c:pt>
                <c:pt idx="58">
                  <c:v>5</c:v>
                </c:pt>
                <c:pt idx="59">
                  <c:v>5</c:v>
                </c:pt>
                <c:pt idx="60">
                  <c:v>5</c:v>
                </c:pt>
              </c:numCache>
            </c:numRef>
          </c:val>
          <c:smooth val="0"/>
          <c:extLst>
            <c:ext xmlns:c16="http://schemas.microsoft.com/office/drawing/2014/chart" uri="{C3380CC4-5D6E-409C-BE32-E72D297353CC}">
              <c16:uniqueId val="{00000002-6238-904A-9DA3-5CF53AC70C6C}"/>
            </c:ext>
          </c:extLst>
        </c:ser>
        <c:dLbls>
          <c:showLegendKey val="0"/>
          <c:showVal val="0"/>
          <c:showCatName val="0"/>
          <c:showSerName val="0"/>
          <c:showPercent val="0"/>
          <c:showBubbleSize val="0"/>
        </c:dLbls>
        <c:smooth val="0"/>
        <c:axId val="1850856108"/>
        <c:axId val="1228749199"/>
      </c:lineChart>
      <c:dateAx>
        <c:axId val="1850856108"/>
        <c:scaling>
          <c:orientation val="minMax"/>
        </c:scaling>
        <c:delete val="0"/>
        <c:axPos val="b"/>
        <c:title>
          <c:tx>
            <c:rich>
              <a:bodyPr/>
              <a:lstStyle/>
              <a:p>
                <a:pPr lvl="0">
                  <a:defRPr b="0">
                    <a:solidFill>
                      <a:srgbClr val="000000"/>
                    </a:solidFill>
                    <a:latin typeface="+mn-lt"/>
                  </a:defRPr>
                </a:pPr>
                <a:endParaRPr lang="es-MX"/>
              </a:p>
            </c:rich>
          </c:tx>
          <c:overlay val="0"/>
        </c:title>
        <c:numFmt formatCode="[$-409]mmm\-yy" sourceLinked="1"/>
        <c:majorTickMark val="out"/>
        <c:minorTickMark val="none"/>
        <c:tickLblPos val="nextTo"/>
        <c:txPr>
          <a:bodyPr/>
          <a:lstStyle/>
          <a:p>
            <a:pPr lvl="0">
              <a:defRPr sz="900" b="0" i="0">
                <a:solidFill>
                  <a:srgbClr val="000000"/>
                </a:solidFill>
                <a:latin typeface="+mn-lt"/>
              </a:defRPr>
            </a:pPr>
            <a:endParaRPr lang="es-MX"/>
          </a:p>
        </c:txPr>
        <c:crossAx val="1228749199"/>
        <c:crosses val="autoZero"/>
        <c:auto val="1"/>
        <c:lblOffset val="100"/>
        <c:baseTimeUnit val="months"/>
      </c:dateAx>
      <c:valAx>
        <c:axId val="122874919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MX"/>
              </a:p>
            </c:rich>
          </c:tx>
          <c:overlay val="0"/>
        </c:title>
        <c:numFmt formatCode="_(* #,##0.0_);_(* \(#,##0.0\);_(* &quot;-&quot;??_);_(@_)" sourceLinked="1"/>
        <c:majorTickMark val="none"/>
        <c:minorTickMark val="none"/>
        <c:tickLblPos val="nextTo"/>
        <c:spPr>
          <a:ln/>
        </c:spPr>
        <c:txPr>
          <a:bodyPr/>
          <a:lstStyle/>
          <a:p>
            <a:pPr lvl="0">
              <a:defRPr sz="900" b="0" i="0">
                <a:solidFill>
                  <a:srgbClr val="000000"/>
                </a:solidFill>
                <a:latin typeface="+mn-lt"/>
              </a:defRPr>
            </a:pPr>
            <a:endParaRPr lang="es-MX"/>
          </a:p>
        </c:txPr>
        <c:crossAx val="1850856108"/>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s-MX" sz="1400" b="0" i="0">
                <a:solidFill>
                  <a:srgbClr val="757575"/>
                </a:solidFill>
                <a:latin typeface="+mn-lt"/>
              </a:rPr>
              <a:t>Indice de apalancamiento ajustado</a:t>
            </a:r>
          </a:p>
        </c:rich>
      </c:tx>
      <c:overlay val="0"/>
    </c:title>
    <c:autoTitleDeleted val="0"/>
    <c:plotArea>
      <c:layout/>
      <c:lineChart>
        <c:grouping val="standard"/>
        <c:varyColors val="1"/>
        <c:ser>
          <c:idx val="0"/>
          <c:order val="0"/>
          <c:spPr>
            <a:ln w="28575" cmpd="sng">
              <a:solidFill>
                <a:schemeClr val="accent1"/>
              </a:solidFill>
            </a:ln>
          </c:spPr>
          <c:marker>
            <c:symbol val="none"/>
          </c:marker>
          <c:cat>
            <c:numRef>
              <c:f>Monitoreo!$B$14:$BJ$14</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Monitoreo!$B$15:$BJ$15</c:f>
              <c:numCache>
                <c:formatCode>0%</c:formatCode>
                <c:ptCount val="61"/>
                <c:pt idx="0">
                  <c:v>0.47790809228319298</c:v>
                </c:pt>
                <c:pt idx="1">
                  <c:v>0.47263306770473212</c:v>
                </c:pt>
                <c:pt idx="2">
                  <c:v>0.69852674596891851</c:v>
                </c:pt>
                <c:pt idx="3">
                  <c:v>0.77055709125375305</c:v>
                </c:pt>
                <c:pt idx="4">
                  <c:v>0.85295858114586254</c:v>
                </c:pt>
                <c:pt idx="5">
                  <c:v>0.87179624860311467</c:v>
                </c:pt>
                <c:pt idx="6">
                  <c:v>0.8861586017425771</c:v>
                </c:pt>
                <c:pt idx="7">
                  <c:v>0.88527086037097458</c:v>
                </c:pt>
                <c:pt idx="8">
                  <c:v>0.88439869619974298</c:v>
                </c:pt>
                <c:pt idx="9">
                  <c:v>0.87335969956438375</c:v>
                </c:pt>
                <c:pt idx="10">
                  <c:v>0.86213249938956105</c:v>
                </c:pt>
                <c:pt idx="11">
                  <c:v>0.84054166376990658</c:v>
                </c:pt>
                <c:pt idx="12">
                  <c:v>0.81859255990533153</c:v>
                </c:pt>
                <c:pt idx="13">
                  <c:v>0.79627540972637434</c:v>
                </c:pt>
                <c:pt idx="14">
                  <c:v>0.77357862583224357</c:v>
                </c:pt>
                <c:pt idx="15">
                  <c:v>0.75050163113032142</c:v>
                </c:pt>
                <c:pt idx="16">
                  <c:v>0.72703485617598507</c:v>
                </c:pt>
                <c:pt idx="17">
                  <c:v>0.70317577229869066</c:v>
                </c:pt>
                <c:pt idx="18">
                  <c:v>0.67890616848335383</c:v>
                </c:pt>
                <c:pt idx="19">
                  <c:v>0.65422423357736381</c:v>
                </c:pt>
                <c:pt idx="20">
                  <c:v>0.62912030259129548</c:v>
                </c:pt>
                <c:pt idx="21">
                  <c:v>0.60358731166892232</c:v>
                </c:pt>
                <c:pt idx="22">
                  <c:v>0.57761163238640434</c:v>
                </c:pt>
                <c:pt idx="23">
                  <c:v>0.5511897971266797</c:v>
                </c:pt>
                <c:pt idx="24">
                  <c:v>0.52432013947590783</c:v>
                </c:pt>
                <c:pt idx="25">
                  <c:v>0.49699607270792212</c:v>
                </c:pt>
                <c:pt idx="26">
                  <c:v>0.46921218662971775</c:v>
                </c:pt>
                <c:pt idx="27">
                  <c:v>0.44095603071121109</c:v>
                </c:pt>
                <c:pt idx="28">
                  <c:v>0.41222062383841834</c:v>
                </c:pt>
                <c:pt idx="29">
                  <c:v>0.38299441230685244</c:v>
                </c:pt>
                <c:pt idx="30">
                  <c:v>0.35327019165110102</c:v>
                </c:pt>
                <c:pt idx="31">
                  <c:v>0.32304255880636584</c:v>
                </c:pt>
                <c:pt idx="32">
                  <c:v>0.29230174826183897</c:v>
                </c:pt>
                <c:pt idx="33">
                  <c:v>0.26103888684445758</c:v>
                </c:pt>
                <c:pt idx="34">
                  <c:v>0.22924548043832649</c:v>
                </c:pt>
                <c:pt idx="35">
                  <c:v>0.19691209489691644</c:v>
                </c:pt>
                <c:pt idx="36">
                  <c:v>0.16402866226234511</c:v>
                </c:pt>
                <c:pt idx="37">
                  <c:v>0.1305855778822613</c:v>
                </c:pt>
                <c:pt idx="38">
                  <c:v>9.6572339171060326E-2</c:v>
                </c:pt>
                <c:pt idx="39">
                  <c:v>7.921520725949148E-2</c:v>
                </c:pt>
                <c:pt idx="40">
                  <c:v>6.1572911743200266E-2</c:v>
                </c:pt>
                <c:pt idx="41">
                  <c:v>6.0879868667509177E-2</c:v>
                </c:pt>
                <c:pt idx="42">
                  <c:v>6.0196686704970297E-2</c:v>
                </c:pt>
                <c:pt idx="43">
                  <c:v>5.9523299783203677E-2</c:v>
                </c:pt>
                <c:pt idx="44">
                  <c:v>5.8859089768699184E-2</c:v>
                </c:pt>
                <c:pt idx="45">
                  <c:v>5.8203668926372805E-2</c:v>
                </c:pt>
                <c:pt idx="46">
                  <c:v>5.7557498438418397E-2</c:v>
                </c:pt>
                <c:pt idx="47">
                  <c:v>5.6920266948278793E-2</c:v>
                </c:pt>
                <c:pt idx="48">
                  <c:v>5.6292026655970093E-2</c:v>
                </c:pt>
                <c:pt idx="49">
                  <c:v>5.5672289890532557E-2</c:v>
                </c:pt>
                <c:pt idx="50">
                  <c:v>5.5061388454185199E-2</c:v>
                </c:pt>
                <c:pt idx="51">
                  <c:v>5.4458981590219939E-2</c:v>
                </c:pt>
                <c:pt idx="52">
                  <c:v>5.3865254379527737E-2</c:v>
                </c:pt>
                <c:pt idx="53">
                  <c:v>5.3280038185439714E-2</c:v>
                </c:pt>
                <c:pt idx="54">
                  <c:v>5.2703203092925706E-2</c:v>
                </c:pt>
                <c:pt idx="55">
                  <c:v>5.2134530477668119E-2</c:v>
                </c:pt>
                <c:pt idx="56">
                  <c:v>5.1574112419452423E-2</c:v>
                </c:pt>
                <c:pt idx="57">
                  <c:v>5.1021567510834191E-2</c:v>
                </c:pt>
                <c:pt idx="58">
                  <c:v>5.0477002099976617E-2</c:v>
                </c:pt>
                <c:pt idx="59">
                  <c:v>4.9940374905436347E-2</c:v>
                </c:pt>
                <c:pt idx="60">
                  <c:v>4.9411607763013177E-2</c:v>
                </c:pt>
              </c:numCache>
            </c:numRef>
          </c:val>
          <c:smooth val="0"/>
          <c:extLst>
            <c:ext xmlns:c16="http://schemas.microsoft.com/office/drawing/2014/chart" uri="{C3380CC4-5D6E-409C-BE32-E72D297353CC}">
              <c16:uniqueId val="{00000000-3C76-C74F-B01A-E33D9450FD51}"/>
            </c:ext>
          </c:extLst>
        </c:ser>
        <c:ser>
          <c:idx val="1"/>
          <c:order val="1"/>
          <c:spPr>
            <a:ln w="28575" cmpd="sng">
              <a:solidFill>
                <a:srgbClr val="00B0F0">
                  <a:alpha val="100000"/>
                </a:srgbClr>
              </a:solidFill>
            </a:ln>
          </c:spPr>
          <c:marker>
            <c:symbol val="none"/>
          </c:marker>
          <c:cat>
            <c:numRef>
              <c:f>Monitoreo!$B$14:$BJ$14</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Monitoreo!$B$16:$BJ$16</c:f>
              <c:numCache>
                <c:formatCode>0%</c:formatCode>
                <c:ptCount val="61"/>
                <c:pt idx="0">
                  <c:v>0.54297135243171224</c:v>
                </c:pt>
                <c:pt idx="1">
                  <c:v>0.58188453337707069</c:v>
                </c:pt>
                <c:pt idx="2">
                  <c:v>0.64550829364427653</c:v>
                </c:pt>
                <c:pt idx="3">
                  <c:v>0.79824948705295695</c:v>
                </c:pt>
                <c:pt idx="4">
                  <c:v>0.82088827610498893</c:v>
                </c:pt>
                <c:pt idx="5">
                  <c:v>0.91499578292124217</c:v>
                </c:pt>
                <c:pt idx="6">
                  <c:v>0.86940431171013932</c:v>
                </c:pt>
                <c:pt idx="7">
                  <c:v>0.87028632648649629</c:v>
                </c:pt>
                <c:pt idx="8">
                  <c:v>0.88806006625188372</c:v>
                </c:pt>
                <c:pt idx="9">
                  <c:v>0.92124163643983292</c:v>
                </c:pt>
                <c:pt idx="10">
                  <c:v>0.95092783874715869</c:v>
                </c:pt>
                <c:pt idx="11">
                  <c:v>0.94898118537321241</c:v>
                </c:pt>
                <c:pt idx="12">
                  <c:v>0.986396139323374</c:v>
                </c:pt>
                <c:pt idx="13">
                  <c:v>1.0295273415923618</c:v>
                </c:pt>
                <c:pt idx="14">
                  <c:v>1.0810480719124544</c:v>
                </c:pt>
              </c:numCache>
            </c:numRef>
          </c:val>
          <c:smooth val="0"/>
          <c:extLst>
            <c:ext xmlns:c16="http://schemas.microsoft.com/office/drawing/2014/chart" uri="{C3380CC4-5D6E-409C-BE32-E72D297353CC}">
              <c16:uniqueId val="{00000001-3C76-C74F-B01A-E33D9450FD51}"/>
            </c:ext>
          </c:extLst>
        </c:ser>
        <c:ser>
          <c:idx val="2"/>
          <c:order val="2"/>
          <c:spPr>
            <a:ln w="28575" cmpd="sng">
              <a:solidFill>
                <a:srgbClr val="FF0000">
                  <a:alpha val="100000"/>
                </a:srgbClr>
              </a:solidFill>
              <a:prstDash val="dash"/>
            </a:ln>
          </c:spPr>
          <c:marker>
            <c:symbol val="none"/>
          </c:marker>
          <c:cat>
            <c:numRef>
              <c:f>Monitoreo!$B$14:$BJ$14</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Monitoreo!$B$17:$BJ$17</c:f>
              <c:numCache>
                <c:formatCode>0%</c:formatCode>
                <c:ptCount val="61"/>
                <c:pt idx="0">
                  <c:v>0.9</c:v>
                </c:pt>
                <c:pt idx="1">
                  <c:v>0.9</c:v>
                </c:pt>
                <c:pt idx="2">
                  <c:v>0.9</c:v>
                </c:pt>
                <c:pt idx="3">
                  <c:v>0.9</c:v>
                </c:pt>
                <c:pt idx="4">
                  <c:v>0.9</c:v>
                </c:pt>
                <c:pt idx="5">
                  <c:v>0.9</c:v>
                </c:pt>
                <c:pt idx="6">
                  <c:v>0.9</c:v>
                </c:pt>
                <c:pt idx="7">
                  <c:v>0.9</c:v>
                </c:pt>
                <c:pt idx="8">
                  <c:v>0.85</c:v>
                </c:pt>
                <c:pt idx="9">
                  <c:v>0.85</c:v>
                </c:pt>
                <c:pt idx="10">
                  <c:v>0.85</c:v>
                </c:pt>
                <c:pt idx="11">
                  <c:v>0.85</c:v>
                </c:pt>
                <c:pt idx="12">
                  <c:v>0.85</c:v>
                </c:pt>
                <c:pt idx="13">
                  <c:v>0.85</c:v>
                </c:pt>
                <c:pt idx="14">
                  <c:v>0.85</c:v>
                </c:pt>
                <c:pt idx="15">
                  <c:v>0.85</c:v>
                </c:pt>
                <c:pt idx="16">
                  <c:v>0.85</c:v>
                </c:pt>
                <c:pt idx="17">
                  <c:v>0.85</c:v>
                </c:pt>
                <c:pt idx="18">
                  <c:v>0.85</c:v>
                </c:pt>
                <c:pt idx="19">
                  <c:v>0.85</c:v>
                </c:pt>
                <c:pt idx="20">
                  <c:v>0.85</c:v>
                </c:pt>
                <c:pt idx="21">
                  <c:v>0.85</c:v>
                </c:pt>
                <c:pt idx="22">
                  <c:v>0.85</c:v>
                </c:pt>
                <c:pt idx="23">
                  <c:v>0.85</c:v>
                </c:pt>
                <c:pt idx="24">
                  <c:v>0.85</c:v>
                </c:pt>
                <c:pt idx="25">
                  <c:v>0.85</c:v>
                </c:pt>
                <c:pt idx="26">
                  <c:v>0.85</c:v>
                </c:pt>
                <c:pt idx="27">
                  <c:v>0.85</c:v>
                </c:pt>
                <c:pt idx="28">
                  <c:v>0.85</c:v>
                </c:pt>
                <c:pt idx="29">
                  <c:v>0.85</c:v>
                </c:pt>
                <c:pt idx="30">
                  <c:v>0.85</c:v>
                </c:pt>
                <c:pt idx="31">
                  <c:v>0.85</c:v>
                </c:pt>
                <c:pt idx="32">
                  <c:v>0.85</c:v>
                </c:pt>
                <c:pt idx="33">
                  <c:v>0.85</c:v>
                </c:pt>
                <c:pt idx="34">
                  <c:v>0.85</c:v>
                </c:pt>
                <c:pt idx="35">
                  <c:v>0.85</c:v>
                </c:pt>
                <c:pt idx="36">
                  <c:v>0.85</c:v>
                </c:pt>
                <c:pt idx="37">
                  <c:v>0.85</c:v>
                </c:pt>
                <c:pt idx="38">
                  <c:v>0.85</c:v>
                </c:pt>
                <c:pt idx="39">
                  <c:v>0.85</c:v>
                </c:pt>
                <c:pt idx="40">
                  <c:v>0.85</c:v>
                </c:pt>
                <c:pt idx="41">
                  <c:v>0.85</c:v>
                </c:pt>
                <c:pt idx="42">
                  <c:v>0.85</c:v>
                </c:pt>
                <c:pt idx="43">
                  <c:v>0.85</c:v>
                </c:pt>
                <c:pt idx="44">
                  <c:v>0.85</c:v>
                </c:pt>
                <c:pt idx="45">
                  <c:v>0.85</c:v>
                </c:pt>
                <c:pt idx="46">
                  <c:v>0.85</c:v>
                </c:pt>
                <c:pt idx="47">
                  <c:v>0.85</c:v>
                </c:pt>
                <c:pt idx="48">
                  <c:v>0.85</c:v>
                </c:pt>
                <c:pt idx="49">
                  <c:v>0.85</c:v>
                </c:pt>
                <c:pt idx="50">
                  <c:v>0.85</c:v>
                </c:pt>
                <c:pt idx="51">
                  <c:v>0.85</c:v>
                </c:pt>
                <c:pt idx="52">
                  <c:v>0.85</c:v>
                </c:pt>
                <c:pt idx="53">
                  <c:v>0.85</c:v>
                </c:pt>
                <c:pt idx="54">
                  <c:v>0.85</c:v>
                </c:pt>
                <c:pt idx="55">
                  <c:v>0.85</c:v>
                </c:pt>
                <c:pt idx="56">
                  <c:v>0.85</c:v>
                </c:pt>
                <c:pt idx="57">
                  <c:v>0.85</c:v>
                </c:pt>
                <c:pt idx="58">
                  <c:v>0.85</c:v>
                </c:pt>
                <c:pt idx="59">
                  <c:v>0.85</c:v>
                </c:pt>
                <c:pt idx="60">
                  <c:v>0.85</c:v>
                </c:pt>
              </c:numCache>
            </c:numRef>
          </c:val>
          <c:smooth val="0"/>
          <c:extLst>
            <c:ext xmlns:c16="http://schemas.microsoft.com/office/drawing/2014/chart" uri="{C3380CC4-5D6E-409C-BE32-E72D297353CC}">
              <c16:uniqueId val="{00000002-3C76-C74F-B01A-E33D9450FD51}"/>
            </c:ext>
          </c:extLst>
        </c:ser>
        <c:dLbls>
          <c:showLegendKey val="0"/>
          <c:showVal val="0"/>
          <c:showCatName val="0"/>
          <c:showSerName val="0"/>
          <c:showPercent val="0"/>
          <c:showBubbleSize val="0"/>
        </c:dLbls>
        <c:smooth val="0"/>
        <c:axId val="2056352348"/>
        <c:axId val="786109238"/>
      </c:lineChart>
      <c:dateAx>
        <c:axId val="2056352348"/>
        <c:scaling>
          <c:orientation val="minMax"/>
        </c:scaling>
        <c:delete val="0"/>
        <c:axPos val="b"/>
        <c:title>
          <c:tx>
            <c:rich>
              <a:bodyPr/>
              <a:lstStyle/>
              <a:p>
                <a:pPr lvl="0">
                  <a:defRPr b="0">
                    <a:solidFill>
                      <a:srgbClr val="000000"/>
                    </a:solidFill>
                    <a:latin typeface="+mn-lt"/>
                  </a:defRPr>
                </a:pPr>
                <a:endParaRPr lang="es-MX"/>
              </a:p>
            </c:rich>
          </c:tx>
          <c:overlay val="0"/>
        </c:title>
        <c:numFmt formatCode="[$-409]mmm\-yy" sourceLinked="1"/>
        <c:majorTickMark val="out"/>
        <c:minorTickMark val="none"/>
        <c:tickLblPos val="nextTo"/>
        <c:txPr>
          <a:bodyPr/>
          <a:lstStyle/>
          <a:p>
            <a:pPr lvl="0">
              <a:defRPr sz="900" b="0" i="0">
                <a:solidFill>
                  <a:srgbClr val="000000"/>
                </a:solidFill>
                <a:latin typeface="+mn-lt"/>
              </a:defRPr>
            </a:pPr>
            <a:endParaRPr lang="es-MX"/>
          </a:p>
        </c:txPr>
        <c:crossAx val="786109238"/>
        <c:crosses val="autoZero"/>
        <c:auto val="1"/>
        <c:lblOffset val="100"/>
        <c:baseTimeUnit val="months"/>
      </c:dateAx>
      <c:valAx>
        <c:axId val="78610923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MX"/>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MX"/>
          </a:p>
        </c:txPr>
        <c:crossAx val="2056352348"/>
        <c:crosses val="autoZero"/>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s-MX" sz="1400" b="0" i="0">
                <a:solidFill>
                  <a:srgbClr val="757575"/>
                </a:solidFill>
                <a:latin typeface="+mn-lt"/>
              </a:rPr>
              <a:t>Indice de capitalización</a:t>
            </a:r>
          </a:p>
        </c:rich>
      </c:tx>
      <c:overlay val="0"/>
    </c:title>
    <c:autoTitleDeleted val="0"/>
    <c:plotArea>
      <c:layout/>
      <c:lineChart>
        <c:grouping val="standard"/>
        <c:varyColors val="1"/>
        <c:ser>
          <c:idx val="0"/>
          <c:order val="0"/>
          <c:spPr>
            <a:ln w="28575" cmpd="sng">
              <a:solidFill>
                <a:schemeClr val="accent1"/>
              </a:solidFill>
            </a:ln>
          </c:spPr>
          <c:marker>
            <c:symbol val="none"/>
          </c:marker>
          <c:cat>
            <c:numRef>
              <c:f>Monitoreo!$B$20:$BJ$20</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Monitoreo!$B$21:$BJ$21</c:f>
              <c:numCache>
                <c:formatCode>0%</c:formatCode>
                <c:ptCount val="61"/>
                <c:pt idx="0">
                  <c:v>0.56988345446624</c:v>
                </c:pt>
                <c:pt idx="1">
                  <c:v>0.56780841967473505</c:v>
                </c:pt>
                <c:pt idx="2">
                  <c:v>0.32915346129125533</c:v>
                </c:pt>
                <c:pt idx="3">
                  <c:v>0.25227849635238181</c:v>
                </c:pt>
                <c:pt idx="4">
                  <c:v>0.16890551663957176</c:v>
                </c:pt>
                <c:pt idx="5">
                  <c:v>0.15607544310476767</c:v>
                </c:pt>
                <c:pt idx="6">
                  <c:v>0.14913754128161638</c:v>
                </c:pt>
                <c:pt idx="7">
                  <c:v>0.16072783314392802</c:v>
                </c:pt>
                <c:pt idx="8">
                  <c:v>0.14943664769952139</c:v>
                </c:pt>
                <c:pt idx="9">
                  <c:v>0.15986989666681281</c:v>
                </c:pt>
                <c:pt idx="10">
                  <c:v>0.17056903161288497</c:v>
                </c:pt>
                <c:pt idx="11">
                  <c:v>0.18157141493102141</c:v>
                </c:pt>
                <c:pt idx="12">
                  <c:v>0.19287845669131665</c:v>
                </c:pt>
                <c:pt idx="13">
                  <c:v>0.20445811073832881</c:v>
                </c:pt>
                <c:pt idx="14">
                  <c:v>0.21632681640016513</c:v>
                </c:pt>
                <c:pt idx="15">
                  <c:v>0.22848675918895781</c:v>
                </c:pt>
                <c:pt idx="16">
                  <c:v>0.24096025349406291</c:v>
                </c:pt>
                <c:pt idx="17">
                  <c:v>0.25371166014124358</c:v>
                </c:pt>
                <c:pt idx="18">
                  <c:v>0.26674417046916166</c:v>
                </c:pt>
                <c:pt idx="19">
                  <c:v>0.28005075405005697</c:v>
                </c:pt>
                <c:pt idx="20">
                  <c:v>0.29363327262300348</c:v>
                </c:pt>
                <c:pt idx="21">
                  <c:v>0.30743224477802572</c:v>
                </c:pt>
                <c:pt idx="22">
                  <c:v>0.32144373534943832</c:v>
                </c:pt>
                <c:pt idx="23">
                  <c:v>0.33572772897561487</c:v>
                </c:pt>
                <c:pt idx="24">
                  <c:v>0.35030116723433236</c:v>
                </c:pt>
                <c:pt idx="25">
                  <c:v>0.36519812566642018</c:v>
                </c:pt>
                <c:pt idx="26">
                  <c:v>0.38039119328462695</c:v>
                </c:pt>
                <c:pt idx="27">
                  <c:v>0.39588624219791924</c:v>
                </c:pt>
                <c:pt idx="28">
                  <c:v>0.41163780116271581</c:v>
                </c:pt>
                <c:pt idx="29">
                  <c:v>0.42764149396272233</c:v>
                </c:pt>
                <c:pt idx="30">
                  <c:v>0.44395197166419792</c:v>
                </c:pt>
                <c:pt idx="31">
                  <c:v>0.46056832936376979</c:v>
                </c:pt>
                <c:pt idx="32">
                  <c:v>0.47749875835595773</c:v>
                </c:pt>
                <c:pt idx="33">
                  <c:v>0.49477882401929735</c:v>
                </c:pt>
                <c:pt idx="34">
                  <c:v>0.51243145171209792</c:v>
                </c:pt>
                <c:pt idx="35">
                  <c:v>0.53046366518235699</c:v>
                </c:pt>
                <c:pt idx="36">
                  <c:v>0.5488997434894537</c:v>
                </c:pt>
                <c:pt idx="37">
                  <c:v>0.56773407847359902</c:v>
                </c:pt>
                <c:pt idx="38">
                  <c:v>0.58716523199770709</c:v>
                </c:pt>
                <c:pt idx="39">
                  <c:v>0.60676859354245094</c:v>
                </c:pt>
                <c:pt idx="40">
                  <c:v>0.62646513198081066</c:v>
                </c:pt>
                <c:pt idx="41">
                  <c:v>0.64636176773069609</c:v>
                </c:pt>
                <c:pt idx="42">
                  <c:v>0.66654382312906613</c:v>
                </c:pt>
                <c:pt idx="43">
                  <c:v>0.68687147498631351</c:v>
                </c:pt>
                <c:pt idx="44">
                  <c:v>0.70718704391274945</c:v>
                </c:pt>
                <c:pt idx="45">
                  <c:v>0.7277575508923837</c:v>
                </c:pt>
                <c:pt idx="46">
                  <c:v>0.74850448426028982</c:v>
                </c:pt>
                <c:pt idx="47">
                  <c:v>0.76955521358063972</c:v>
                </c:pt>
                <c:pt idx="48">
                  <c:v>0.79047020781996291</c:v>
                </c:pt>
                <c:pt idx="49">
                  <c:v>0.81173890351348732</c:v>
                </c:pt>
                <c:pt idx="50">
                  <c:v>0.83294734005409476</c:v>
                </c:pt>
                <c:pt idx="51">
                  <c:v>0.85469731678809036</c:v>
                </c:pt>
                <c:pt idx="52">
                  <c:v>0.87708947846699747</c:v>
                </c:pt>
                <c:pt idx="53">
                  <c:v>0.90047373025559985</c:v>
                </c:pt>
                <c:pt idx="54">
                  <c:v>0.92453910996630628</c:v>
                </c:pt>
                <c:pt idx="55">
                  <c:v>0.95223569675046671</c:v>
                </c:pt>
                <c:pt idx="56">
                  <c:v>0.98161420262867805</c:v>
                </c:pt>
                <c:pt idx="57">
                  <c:v>1.0127799422782151</c:v>
                </c:pt>
                <c:pt idx="58">
                  <c:v>1.0177269176907537</c:v>
                </c:pt>
                <c:pt idx="59">
                  <c:v>1.0227213558784158</c:v>
                </c:pt>
                <c:pt idx="60">
                  <c:v>1.0277649361982124</c:v>
                </c:pt>
              </c:numCache>
            </c:numRef>
          </c:val>
          <c:smooth val="0"/>
          <c:extLst>
            <c:ext xmlns:c16="http://schemas.microsoft.com/office/drawing/2014/chart" uri="{C3380CC4-5D6E-409C-BE32-E72D297353CC}">
              <c16:uniqueId val="{00000000-B90F-E341-AC4B-6308BB4AB450}"/>
            </c:ext>
          </c:extLst>
        </c:ser>
        <c:ser>
          <c:idx val="1"/>
          <c:order val="1"/>
          <c:spPr>
            <a:ln w="28575" cmpd="sng">
              <a:solidFill>
                <a:srgbClr val="00B0F0">
                  <a:alpha val="100000"/>
                </a:srgbClr>
              </a:solidFill>
            </a:ln>
          </c:spPr>
          <c:marker>
            <c:symbol val="none"/>
          </c:marker>
          <c:cat>
            <c:numRef>
              <c:f>Monitoreo!$B$20:$BJ$20</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Monitoreo!$B$22:$BJ$22</c:f>
              <c:numCache>
                <c:formatCode>0%</c:formatCode>
                <c:ptCount val="61"/>
                <c:pt idx="0">
                  <c:v>0.49460129860655139</c:v>
                </c:pt>
                <c:pt idx="1">
                  <c:v>0.47168757678418527</c:v>
                </c:pt>
                <c:pt idx="2">
                  <c:v>0.39637564309298934</c:v>
                </c:pt>
                <c:pt idx="3">
                  <c:v>0.24139207700851537</c:v>
                </c:pt>
                <c:pt idx="4">
                  <c:v>0.23505975905887438</c:v>
                </c:pt>
                <c:pt idx="5">
                  <c:v>0.18791269537033237</c:v>
                </c:pt>
                <c:pt idx="6">
                  <c:v>0.19819363300345774</c:v>
                </c:pt>
                <c:pt idx="7">
                  <c:v>0.16000820571974916</c:v>
                </c:pt>
                <c:pt idx="8">
                  <c:v>0.13159266251733562</c:v>
                </c:pt>
                <c:pt idx="9">
                  <c:v>0.11243995823181344</c:v>
                </c:pt>
                <c:pt idx="10">
                  <c:v>0.10079350072942934</c:v>
                </c:pt>
                <c:pt idx="11">
                  <c:v>0.10450859874390969</c:v>
                </c:pt>
                <c:pt idx="12">
                  <c:v>9.7874772449937988E-2</c:v>
                </c:pt>
                <c:pt idx="13">
                  <c:v>7.9418612855429338E-2</c:v>
                </c:pt>
                <c:pt idx="14">
                  <c:v>6.521249331117808E-2</c:v>
                </c:pt>
              </c:numCache>
            </c:numRef>
          </c:val>
          <c:smooth val="0"/>
          <c:extLst>
            <c:ext xmlns:c16="http://schemas.microsoft.com/office/drawing/2014/chart" uri="{C3380CC4-5D6E-409C-BE32-E72D297353CC}">
              <c16:uniqueId val="{00000001-B90F-E341-AC4B-6308BB4AB450}"/>
            </c:ext>
          </c:extLst>
        </c:ser>
        <c:ser>
          <c:idx val="2"/>
          <c:order val="2"/>
          <c:spPr>
            <a:ln w="28575" cmpd="sng">
              <a:solidFill>
                <a:srgbClr val="FF0000">
                  <a:alpha val="100000"/>
                </a:srgbClr>
              </a:solidFill>
              <a:prstDash val="dash"/>
            </a:ln>
          </c:spPr>
          <c:marker>
            <c:symbol val="none"/>
          </c:marker>
          <c:cat>
            <c:numRef>
              <c:f>Monitoreo!$B$20:$BJ$20</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Monitoreo!$B$23:$BJ$23</c:f>
              <c:numCache>
                <c:formatCode>0%</c:formatCode>
                <c:ptCount val="61"/>
                <c:pt idx="0">
                  <c:v>0.13</c:v>
                </c:pt>
                <c:pt idx="1">
                  <c:v>0.13</c:v>
                </c:pt>
                <c:pt idx="2">
                  <c:v>0.13</c:v>
                </c:pt>
                <c:pt idx="3">
                  <c:v>0.13</c:v>
                </c:pt>
                <c:pt idx="4">
                  <c:v>0.13</c:v>
                </c:pt>
                <c:pt idx="5">
                  <c:v>0.13</c:v>
                </c:pt>
                <c:pt idx="6">
                  <c:v>0.13</c:v>
                </c:pt>
                <c:pt idx="7">
                  <c:v>0.13</c:v>
                </c:pt>
                <c:pt idx="8">
                  <c:v>0.15</c:v>
                </c:pt>
                <c:pt idx="9">
                  <c:v>0.15</c:v>
                </c:pt>
                <c:pt idx="10">
                  <c:v>0.15</c:v>
                </c:pt>
                <c:pt idx="11">
                  <c:v>0.15</c:v>
                </c:pt>
                <c:pt idx="12">
                  <c:v>0.15</c:v>
                </c:pt>
                <c:pt idx="13">
                  <c:v>0.15</c:v>
                </c:pt>
                <c:pt idx="14">
                  <c:v>0.15</c:v>
                </c:pt>
                <c:pt idx="15">
                  <c:v>0.15</c:v>
                </c:pt>
                <c:pt idx="16">
                  <c:v>0.15</c:v>
                </c:pt>
                <c:pt idx="17">
                  <c:v>0.15</c:v>
                </c:pt>
                <c:pt idx="18">
                  <c:v>0.15</c:v>
                </c:pt>
                <c:pt idx="19">
                  <c:v>0.15</c:v>
                </c:pt>
                <c:pt idx="20">
                  <c:v>0.15</c:v>
                </c:pt>
                <c:pt idx="21">
                  <c:v>0.15</c:v>
                </c:pt>
                <c:pt idx="22">
                  <c:v>0.15</c:v>
                </c:pt>
                <c:pt idx="23">
                  <c:v>0.15</c:v>
                </c:pt>
                <c:pt idx="24">
                  <c:v>0.15</c:v>
                </c:pt>
                <c:pt idx="25">
                  <c:v>0.15</c:v>
                </c:pt>
                <c:pt idx="26">
                  <c:v>0.15</c:v>
                </c:pt>
                <c:pt idx="27">
                  <c:v>0.15</c:v>
                </c:pt>
                <c:pt idx="28">
                  <c:v>0.15</c:v>
                </c:pt>
                <c:pt idx="29">
                  <c:v>0.15</c:v>
                </c:pt>
                <c:pt idx="30">
                  <c:v>0.15</c:v>
                </c:pt>
                <c:pt idx="31">
                  <c:v>0.15</c:v>
                </c:pt>
                <c:pt idx="32">
                  <c:v>0.15</c:v>
                </c:pt>
                <c:pt idx="33">
                  <c:v>0.15</c:v>
                </c:pt>
                <c:pt idx="34">
                  <c:v>0.15</c:v>
                </c:pt>
                <c:pt idx="35">
                  <c:v>0.15</c:v>
                </c:pt>
                <c:pt idx="36">
                  <c:v>0.15</c:v>
                </c:pt>
                <c:pt idx="37">
                  <c:v>0.15</c:v>
                </c:pt>
                <c:pt idx="38">
                  <c:v>0.15</c:v>
                </c:pt>
                <c:pt idx="39">
                  <c:v>0.15</c:v>
                </c:pt>
                <c:pt idx="40">
                  <c:v>0.15</c:v>
                </c:pt>
                <c:pt idx="41">
                  <c:v>0.15</c:v>
                </c:pt>
                <c:pt idx="42">
                  <c:v>0.15</c:v>
                </c:pt>
                <c:pt idx="43">
                  <c:v>0.15</c:v>
                </c:pt>
                <c:pt idx="44">
                  <c:v>0.15</c:v>
                </c:pt>
                <c:pt idx="45">
                  <c:v>0.15</c:v>
                </c:pt>
                <c:pt idx="46">
                  <c:v>0.15</c:v>
                </c:pt>
                <c:pt idx="47">
                  <c:v>0.15</c:v>
                </c:pt>
                <c:pt idx="48">
                  <c:v>0.15</c:v>
                </c:pt>
                <c:pt idx="49">
                  <c:v>0.15</c:v>
                </c:pt>
                <c:pt idx="50">
                  <c:v>0.15</c:v>
                </c:pt>
                <c:pt idx="51">
                  <c:v>0.15</c:v>
                </c:pt>
                <c:pt idx="52">
                  <c:v>0.15</c:v>
                </c:pt>
                <c:pt idx="53">
                  <c:v>0.15</c:v>
                </c:pt>
                <c:pt idx="54">
                  <c:v>0.15</c:v>
                </c:pt>
                <c:pt idx="55">
                  <c:v>0.15</c:v>
                </c:pt>
                <c:pt idx="56">
                  <c:v>0.15</c:v>
                </c:pt>
                <c:pt idx="57">
                  <c:v>0.15</c:v>
                </c:pt>
                <c:pt idx="58">
                  <c:v>0.15</c:v>
                </c:pt>
                <c:pt idx="59">
                  <c:v>0.15</c:v>
                </c:pt>
                <c:pt idx="60">
                  <c:v>0.15</c:v>
                </c:pt>
              </c:numCache>
            </c:numRef>
          </c:val>
          <c:smooth val="0"/>
          <c:extLst>
            <c:ext xmlns:c16="http://schemas.microsoft.com/office/drawing/2014/chart" uri="{C3380CC4-5D6E-409C-BE32-E72D297353CC}">
              <c16:uniqueId val="{00000002-B90F-E341-AC4B-6308BB4AB450}"/>
            </c:ext>
          </c:extLst>
        </c:ser>
        <c:dLbls>
          <c:showLegendKey val="0"/>
          <c:showVal val="0"/>
          <c:showCatName val="0"/>
          <c:showSerName val="0"/>
          <c:showPercent val="0"/>
          <c:showBubbleSize val="0"/>
        </c:dLbls>
        <c:smooth val="0"/>
        <c:axId val="736443430"/>
        <c:axId val="1919550788"/>
      </c:lineChart>
      <c:dateAx>
        <c:axId val="736443430"/>
        <c:scaling>
          <c:orientation val="minMax"/>
        </c:scaling>
        <c:delete val="0"/>
        <c:axPos val="b"/>
        <c:title>
          <c:tx>
            <c:rich>
              <a:bodyPr/>
              <a:lstStyle/>
              <a:p>
                <a:pPr lvl="0">
                  <a:defRPr b="0">
                    <a:solidFill>
                      <a:srgbClr val="000000"/>
                    </a:solidFill>
                    <a:latin typeface="+mn-lt"/>
                  </a:defRPr>
                </a:pPr>
                <a:endParaRPr lang="es-MX"/>
              </a:p>
            </c:rich>
          </c:tx>
          <c:overlay val="0"/>
        </c:title>
        <c:numFmt formatCode="[$-409]mmm\-yy" sourceLinked="1"/>
        <c:majorTickMark val="out"/>
        <c:minorTickMark val="none"/>
        <c:tickLblPos val="nextTo"/>
        <c:txPr>
          <a:bodyPr/>
          <a:lstStyle/>
          <a:p>
            <a:pPr lvl="0">
              <a:defRPr sz="900" b="0" i="0">
                <a:solidFill>
                  <a:srgbClr val="000000"/>
                </a:solidFill>
                <a:latin typeface="+mn-lt"/>
              </a:defRPr>
            </a:pPr>
            <a:endParaRPr lang="es-MX"/>
          </a:p>
        </c:txPr>
        <c:crossAx val="1919550788"/>
        <c:crosses val="autoZero"/>
        <c:auto val="1"/>
        <c:lblOffset val="100"/>
        <c:baseTimeUnit val="months"/>
      </c:dateAx>
      <c:valAx>
        <c:axId val="191955078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MX"/>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MX"/>
          </a:p>
        </c:txPr>
        <c:crossAx val="736443430"/>
        <c:crosses val="autoZero"/>
        <c:crossBetween val="between"/>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s-MX" sz="1400" b="0" i="0">
                <a:solidFill>
                  <a:srgbClr val="757575"/>
                </a:solidFill>
                <a:latin typeface="+mn-lt"/>
              </a:rPr>
              <a:t>Indice de cartera atrasada</a:t>
            </a:r>
          </a:p>
        </c:rich>
      </c:tx>
      <c:overlay val="0"/>
    </c:title>
    <c:autoTitleDeleted val="0"/>
    <c:plotArea>
      <c:layout/>
      <c:lineChart>
        <c:grouping val="standard"/>
        <c:varyColors val="1"/>
        <c:ser>
          <c:idx val="0"/>
          <c:order val="0"/>
          <c:spPr>
            <a:ln w="28575" cmpd="sng">
              <a:solidFill>
                <a:srgbClr val="00B0F0">
                  <a:alpha val="100000"/>
                </a:srgbClr>
              </a:solidFill>
            </a:ln>
          </c:spPr>
          <c:marker>
            <c:symbol val="none"/>
          </c:marker>
          <c:cat>
            <c:numRef>
              <c:f>Monitoreo!$B$26:$BJ$26</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Monitoreo!$B$27:$BJ$27</c:f>
              <c:numCache>
                <c:formatCode>0%</c:formatCode>
                <c:ptCount val="61"/>
                <c:pt idx="0">
                  <c:v>3.4638809034682812E-2</c:v>
                </c:pt>
                <c:pt idx="2">
                  <c:v>0.12120760390962242</c:v>
                </c:pt>
                <c:pt idx="3">
                  <c:v>0.13826238527454868</c:v>
                </c:pt>
                <c:pt idx="4">
                  <c:v>7.8829252215083107E-2</c:v>
                </c:pt>
                <c:pt idx="5">
                  <c:v>4.7487779254992535E-2</c:v>
                </c:pt>
                <c:pt idx="6">
                  <c:v>0.10253110184448716</c:v>
                </c:pt>
                <c:pt idx="7">
                  <c:v>9.2024709023979162E-2</c:v>
                </c:pt>
                <c:pt idx="8">
                  <c:v>5.8130550864626547E-2</c:v>
                </c:pt>
                <c:pt idx="9">
                  <c:v>0.14585659698860989</c:v>
                </c:pt>
                <c:pt idx="10">
                  <c:v>1.4468532641454559E-2</c:v>
                </c:pt>
                <c:pt idx="11">
                  <c:v>9.6290955350501292E-2</c:v>
                </c:pt>
                <c:pt idx="12">
                  <c:v>2.0856885823319148E-2</c:v>
                </c:pt>
                <c:pt idx="13">
                  <c:v>2.0628695910212123E-2</c:v>
                </c:pt>
                <c:pt idx="14">
                  <c:v>3.457849062791267E-2</c:v>
                </c:pt>
              </c:numCache>
            </c:numRef>
          </c:val>
          <c:smooth val="0"/>
          <c:extLst>
            <c:ext xmlns:c16="http://schemas.microsoft.com/office/drawing/2014/chart" uri="{C3380CC4-5D6E-409C-BE32-E72D297353CC}">
              <c16:uniqueId val="{00000000-0264-C241-80A2-0E058A19A9FC}"/>
            </c:ext>
          </c:extLst>
        </c:ser>
        <c:ser>
          <c:idx val="1"/>
          <c:order val="1"/>
          <c:spPr>
            <a:ln w="28575" cmpd="sng">
              <a:solidFill>
                <a:srgbClr val="FF0000">
                  <a:alpha val="100000"/>
                </a:srgbClr>
              </a:solidFill>
              <a:prstDash val="dash"/>
            </a:ln>
          </c:spPr>
          <c:marker>
            <c:symbol val="none"/>
          </c:marker>
          <c:cat>
            <c:numRef>
              <c:f>Monitoreo!$B$26:$BJ$26</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Monitoreo!$B$28:$BJ$28</c:f>
              <c:numCache>
                <c:formatCode>0%</c:formatCode>
                <c:ptCount val="61"/>
                <c:pt idx="0">
                  <c:v>0.11</c:v>
                </c:pt>
                <c:pt idx="1">
                  <c:v>0.11</c:v>
                </c:pt>
                <c:pt idx="2">
                  <c:v>0.11</c:v>
                </c:pt>
                <c:pt idx="3">
                  <c:v>0.11</c:v>
                </c:pt>
                <c:pt idx="4">
                  <c:v>0.11</c:v>
                </c:pt>
                <c:pt idx="5">
                  <c:v>0.11</c:v>
                </c:pt>
                <c:pt idx="6">
                  <c:v>0.11</c:v>
                </c:pt>
                <c:pt idx="7">
                  <c:v>0.11</c:v>
                </c:pt>
                <c:pt idx="8">
                  <c:v>0.11</c:v>
                </c:pt>
                <c:pt idx="9">
                  <c:v>0.11</c:v>
                </c:pt>
                <c:pt idx="10">
                  <c:v>0.11</c:v>
                </c:pt>
                <c:pt idx="11">
                  <c:v>0.11</c:v>
                </c:pt>
                <c:pt idx="12">
                  <c:v>0.11</c:v>
                </c:pt>
                <c:pt idx="13">
                  <c:v>0.11</c:v>
                </c:pt>
                <c:pt idx="14">
                  <c:v>0.11</c:v>
                </c:pt>
                <c:pt idx="15">
                  <c:v>0.11</c:v>
                </c:pt>
                <c:pt idx="16">
                  <c:v>0.11</c:v>
                </c:pt>
                <c:pt idx="17">
                  <c:v>0.11</c:v>
                </c:pt>
                <c:pt idx="18">
                  <c:v>0.11</c:v>
                </c:pt>
                <c:pt idx="19">
                  <c:v>0.11</c:v>
                </c:pt>
                <c:pt idx="20">
                  <c:v>0.11</c:v>
                </c:pt>
                <c:pt idx="21">
                  <c:v>0.11</c:v>
                </c:pt>
                <c:pt idx="22">
                  <c:v>0.11</c:v>
                </c:pt>
                <c:pt idx="23">
                  <c:v>0.11</c:v>
                </c:pt>
                <c:pt idx="24">
                  <c:v>0.11</c:v>
                </c:pt>
                <c:pt idx="25">
                  <c:v>0.11</c:v>
                </c:pt>
                <c:pt idx="26">
                  <c:v>0.11</c:v>
                </c:pt>
                <c:pt idx="27">
                  <c:v>0.11</c:v>
                </c:pt>
                <c:pt idx="28">
                  <c:v>0.11</c:v>
                </c:pt>
                <c:pt idx="29">
                  <c:v>0.11</c:v>
                </c:pt>
                <c:pt idx="30">
                  <c:v>0.11</c:v>
                </c:pt>
                <c:pt idx="31">
                  <c:v>0.11</c:v>
                </c:pt>
                <c:pt idx="32">
                  <c:v>0.11</c:v>
                </c:pt>
                <c:pt idx="33">
                  <c:v>0.11</c:v>
                </c:pt>
                <c:pt idx="34">
                  <c:v>0.11</c:v>
                </c:pt>
                <c:pt idx="35">
                  <c:v>0.11</c:v>
                </c:pt>
                <c:pt idx="36">
                  <c:v>0.11</c:v>
                </c:pt>
                <c:pt idx="37">
                  <c:v>0.11</c:v>
                </c:pt>
                <c:pt idx="38">
                  <c:v>0.11</c:v>
                </c:pt>
                <c:pt idx="39">
                  <c:v>0.11</c:v>
                </c:pt>
                <c:pt idx="40">
                  <c:v>0.11</c:v>
                </c:pt>
                <c:pt idx="41">
                  <c:v>0.11</c:v>
                </c:pt>
                <c:pt idx="42">
                  <c:v>0.11</c:v>
                </c:pt>
                <c:pt idx="43">
                  <c:v>0.11</c:v>
                </c:pt>
                <c:pt idx="44">
                  <c:v>0.11</c:v>
                </c:pt>
                <c:pt idx="45">
                  <c:v>0.11</c:v>
                </c:pt>
                <c:pt idx="46">
                  <c:v>0.11</c:v>
                </c:pt>
                <c:pt idx="47">
                  <c:v>0.11</c:v>
                </c:pt>
                <c:pt idx="48">
                  <c:v>0.11</c:v>
                </c:pt>
                <c:pt idx="49">
                  <c:v>0.11</c:v>
                </c:pt>
                <c:pt idx="50">
                  <c:v>0.11</c:v>
                </c:pt>
                <c:pt idx="51">
                  <c:v>0.11</c:v>
                </c:pt>
                <c:pt idx="52">
                  <c:v>0.11</c:v>
                </c:pt>
                <c:pt idx="53">
                  <c:v>0.11</c:v>
                </c:pt>
                <c:pt idx="54">
                  <c:v>0.11</c:v>
                </c:pt>
                <c:pt idx="55">
                  <c:v>0.11</c:v>
                </c:pt>
                <c:pt idx="56">
                  <c:v>0.11</c:v>
                </c:pt>
                <c:pt idx="57">
                  <c:v>0.11</c:v>
                </c:pt>
                <c:pt idx="58">
                  <c:v>0.11</c:v>
                </c:pt>
                <c:pt idx="59">
                  <c:v>0.11</c:v>
                </c:pt>
                <c:pt idx="60">
                  <c:v>0.11</c:v>
                </c:pt>
              </c:numCache>
            </c:numRef>
          </c:val>
          <c:smooth val="0"/>
          <c:extLst>
            <c:ext xmlns:c16="http://schemas.microsoft.com/office/drawing/2014/chart" uri="{C3380CC4-5D6E-409C-BE32-E72D297353CC}">
              <c16:uniqueId val="{00000001-0264-C241-80A2-0E058A19A9FC}"/>
            </c:ext>
          </c:extLst>
        </c:ser>
        <c:dLbls>
          <c:showLegendKey val="0"/>
          <c:showVal val="0"/>
          <c:showCatName val="0"/>
          <c:showSerName val="0"/>
          <c:showPercent val="0"/>
          <c:showBubbleSize val="0"/>
        </c:dLbls>
        <c:smooth val="0"/>
        <c:axId val="1528427428"/>
        <c:axId val="1942129007"/>
      </c:lineChart>
      <c:dateAx>
        <c:axId val="1528427428"/>
        <c:scaling>
          <c:orientation val="minMax"/>
        </c:scaling>
        <c:delete val="0"/>
        <c:axPos val="b"/>
        <c:title>
          <c:tx>
            <c:rich>
              <a:bodyPr/>
              <a:lstStyle/>
              <a:p>
                <a:pPr lvl="0">
                  <a:defRPr b="0">
                    <a:solidFill>
                      <a:srgbClr val="000000"/>
                    </a:solidFill>
                    <a:latin typeface="+mn-lt"/>
                  </a:defRPr>
                </a:pPr>
                <a:endParaRPr lang="es-MX"/>
              </a:p>
            </c:rich>
          </c:tx>
          <c:overlay val="0"/>
        </c:title>
        <c:numFmt formatCode="[$-409]mmm\-yy" sourceLinked="1"/>
        <c:majorTickMark val="out"/>
        <c:minorTickMark val="none"/>
        <c:tickLblPos val="nextTo"/>
        <c:txPr>
          <a:bodyPr/>
          <a:lstStyle/>
          <a:p>
            <a:pPr lvl="0">
              <a:defRPr sz="900" b="0" i="0">
                <a:solidFill>
                  <a:srgbClr val="000000"/>
                </a:solidFill>
                <a:latin typeface="+mn-lt"/>
              </a:defRPr>
            </a:pPr>
            <a:endParaRPr lang="es-MX"/>
          </a:p>
        </c:txPr>
        <c:crossAx val="1942129007"/>
        <c:crosses val="autoZero"/>
        <c:auto val="1"/>
        <c:lblOffset val="100"/>
        <c:baseTimeUnit val="months"/>
      </c:dateAx>
      <c:valAx>
        <c:axId val="194212900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MX"/>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MX"/>
          </a:p>
        </c:txPr>
        <c:crossAx val="1528427428"/>
        <c:crosses val="autoZero"/>
        <c:crossBetween val="between"/>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s-MX" sz="1400" b="0" i="0">
                <a:solidFill>
                  <a:srgbClr val="757575"/>
                </a:solidFill>
                <a:latin typeface="+mn-lt"/>
              </a:rPr>
              <a:t>Indice de cartera vencida</a:t>
            </a:r>
          </a:p>
        </c:rich>
      </c:tx>
      <c:overlay val="0"/>
    </c:title>
    <c:autoTitleDeleted val="0"/>
    <c:plotArea>
      <c:layout/>
      <c:lineChart>
        <c:grouping val="standard"/>
        <c:varyColors val="1"/>
        <c:ser>
          <c:idx val="0"/>
          <c:order val="0"/>
          <c:spPr>
            <a:ln w="28575" cmpd="sng">
              <a:solidFill>
                <a:srgbClr val="00B0F0">
                  <a:alpha val="100000"/>
                </a:srgbClr>
              </a:solidFill>
            </a:ln>
          </c:spPr>
          <c:marker>
            <c:symbol val="none"/>
          </c:marker>
          <c:cat>
            <c:numRef>
              <c:f>Monitoreo!$B$31:$BJ$31</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Monitoreo!$B$32:$BJ$32</c:f>
              <c:numCache>
                <c:formatCode>0.00%</c:formatCode>
                <c:ptCount val="61"/>
                <c:pt idx="0">
                  <c:v>9.3519917890918583E-2</c:v>
                </c:pt>
                <c:pt idx="2">
                  <c:v>0.10098073827186362</c:v>
                </c:pt>
                <c:pt idx="3">
                  <c:v>0.11312761823496496</c:v>
                </c:pt>
                <c:pt idx="4">
                  <c:v>9.8726511858668001E-2</c:v>
                </c:pt>
                <c:pt idx="5">
                  <c:v>0.12932794950532964</c:v>
                </c:pt>
                <c:pt idx="6">
                  <c:v>0.13336208824057183</c:v>
                </c:pt>
                <c:pt idx="7">
                  <c:v>0.14904246594875406</c:v>
                </c:pt>
                <c:pt idx="8">
                  <c:v>0.1585060597862793</c:v>
                </c:pt>
                <c:pt idx="9">
                  <c:v>0.17176269678396153</c:v>
                </c:pt>
                <c:pt idx="10">
                  <c:v>0.17103016156536499</c:v>
                </c:pt>
                <c:pt idx="11">
                  <c:v>0.15794492451057762</c:v>
                </c:pt>
                <c:pt idx="12">
                  <c:v>0.16100251003991117</c:v>
                </c:pt>
                <c:pt idx="13">
                  <c:v>0.16608179202463594</c:v>
                </c:pt>
                <c:pt idx="14">
                  <c:v>0.1622464932457145</c:v>
                </c:pt>
              </c:numCache>
            </c:numRef>
          </c:val>
          <c:smooth val="0"/>
          <c:extLst>
            <c:ext xmlns:c16="http://schemas.microsoft.com/office/drawing/2014/chart" uri="{C3380CC4-5D6E-409C-BE32-E72D297353CC}">
              <c16:uniqueId val="{00000000-0D37-7B46-B39E-414382FE55B1}"/>
            </c:ext>
          </c:extLst>
        </c:ser>
        <c:ser>
          <c:idx val="1"/>
          <c:order val="1"/>
          <c:spPr>
            <a:ln w="28575" cmpd="sng">
              <a:solidFill>
                <a:srgbClr val="FF0000">
                  <a:alpha val="100000"/>
                </a:srgbClr>
              </a:solidFill>
              <a:prstDash val="dash"/>
            </a:ln>
          </c:spPr>
          <c:marker>
            <c:symbol val="none"/>
          </c:marker>
          <c:cat>
            <c:numRef>
              <c:f>Monitoreo!$B$31:$BJ$31</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Monitoreo!$B$33:$BJ$33</c:f>
              <c:numCache>
                <c:formatCode>0%</c:formatCode>
                <c:ptCount val="61"/>
                <c:pt idx="0">
                  <c:v>0.14000000000000001</c:v>
                </c:pt>
                <c:pt idx="1">
                  <c:v>0.14000000000000001</c:v>
                </c:pt>
                <c:pt idx="2">
                  <c:v>0.14000000000000001</c:v>
                </c:pt>
                <c:pt idx="3">
                  <c:v>0.14000000000000001</c:v>
                </c:pt>
                <c:pt idx="4">
                  <c:v>0.14000000000000001</c:v>
                </c:pt>
                <c:pt idx="5">
                  <c:v>0.14000000000000001</c:v>
                </c:pt>
                <c:pt idx="6">
                  <c:v>0.14000000000000001</c:v>
                </c:pt>
                <c:pt idx="7">
                  <c:v>0.14000000000000001</c:v>
                </c:pt>
                <c:pt idx="8">
                  <c:v>0.14000000000000001</c:v>
                </c:pt>
                <c:pt idx="9">
                  <c:v>0.14000000000000001</c:v>
                </c:pt>
                <c:pt idx="10">
                  <c:v>0.14000000000000001</c:v>
                </c:pt>
                <c:pt idx="11">
                  <c:v>0.14000000000000001</c:v>
                </c:pt>
                <c:pt idx="12">
                  <c:v>0.14000000000000001</c:v>
                </c:pt>
                <c:pt idx="13">
                  <c:v>0.14000000000000001</c:v>
                </c:pt>
                <c:pt idx="14">
                  <c:v>0.14000000000000001</c:v>
                </c:pt>
                <c:pt idx="15">
                  <c:v>0.14000000000000001</c:v>
                </c:pt>
                <c:pt idx="16">
                  <c:v>0.14000000000000001</c:v>
                </c:pt>
                <c:pt idx="17">
                  <c:v>0.14000000000000001</c:v>
                </c:pt>
                <c:pt idx="18">
                  <c:v>0.14000000000000001</c:v>
                </c:pt>
                <c:pt idx="19">
                  <c:v>0.14000000000000001</c:v>
                </c:pt>
                <c:pt idx="20">
                  <c:v>0.14000000000000001</c:v>
                </c:pt>
                <c:pt idx="21">
                  <c:v>0.14000000000000001</c:v>
                </c:pt>
                <c:pt idx="22">
                  <c:v>0.14000000000000001</c:v>
                </c:pt>
                <c:pt idx="23">
                  <c:v>0.14000000000000001</c:v>
                </c:pt>
                <c:pt idx="24">
                  <c:v>0.14000000000000001</c:v>
                </c:pt>
                <c:pt idx="25">
                  <c:v>0.14000000000000001</c:v>
                </c:pt>
                <c:pt idx="26">
                  <c:v>0.14000000000000001</c:v>
                </c:pt>
                <c:pt idx="27">
                  <c:v>0.14000000000000001</c:v>
                </c:pt>
                <c:pt idx="28">
                  <c:v>0.14000000000000001</c:v>
                </c:pt>
                <c:pt idx="29">
                  <c:v>0.14000000000000001</c:v>
                </c:pt>
                <c:pt idx="30">
                  <c:v>0.14000000000000001</c:v>
                </c:pt>
                <c:pt idx="31">
                  <c:v>0.14000000000000001</c:v>
                </c:pt>
                <c:pt idx="32">
                  <c:v>0.14000000000000001</c:v>
                </c:pt>
                <c:pt idx="33">
                  <c:v>0.14000000000000001</c:v>
                </c:pt>
                <c:pt idx="34">
                  <c:v>0.14000000000000001</c:v>
                </c:pt>
                <c:pt idx="35">
                  <c:v>0.14000000000000001</c:v>
                </c:pt>
                <c:pt idx="36">
                  <c:v>0.14000000000000001</c:v>
                </c:pt>
                <c:pt idx="37">
                  <c:v>0.14000000000000001</c:v>
                </c:pt>
                <c:pt idx="38">
                  <c:v>0.14000000000000001</c:v>
                </c:pt>
                <c:pt idx="39">
                  <c:v>0.14000000000000001</c:v>
                </c:pt>
                <c:pt idx="40">
                  <c:v>0.14000000000000001</c:v>
                </c:pt>
                <c:pt idx="41">
                  <c:v>0.14000000000000001</c:v>
                </c:pt>
                <c:pt idx="42">
                  <c:v>0.14000000000000001</c:v>
                </c:pt>
                <c:pt idx="43">
                  <c:v>0.14000000000000001</c:v>
                </c:pt>
                <c:pt idx="44">
                  <c:v>0.14000000000000001</c:v>
                </c:pt>
                <c:pt idx="45">
                  <c:v>0.14000000000000001</c:v>
                </c:pt>
                <c:pt idx="46">
                  <c:v>0.14000000000000001</c:v>
                </c:pt>
                <c:pt idx="47">
                  <c:v>0.14000000000000001</c:v>
                </c:pt>
                <c:pt idx="48">
                  <c:v>0.14000000000000001</c:v>
                </c:pt>
                <c:pt idx="49">
                  <c:v>0.14000000000000001</c:v>
                </c:pt>
                <c:pt idx="50">
                  <c:v>0.14000000000000001</c:v>
                </c:pt>
                <c:pt idx="51">
                  <c:v>0.14000000000000001</c:v>
                </c:pt>
                <c:pt idx="52">
                  <c:v>0.14000000000000001</c:v>
                </c:pt>
                <c:pt idx="53">
                  <c:v>0.14000000000000001</c:v>
                </c:pt>
                <c:pt idx="54">
                  <c:v>0.14000000000000001</c:v>
                </c:pt>
                <c:pt idx="55">
                  <c:v>0.14000000000000001</c:v>
                </c:pt>
                <c:pt idx="56">
                  <c:v>0.14000000000000001</c:v>
                </c:pt>
                <c:pt idx="57">
                  <c:v>0.14000000000000001</c:v>
                </c:pt>
                <c:pt idx="58">
                  <c:v>0.14000000000000001</c:v>
                </c:pt>
                <c:pt idx="59">
                  <c:v>0.14000000000000001</c:v>
                </c:pt>
                <c:pt idx="60">
                  <c:v>0.14000000000000001</c:v>
                </c:pt>
              </c:numCache>
            </c:numRef>
          </c:val>
          <c:smooth val="0"/>
          <c:extLst>
            <c:ext xmlns:c16="http://schemas.microsoft.com/office/drawing/2014/chart" uri="{C3380CC4-5D6E-409C-BE32-E72D297353CC}">
              <c16:uniqueId val="{00000001-0D37-7B46-B39E-414382FE55B1}"/>
            </c:ext>
          </c:extLst>
        </c:ser>
        <c:dLbls>
          <c:showLegendKey val="0"/>
          <c:showVal val="0"/>
          <c:showCatName val="0"/>
          <c:showSerName val="0"/>
          <c:showPercent val="0"/>
          <c:showBubbleSize val="0"/>
        </c:dLbls>
        <c:smooth val="0"/>
        <c:axId val="1811187164"/>
        <c:axId val="1509448551"/>
      </c:lineChart>
      <c:dateAx>
        <c:axId val="1811187164"/>
        <c:scaling>
          <c:orientation val="minMax"/>
        </c:scaling>
        <c:delete val="0"/>
        <c:axPos val="b"/>
        <c:title>
          <c:tx>
            <c:rich>
              <a:bodyPr/>
              <a:lstStyle/>
              <a:p>
                <a:pPr lvl="0">
                  <a:defRPr b="0">
                    <a:solidFill>
                      <a:srgbClr val="000000"/>
                    </a:solidFill>
                    <a:latin typeface="+mn-lt"/>
                  </a:defRPr>
                </a:pPr>
                <a:endParaRPr lang="es-MX"/>
              </a:p>
            </c:rich>
          </c:tx>
          <c:overlay val="0"/>
        </c:title>
        <c:numFmt formatCode="[$-409]mmm\-yy" sourceLinked="1"/>
        <c:majorTickMark val="out"/>
        <c:minorTickMark val="none"/>
        <c:tickLblPos val="nextTo"/>
        <c:txPr>
          <a:bodyPr/>
          <a:lstStyle/>
          <a:p>
            <a:pPr lvl="0">
              <a:defRPr sz="900" b="0" i="0">
                <a:solidFill>
                  <a:srgbClr val="000000"/>
                </a:solidFill>
                <a:latin typeface="+mn-lt"/>
              </a:defRPr>
            </a:pPr>
            <a:endParaRPr lang="es-MX"/>
          </a:p>
        </c:txPr>
        <c:crossAx val="1509448551"/>
        <c:crosses val="autoZero"/>
        <c:auto val="1"/>
        <c:lblOffset val="100"/>
        <c:baseTimeUnit val="months"/>
      </c:dateAx>
      <c:valAx>
        <c:axId val="150944855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MX"/>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s-MX"/>
          </a:p>
        </c:txPr>
        <c:crossAx val="1811187164"/>
        <c:crosses val="autoZero"/>
        <c:crossBetween val="between"/>
      </c:valAx>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s-MX" sz="1400" b="0" i="0">
                <a:solidFill>
                  <a:srgbClr val="757575"/>
                </a:solidFill>
                <a:latin typeface="+mn-lt"/>
              </a:rPr>
              <a:t>Indice de rendimiento</a:t>
            </a:r>
          </a:p>
        </c:rich>
      </c:tx>
      <c:overlay val="0"/>
    </c:title>
    <c:autoTitleDeleted val="0"/>
    <c:plotArea>
      <c:layout/>
      <c:lineChart>
        <c:grouping val="standard"/>
        <c:varyColors val="1"/>
        <c:ser>
          <c:idx val="0"/>
          <c:order val="0"/>
          <c:spPr>
            <a:ln w="28575" cmpd="sng">
              <a:solidFill>
                <a:schemeClr val="accent1"/>
              </a:solidFill>
            </a:ln>
          </c:spPr>
          <c:marker>
            <c:symbol val="none"/>
          </c:marker>
          <c:cat>
            <c:numRef>
              <c:f>Monitoreo!$B$36:$BJ$36</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Monitoreo!$B$37:$BJ$37</c:f>
              <c:numCache>
                <c:formatCode>0%</c:formatCode>
                <c:ptCount val="61"/>
                <c:pt idx="0">
                  <c:v>0.32465717187615928</c:v>
                </c:pt>
                <c:pt idx="1">
                  <c:v>0.29792175457404346</c:v>
                </c:pt>
                <c:pt idx="2">
                  <c:v>0.32148484233342567</c:v>
                </c:pt>
                <c:pt idx="3">
                  <c:v>0.31382425142811055</c:v>
                </c:pt>
                <c:pt idx="4">
                  <c:v>0.30921443830722389</c:v>
                </c:pt>
                <c:pt idx="5">
                  <c:v>0.29454935565056217</c:v>
                </c:pt>
                <c:pt idx="6">
                  <c:v>0.29457406756959487</c:v>
                </c:pt>
                <c:pt idx="7">
                  <c:v>0.29565668483116175</c:v>
                </c:pt>
                <c:pt idx="8">
                  <c:v>0.29681314417489629</c:v>
                </c:pt>
                <c:pt idx="9">
                  <c:v>0.29719630379005146</c:v>
                </c:pt>
                <c:pt idx="10">
                  <c:v>0.2980467790881976</c:v>
                </c:pt>
                <c:pt idx="11">
                  <c:v>0.29916215010140079</c:v>
                </c:pt>
                <c:pt idx="12">
                  <c:v>0.30024439415750831</c:v>
                </c:pt>
                <c:pt idx="13">
                  <c:v>0.30096549389316452</c:v>
                </c:pt>
                <c:pt idx="14">
                  <c:v>0.30192267239354675</c:v>
                </c:pt>
                <c:pt idx="15">
                  <c:v>0.302844455968864</c:v>
                </c:pt>
                <c:pt idx="16">
                  <c:v>0.30402835432706132</c:v>
                </c:pt>
                <c:pt idx="17">
                  <c:v>0.30467917671037947</c:v>
                </c:pt>
                <c:pt idx="18">
                  <c:v>0.3054557846487751</c:v>
                </c:pt>
                <c:pt idx="19">
                  <c:v>0.30606770815029682</c:v>
                </c:pt>
                <c:pt idx="20">
                  <c:v>0.30667640934244456</c:v>
                </c:pt>
                <c:pt idx="21">
                  <c:v>0.30653409805867882</c:v>
                </c:pt>
                <c:pt idx="22">
                  <c:v>0.30639214695005484</c:v>
                </c:pt>
                <c:pt idx="23">
                  <c:v>0.3069029769636451</c:v>
                </c:pt>
                <c:pt idx="24">
                  <c:v>0.30751999275996955</c:v>
                </c:pt>
                <c:pt idx="25">
                  <c:v>0.30852038809616411</c:v>
                </c:pt>
                <c:pt idx="26">
                  <c:v>0.30904528667232256</c:v>
                </c:pt>
                <c:pt idx="27">
                  <c:v>0.30968357395654994</c:v>
                </c:pt>
                <c:pt idx="28">
                  <c:v>0.30970769900328154</c:v>
                </c:pt>
                <c:pt idx="29">
                  <c:v>0.30965186921579985</c:v>
                </c:pt>
                <c:pt idx="30">
                  <c:v>0.31030485365652705</c:v>
                </c:pt>
                <c:pt idx="31">
                  <c:v>0.31080229916736946</c:v>
                </c:pt>
                <c:pt idx="32">
                  <c:v>0.31137691774282561</c:v>
                </c:pt>
                <c:pt idx="33">
                  <c:v>0.31238532094571547</c:v>
                </c:pt>
                <c:pt idx="34">
                  <c:v>0.31361312341948544</c:v>
                </c:pt>
                <c:pt idx="35">
                  <c:v>0.31485577959945021</c:v>
                </c:pt>
                <c:pt idx="36">
                  <c:v>0.31642728463130232</c:v>
                </c:pt>
                <c:pt idx="37">
                  <c:v>0.31785290920534243</c:v>
                </c:pt>
                <c:pt idx="38">
                  <c:v>0.32002841732196935</c:v>
                </c:pt>
                <c:pt idx="39">
                  <c:v>0.32177827986099405</c:v>
                </c:pt>
                <c:pt idx="40">
                  <c:v>0.32251798500325768</c:v>
                </c:pt>
                <c:pt idx="41">
                  <c:v>0.32476829451849609</c:v>
                </c:pt>
                <c:pt idx="42">
                  <c:v>0.32810157857101846</c:v>
                </c:pt>
                <c:pt idx="43">
                  <c:v>0.329520711767531</c:v>
                </c:pt>
                <c:pt idx="44">
                  <c:v>0.32887567763656622</c:v>
                </c:pt>
                <c:pt idx="45">
                  <c:v>0.33190804071706093</c:v>
                </c:pt>
                <c:pt idx="46">
                  <c:v>0.33373734918343306</c:v>
                </c:pt>
                <c:pt idx="47">
                  <c:v>0.33733360307717014</c:v>
                </c:pt>
                <c:pt idx="48">
                  <c:v>0.33485293606004596</c:v>
                </c:pt>
                <c:pt idx="49">
                  <c:v>0.33914418569984062</c:v>
                </c:pt>
                <c:pt idx="50">
                  <c:v>0.33764009623929037</c:v>
                </c:pt>
                <c:pt idx="51">
                  <c:v>0.34442671254760504</c:v>
                </c:pt>
                <c:pt idx="52">
                  <c:v>0.35251190081538486</c:v>
                </c:pt>
                <c:pt idx="53">
                  <c:v>0.36539489614191328</c:v>
                </c:pt>
                <c:pt idx="54">
                  <c:v>0.37399142874292923</c:v>
                </c:pt>
                <c:pt idx="55">
                  <c:v>0.42303909395735528</c:v>
                </c:pt>
                <c:pt idx="56">
                  <c:v>0.44525417335481765</c:v>
                </c:pt>
                <c:pt idx="57">
                  <c:v>0.46890180580125768</c:v>
                </c:pt>
                <c:pt idx="58">
                  <c:v>0.10914424639618048</c:v>
                </c:pt>
                <c:pt idx="59">
                  <c:v>0.10914065592205333</c:v>
                </c:pt>
                <c:pt idx="60">
                  <c:v>0.10914312891488455</c:v>
                </c:pt>
              </c:numCache>
            </c:numRef>
          </c:val>
          <c:smooth val="0"/>
          <c:extLst>
            <c:ext xmlns:c16="http://schemas.microsoft.com/office/drawing/2014/chart" uri="{C3380CC4-5D6E-409C-BE32-E72D297353CC}">
              <c16:uniqueId val="{00000000-1ED7-374E-9951-A6D8DCCE8AE3}"/>
            </c:ext>
          </c:extLst>
        </c:ser>
        <c:ser>
          <c:idx val="1"/>
          <c:order val="1"/>
          <c:spPr>
            <a:ln w="28575" cmpd="sng">
              <a:solidFill>
                <a:srgbClr val="00B0F0">
                  <a:alpha val="100000"/>
                </a:srgbClr>
              </a:solidFill>
            </a:ln>
          </c:spPr>
          <c:marker>
            <c:symbol val="none"/>
          </c:marker>
          <c:cat>
            <c:numRef>
              <c:f>Monitoreo!$B$36:$BJ$36</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Monitoreo!$B$38:$BJ$38</c:f>
              <c:numCache>
                <c:formatCode>0%</c:formatCode>
                <c:ptCount val="61"/>
                <c:pt idx="0">
                  <c:v>0.49128634808850791</c:v>
                </c:pt>
                <c:pt idx="2">
                  <c:v>0.46343952440106628</c:v>
                </c:pt>
                <c:pt idx="3">
                  <c:v>0.40301369049051589</c:v>
                </c:pt>
                <c:pt idx="4">
                  <c:v>0.34426086824615243</c:v>
                </c:pt>
                <c:pt idx="5">
                  <c:v>0.33571750720231874</c:v>
                </c:pt>
                <c:pt idx="6">
                  <c:v>0.31486238398452482</c:v>
                </c:pt>
                <c:pt idx="7">
                  <c:v>0.28804192472788165</c:v>
                </c:pt>
                <c:pt idx="8">
                  <c:v>0.25722046370475515</c:v>
                </c:pt>
                <c:pt idx="9">
                  <c:v>0.25859564365354504</c:v>
                </c:pt>
                <c:pt idx="10">
                  <c:v>0.23798805198548822</c:v>
                </c:pt>
                <c:pt idx="11">
                  <c:v>0.20002340945893637</c:v>
                </c:pt>
                <c:pt idx="12">
                  <c:v>0.14549507141481727</c:v>
                </c:pt>
                <c:pt idx="13">
                  <c:v>0.15180120921280146</c:v>
                </c:pt>
                <c:pt idx="14">
                  <c:v>0.16607487961781767</c:v>
                </c:pt>
              </c:numCache>
            </c:numRef>
          </c:val>
          <c:smooth val="0"/>
          <c:extLst>
            <c:ext xmlns:c16="http://schemas.microsoft.com/office/drawing/2014/chart" uri="{C3380CC4-5D6E-409C-BE32-E72D297353CC}">
              <c16:uniqueId val="{00000001-1ED7-374E-9951-A6D8DCCE8AE3}"/>
            </c:ext>
          </c:extLst>
        </c:ser>
        <c:ser>
          <c:idx val="2"/>
          <c:order val="2"/>
          <c:spPr>
            <a:ln w="28575" cmpd="sng">
              <a:solidFill>
                <a:srgbClr val="FF0000">
                  <a:alpha val="100000"/>
                </a:srgbClr>
              </a:solidFill>
              <a:prstDash val="dash"/>
            </a:ln>
          </c:spPr>
          <c:marker>
            <c:symbol val="none"/>
          </c:marker>
          <c:cat>
            <c:numRef>
              <c:f>Monitoreo!$B$36:$BJ$36</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Monitoreo!$B$39:$BJ$39</c:f>
              <c:numCache>
                <c:formatCode>0%</c:formatCode>
                <c:ptCount val="61"/>
                <c:pt idx="0">
                  <c:v>0.28000000000000003</c:v>
                </c:pt>
                <c:pt idx="1">
                  <c:v>0.28000000000000003</c:v>
                </c:pt>
                <c:pt idx="2">
                  <c:v>0.28000000000000003</c:v>
                </c:pt>
                <c:pt idx="3">
                  <c:v>0.28000000000000003</c:v>
                </c:pt>
                <c:pt idx="4">
                  <c:v>0.28000000000000003</c:v>
                </c:pt>
                <c:pt idx="5">
                  <c:v>0.28000000000000003</c:v>
                </c:pt>
                <c:pt idx="6">
                  <c:v>0.28000000000000003</c:v>
                </c:pt>
                <c:pt idx="7">
                  <c:v>0.28000000000000003</c:v>
                </c:pt>
                <c:pt idx="8">
                  <c:v>0.3</c:v>
                </c:pt>
                <c:pt idx="9">
                  <c:v>0.3</c:v>
                </c:pt>
                <c:pt idx="10">
                  <c:v>0.3</c:v>
                </c:pt>
                <c:pt idx="11">
                  <c:v>0.3</c:v>
                </c:pt>
                <c:pt idx="12">
                  <c:v>0.3</c:v>
                </c:pt>
                <c:pt idx="13">
                  <c:v>0.3</c:v>
                </c:pt>
                <c:pt idx="14">
                  <c:v>0.3</c:v>
                </c:pt>
                <c:pt idx="15">
                  <c:v>0.3</c:v>
                </c:pt>
                <c:pt idx="16">
                  <c:v>0.3</c:v>
                </c:pt>
                <c:pt idx="17">
                  <c:v>0.3</c:v>
                </c:pt>
                <c:pt idx="18">
                  <c:v>0.3</c:v>
                </c:pt>
                <c:pt idx="19">
                  <c:v>0.3</c:v>
                </c:pt>
                <c:pt idx="20">
                  <c:v>0.3</c:v>
                </c:pt>
                <c:pt idx="21">
                  <c:v>0.3</c:v>
                </c:pt>
                <c:pt idx="22">
                  <c:v>0.3</c:v>
                </c:pt>
                <c:pt idx="23">
                  <c:v>0.3</c:v>
                </c:pt>
                <c:pt idx="24">
                  <c:v>0.3</c:v>
                </c:pt>
                <c:pt idx="25">
                  <c:v>0.3</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0.3</c:v>
                </c:pt>
                <c:pt idx="53">
                  <c:v>0.3</c:v>
                </c:pt>
                <c:pt idx="54">
                  <c:v>0.3</c:v>
                </c:pt>
                <c:pt idx="55">
                  <c:v>0.3</c:v>
                </c:pt>
                <c:pt idx="56">
                  <c:v>0.3</c:v>
                </c:pt>
                <c:pt idx="57">
                  <c:v>0.3</c:v>
                </c:pt>
                <c:pt idx="58">
                  <c:v>0.3</c:v>
                </c:pt>
                <c:pt idx="59">
                  <c:v>0.3</c:v>
                </c:pt>
                <c:pt idx="60">
                  <c:v>0.3</c:v>
                </c:pt>
              </c:numCache>
            </c:numRef>
          </c:val>
          <c:smooth val="0"/>
          <c:extLst>
            <c:ext xmlns:c16="http://schemas.microsoft.com/office/drawing/2014/chart" uri="{C3380CC4-5D6E-409C-BE32-E72D297353CC}">
              <c16:uniqueId val="{00000002-1ED7-374E-9951-A6D8DCCE8AE3}"/>
            </c:ext>
          </c:extLst>
        </c:ser>
        <c:dLbls>
          <c:showLegendKey val="0"/>
          <c:showVal val="0"/>
          <c:showCatName val="0"/>
          <c:showSerName val="0"/>
          <c:showPercent val="0"/>
          <c:showBubbleSize val="0"/>
        </c:dLbls>
        <c:smooth val="0"/>
        <c:axId val="566544871"/>
        <c:axId val="422320568"/>
      </c:lineChart>
      <c:dateAx>
        <c:axId val="566544871"/>
        <c:scaling>
          <c:orientation val="minMax"/>
        </c:scaling>
        <c:delete val="0"/>
        <c:axPos val="b"/>
        <c:title>
          <c:tx>
            <c:rich>
              <a:bodyPr/>
              <a:lstStyle/>
              <a:p>
                <a:pPr lvl="0">
                  <a:defRPr b="0">
                    <a:solidFill>
                      <a:srgbClr val="000000"/>
                    </a:solidFill>
                    <a:latin typeface="+mn-lt"/>
                  </a:defRPr>
                </a:pPr>
                <a:endParaRPr lang="es-MX"/>
              </a:p>
            </c:rich>
          </c:tx>
          <c:overlay val="0"/>
        </c:title>
        <c:numFmt formatCode="[$-409]mmm\-yy" sourceLinked="1"/>
        <c:majorTickMark val="out"/>
        <c:minorTickMark val="none"/>
        <c:tickLblPos val="nextTo"/>
        <c:txPr>
          <a:bodyPr/>
          <a:lstStyle/>
          <a:p>
            <a:pPr lvl="0">
              <a:defRPr sz="900" b="0" i="0">
                <a:solidFill>
                  <a:srgbClr val="000000"/>
                </a:solidFill>
                <a:latin typeface="+mn-lt"/>
              </a:defRPr>
            </a:pPr>
            <a:endParaRPr lang="es-MX"/>
          </a:p>
        </c:txPr>
        <c:crossAx val="422320568"/>
        <c:crosses val="autoZero"/>
        <c:auto val="1"/>
        <c:lblOffset val="100"/>
        <c:baseTimeUnit val="months"/>
      </c:dateAx>
      <c:valAx>
        <c:axId val="42232056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MX"/>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MX"/>
          </a:p>
        </c:txPr>
        <c:crossAx val="566544871"/>
        <c:crosses val="autoZero"/>
        <c:crossBetween val="between"/>
      </c:valAx>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s-MX" sz="1400" b="0" i="0">
                <a:solidFill>
                  <a:srgbClr val="757575"/>
                </a:solidFill>
                <a:latin typeface="+mn-lt"/>
              </a:rPr>
              <a:t>Indice de rentabilidad</a:t>
            </a:r>
          </a:p>
        </c:rich>
      </c:tx>
      <c:overlay val="0"/>
    </c:title>
    <c:autoTitleDeleted val="0"/>
    <c:plotArea>
      <c:layout/>
      <c:lineChart>
        <c:grouping val="standard"/>
        <c:varyColors val="1"/>
        <c:ser>
          <c:idx val="0"/>
          <c:order val="0"/>
          <c:spPr>
            <a:ln w="28575" cmpd="sng">
              <a:solidFill>
                <a:schemeClr val="accent1"/>
              </a:solidFill>
            </a:ln>
          </c:spPr>
          <c:marker>
            <c:symbol val="none"/>
          </c:marker>
          <c:cat>
            <c:numRef>
              <c:f>Monitoreo!$B$42:$BJ$42</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Monitoreo!$B$43:$BJ$43</c:f>
              <c:numCache>
                <c:formatCode>0%</c:formatCode>
                <c:ptCount val="61"/>
                <c:pt idx="0">
                  <c:v>2.2206958129159939E-2</c:v>
                </c:pt>
                <c:pt idx="1">
                  <c:v>-4.4084216790190364E-3</c:v>
                </c:pt>
                <c:pt idx="2">
                  <c:v>9.5752086077337977E-4</c:v>
                </c:pt>
                <c:pt idx="3">
                  <c:v>8.1371964378727773E-3</c:v>
                </c:pt>
                <c:pt idx="4">
                  <c:v>3.6637043203940199E-2</c:v>
                </c:pt>
                <c:pt idx="5">
                  <c:v>5.3373451742625477E-2</c:v>
                </c:pt>
                <c:pt idx="6">
                  <c:v>6.6907040114405791E-2</c:v>
                </c:pt>
                <c:pt idx="7">
                  <c:v>6.7598391287342949E-2</c:v>
                </c:pt>
                <c:pt idx="8">
                  <c:v>6.8305288917908602E-2</c:v>
                </c:pt>
                <c:pt idx="9">
                  <c:v>6.9606850366486978E-2</c:v>
                </c:pt>
                <c:pt idx="10">
                  <c:v>7.1056897963016105E-2</c:v>
                </c:pt>
                <c:pt idx="11">
                  <c:v>7.2738270901232041E-2</c:v>
                </c:pt>
                <c:pt idx="12">
                  <c:v>7.4411113271703438E-2</c:v>
                </c:pt>
                <c:pt idx="13">
                  <c:v>7.5856056783739759E-2</c:v>
                </c:pt>
                <c:pt idx="14">
                  <c:v>7.7391979293029101E-2</c:v>
                </c:pt>
                <c:pt idx="15">
                  <c:v>7.8925202060188618E-2</c:v>
                </c:pt>
                <c:pt idx="16">
                  <c:v>8.0585497399746825E-2</c:v>
                </c:pt>
                <c:pt idx="17">
                  <c:v>8.199846917640545E-2</c:v>
                </c:pt>
                <c:pt idx="18">
                  <c:v>8.3415324042080255E-2</c:v>
                </c:pt>
                <c:pt idx="19">
                  <c:v>8.477096967511405E-2</c:v>
                </c:pt>
                <c:pt idx="20">
                  <c:v>8.6122313936865619E-2</c:v>
                </c:pt>
                <c:pt idx="21">
                  <c:v>8.7082106552471755E-2</c:v>
                </c:pt>
                <c:pt idx="22">
                  <c:v>8.8004160572091844E-2</c:v>
                </c:pt>
                <c:pt idx="23">
                  <c:v>8.9288627114444463E-2</c:v>
                </c:pt>
                <c:pt idx="24">
                  <c:v>9.0662786458737502E-2</c:v>
                </c:pt>
                <c:pt idx="25">
                  <c:v>9.223135059804187E-2</c:v>
                </c:pt>
                <c:pt idx="26">
                  <c:v>9.3612715439175181E-2</c:v>
                </c:pt>
                <c:pt idx="27">
                  <c:v>9.5013126806102743E-2</c:v>
                </c:pt>
                <c:pt idx="28">
                  <c:v>9.6118924701939862E-2</c:v>
                </c:pt>
                <c:pt idx="29">
                  <c:v>9.7183423125755425E-2</c:v>
                </c:pt>
                <c:pt idx="30">
                  <c:v>9.856383953997222E-2</c:v>
                </c:pt>
                <c:pt idx="31">
                  <c:v>9.992166176096641E-2</c:v>
                </c:pt>
                <c:pt idx="32">
                  <c:v>0.10131136555213215</c:v>
                </c:pt>
                <c:pt idx="33">
                  <c:v>0.10289531304024035</c:v>
                </c:pt>
                <c:pt idx="34">
                  <c:v>0.104595674529849</c:v>
                </c:pt>
                <c:pt idx="35">
                  <c:v>0.10631679706643837</c:v>
                </c:pt>
                <c:pt idx="36">
                  <c:v>0.10815931911290316</c:v>
                </c:pt>
                <c:pt idx="37">
                  <c:v>0.10994682175217184</c:v>
                </c:pt>
                <c:pt idx="38">
                  <c:v>0.11286566956117589</c:v>
                </c:pt>
                <c:pt idx="39">
                  <c:v>0.11329723334318548</c:v>
                </c:pt>
                <c:pt idx="40">
                  <c:v>0.11326556681683522</c:v>
                </c:pt>
                <c:pt idx="41">
                  <c:v>0.11384122437148142</c:v>
                </c:pt>
                <c:pt idx="42">
                  <c:v>0.11489233651986605</c:v>
                </c:pt>
                <c:pt idx="43">
                  <c:v>0.11513642084369037</c:v>
                </c:pt>
                <c:pt idx="44">
                  <c:v>0.11448459176917469</c:v>
                </c:pt>
                <c:pt idx="45">
                  <c:v>0.11533139356544408</c:v>
                </c:pt>
                <c:pt idx="46">
                  <c:v>0.11572699190875035</c:v>
                </c:pt>
                <c:pt idx="47">
                  <c:v>0.1168205658821436</c:v>
                </c:pt>
                <c:pt idx="48">
                  <c:v>0.11547157065769578</c:v>
                </c:pt>
                <c:pt idx="49">
                  <c:v>0.11681968664689613</c:v>
                </c:pt>
                <c:pt idx="50">
                  <c:v>0.11588728266248821</c:v>
                </c:pt>
                <c:pt idx="51">
                  <c:v>0.11823098913231959</c:v>
                </c:pt>
                <c:pt idx="52">
                  <c:v>0.12109002494722984</c:v>
                </c:pt>
                <c:pt idx="53">
                  <c:v>0.12579690397025634</c:v>
                </c:pt>
                <c:pt idx="54">
                  <c:v>0.12878569371939824</c:v>
                </c:pt>
                <c:pt idx="55">
                  <c:v>0.14744281006758733</c:v>
                </c:pt>
                <c:pt idx="56">
                  <c:v>0.15557657045343021</c:v>
                </c:pt>
                <c:pt idx="57">
                  <c:v>0.16417346071473932</c:v>
                </c:pt>
                <c:pt idx="58">
                  <c:v>2.5922142753925265E-2</c:v>
                </c:pt>
                <c:pt idx="59">
                  <c:v>2.6032644224546396E-2</c:v>
                </c:pt>
                <c:pt idx="60">
                  <c:v>2.6149661880161143E-2</c:v>
                </c:pt>
              </c:numCache>
            </c:numRef>
          </c:val>
          <c:smooth val="0"/>
          <c:extLst>
            <c:ext xmlns:c16="http://schemas.microsoft.com/office/drawing/2014/chart" uri="{C3380CC4-5D6E-409C-BE32-E72D297353CC}">
              <c16:uniqueId val="{00000000-931B-1D4D-9BA5-7DE094A22B1B}"/>
            </c:ext>
          </c:extLst>
        </c:ser>
        <c:ser>
          <c:idx val="1"/>
          <c:order val="1"/>
          <c:spPr>
            <a:ln w="28575" cmpd="sng">
              <a:solidFill>
                <a:srgbClr val="00B0F0">
                  <a:alpha val="100000"/>
                </a:srgbClr>
              </a:solidFill>
            </a:ln>
          </c:spPr>
          <c:marker>
            <c:symbol val="none"/>
          </c:marker>
          <c:cat>
            <c:numRef>
              <c:f>Monitoreo!$B$42:$BJ$42</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Monitoreo!$B$44:$BJ$44</c:f>
              <c:numCache>
                <c:formatCode>0%</c:formatCode>
                <c:ptCount val="61"/>
                <c:pt idx="0">
                  <c:v>-0.25730636659627659</c:v>
                </c:pt>
                <c:pt idx="2" formatCode="0.0%">
                  <c:v>-0.25698135975207564</c:v>
                </c:pt>
                <c:pt idx="3" formatCode="0.0%">
                  <c:v>-0.23983150715470222</c:v>
                </c:pt>
                <c:pt idx="4" formatCode="0.0%">
                  <c:v>-0.19809746612342946</c:v>
                </c:pt>
                <c:pt idx="5" formatCode="0.0%">
                  <c:v>-0.19683796398965217</c:v>
                </c:pt>
                <c:pt idx="6" formatCode="0.0%">
                  <c:v>-0.17527368055047823</c:v>
                </c:pt>
                <c:pt idx="7" formatCode="0.0%">
                  <c:v>-0.14711211175125161</c:v>
                </c:pt>
                <c:pt idx="8" formatCode="0.0%">
                  <c:v>-0.11570118757357634</c:v>
                </c:pt>
                <c:pt idx="9" formatCode="0.0%">
                  <c:v>-0.10873787743846482</c:v>
                </c:pt>
                <c:pt idx="10" formatCode="0.0%">
                  <c:v>-8.9273370156370255E-2</c:v>
                </c:pt>
                <c:pt idx="11" formatCode="0.0%">
                  <c:v>-7.4440321589532205E-2</c:v>
                </c:pt>
                <c:pt idx="12" formatCode="0.0%">
                  <c:v>-4.6250918463917844E-2</c:v>
                </c:pt>
                <c:pt idx="13" formatCode="0.0%">
                  <c:v>0</c:v>
                </c:pt>
                <c:pt idx="14" formatCode="0.0%">
                  <c:v>-1.3552793916744382E-2</c:v>
                </c:pt>
              </c:numCache>
            </c:numRef>
          </c:val>
          <c:smooth val="0"/>
          <c:extLst>
            <c:ext xmlns:c16="http://schemas.microsoft.com/office/drawing/2014/chart" uri="{C3380CC4-5D6E-409C-BE32-E72D297353CC}">
              <c16:uniqueId val="{00000001-931B-1D4D-9BA5-7DE094A22B1B}"/>
            </c:ext>
          </c:extLst>
        </c:ser>
        <c:ser>
          <c:idx val="2"/>
          <c:order val="2"/>
          <c:spPr>
            <a:ln w="28575" cmpd="sng">
              <a:solidFill>
                <a:srgbClr val="FF0000">
                  <a:alpha val="100000"/>
                </a:srgbClr>
              </a:solidFill>
              <a:prstDash val="dash"/>
            </a:ln>
          </c:spPr>
          <c:marker>
            <c:symbol val="none"/>
          </c:marker>
          <c:cat>
            <c:numRef>
              <c:f>Monitoreo!$B$42:$BJ$42</c:f>
              <c:numCache>
                <c:formatCode>[$-409]mmm\-yy</c:formatCode>
                <c:ptCount val="61"/>
                <c:pt idx="0">
                  <c:v>45657</c:v>
                </c:pt>
                <c:pt idx="1">
                  <c:v>45688</c:v>
                </c:pt>
                <c:pt idx="2">
                  <c:v>45716</c:v>
                </c:pt>
                <c:pt idx="3">
                  <c:v>45747</c:v>
                </c:pt>
                <c:pt idx="4">
                  <c:v>45777</c:v>
                </c:pt>
                <c:pt idx="5">
                  <c:v>45808</c:v>
                </c:pt>
                <c:pt idx="6">
                  <c:v>45838</c:v>
                </c:pt>
                <c:pt idx="7">
                  <c:v>45869</c:v>
                </c:pt>
                <c:pt idx="8">
                  <c:v>45900</c:v>
                </c:pt>
                <c:pt idx="9">
                  <c:v>45930</c:v>
                </c:pt>
                <c:pt idx="10">
                  <c:v>45961</c:v>
                </c:pt>
                <c:pt idx="11">
                  <c:v>45991</c:v>
                </c:pt>
                <c:pt idx="12">
                  <c:v>46022</c:v>
                </c:pt>
                <c:pt idx="13">
                  <c:v>46053</c:v>
                </c:pt>
                <c:pt idx="14">
                  <c:v>46081</c:v>
                </c:pt>
                <c:pt idx="15">
                  <c:v>46112</c:v>
                </c:pt>
                <c:pt idx="16">
                  <c:v>46142</c:v>
                </c:pt>
                <c:pt idx="17">
                  <c:v>46173</c:v>
                </c:pt>
                <c:pt idx="18">
                  <c:v>46203</c:v>
                </c:pt>
                <c:pt idx="19">
                  <c:v>46234</c:v>
                </c:pt>
                <c:pt idx="20">
                  <c:v>46265</c:v>
                </c:pt>
                <c:pt idx="21">
                  <c:v>46295</c:v>
                </c:pt>
                <c:pt idx="22">
                  <c:v>46326</c:v>
                </c:pt>
                <c:pt idx="23">
                  <c:v>46356</c:v>
                </c:pt>
                <c:pt idx="24">
                  <c:v>46387</c:v>
                </c:pt>
                <c:pt idx="25">
                  <c:v>46418</c:v>
                </c:pt>
                <c:pt idx="26">
                  <c:v>46446</c:v>
                </c:pt>
                <c:pt idx="27">
                  <c:v>46477</c:v>
                </c:pt>
                <c:pt idx="28">
                  <c:v>46507</c:v>
                </c:pt>
                <c:pt idx="29">
                  <c:v>46538</c:v>
                </c:pt>
                <c:pt idx="30">
                  <c:v>46568</c:v>
                </c:pt>
                <c:pt idx="31">
                  <c:v>46599</c:v>
                </c:pt>
                <c:pt idx="32">
                  <c:v>46630</c:v>
                </c:pt>
                <c:pt idx="33">
                  <c:v>46660</c:v>
                </c:pt>
                <c:pt idx="34">
                  <c:v>46691</c:v>
                </c:pt>
                <c:pt idx="35">
                  <c:v>46721</c:v>
                </c:pt>
                <c:pt idx="36">
                  <c:v>46752</c:v>
                </c:pt>
                <c:pt idx="37">
                  <c:v>46783</c:v>
                </c:pt>
                <c:pt idx="38">
                  <c:v>46812</c:v>
                </c:pt>
                <c:pt idx="39">
                  <c:v>46843</c:v>
                </c:pt>
                <c:pt idx="40">
                  <c:v>46873</c:v>
                </c:pt>
                <c:pt idx="41">
                  <c:v>46904</c:v>
                </c:pt>
                <c:pt idx="42">
                  <c:v>46934</c:v>
                </c:pt>
                <c:pt idx="43">
                  <c:v>46965</c:v>
                </c:pt>
                <c:pt idx="44">
                  <c:v>46996</c:v>
                </c:pt>
                <c:pt idx="45">
                  <c:v>47026</c:v>
                </c:pt>
                <c:pt idx="46">
                  <c:v>47057</c:v>
                </c:pt>
                <c:pt idx="47">
                  <c:v>47087</c:v>
                </c:pt>
                <c:pt idx="48">
                  <c:v>47118</c:v>
                </c:pt>
                <c:pt idx="49">
                  <c:v>47149</c:v>
                </c:pt>
                <c:pt idx="50">
                  <c:v>47177</c:v>
                </c:pt>
                <c:pt idx="51">
                  <c:v>47208</c:v>
                </c:pt>
                <c:pt idx="52">
                  <c:v>47238</c:v>
                </c:pt>
                <c:pt idx="53">
                  <c:v>47269</c:v>
                </c:pt>
                <c:pt idx="54">
                  <c:v>47299</c:v>
                </c:pt>
                <c:pt idx="55">
                  <c:v>47330</c:v>
                </c:pt>
                <c:pt idx="56">
                  <c:v>47361</c:v>
                </c:pt>
                <c:pt idx="57">
                  <c:v>47391</c:v>
                </c:pt>
                <c:pt idx="58">
                  <c:v>47422</c:v>
                </c:pt>
                <c:pt idx="59">
                  <c:v>47452</c:v>
                </c:pt>
                <c:pt idx="60">
                  <c:v>47483</c:v>
                </c:pt>
              </c:numCache>
            </c:numRef>
          </c:cat>
          <c:val>
            <c:numRef>
              <c:f>Monitoreo!$B$45:$BJ$45</c:f>
              <c:numCache>
                <c:formatCode>0%</c:formatCode>
                <c:ptCount val="61"/>
                <c:pt idx="0">
                  <c:v>-0.02</c:v>
                </c:pt>
                <c:pt idx="1">
                  <c:v>-0.02</c:v>
                </c:pt>
                <c:pt idx="2">
                  <c:v>-0.02</c:v>
                </c:pt>
                <c:pt idx="3">
                  <c:v>-0.02</c:v>
                </c:pt>
                <c:pt idx="4">
                  <c:v>-0.02</c:v>
                </c:pt>
                <c:pt idx="5">
                  <c:v>-0.02</c:v>
                </c:pt>
                <c:pt idx="6">
                  <c:v>-0.02</c:v>
                </c:pt>
                <c:pt idx="7">
                  <c:v>-0.02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val>
          <c:smooth val="0"/>
          <c:extLst>
            <c:ext xmlns:c16="http://schemas.microsoft.com/office/drawing/2014/chart" uri="{C3380CC4-5D6E-409C-BE32-E72D297353CC}">
              <c16:uniqueId val="{00000002-931B-1D4D-9BA5-7DE094A22B1B}"/>
            </c:ext>
          </c:extLst>
        </c:ser>
        <c:dLbls>
          <c:showLegendKey val="0"/>
          <c:showVal val="0"/>
          <c:showCatName val="0"/>
          <c:showSerName val="0"/>
          <c:showPercent val="0"/>
          <c:showBubbleSize val="0"/>
        </c:dLbls>
        <c:smooth val="0"/>
        <c:axId val="193185644"/>
        <c:axId val="1502479651"/>
      </c:lineChart>
      <c:dateAx>
        <c:axId val="193185644"/>
        <c:scaling>
          <c:orientation val="minMax"/>
        </c:scaling>
        <c:delete val="0"/>
        <c:axPos val="b"/>
        <c:title>
          <c:tx>
            <c:rich>
              <a:bodyPr/>
              <a:lstStyle/>
              <a:p>
                <a:pPr lvl="0">
                  <a:defRPr b="0">
                    <a:solidFill>
                      <a:srgbClr val="000000"/>
                    </a:solidFill>
                    <a:latin typeface="+mn-lt"/>
                  </a:defRPr>
                </a:pPr>
                <a:endParaRPr lang="es-MX"/>
              </a:p>
            </c:rich>
          </c:tx>
          <c:overlay val="0"/>
        </c:title>
        <c:numFmt formatCode="[$-409]mmm\-yy" sourceLinked="1"/>
        <c:majorTickMark val="out"/>
        <c:minorTickMark val="none"/>
        <c:tickLblPos val="nextTo"/>
        <c:txPr>
          <a:bodyPr/>
          <a:lstStyle/>
          <a:p>
            <a:pPr lvl="0">
              <a:defRPr sz="900" b="0" i="0">
                <a:solidFill>
                  <a:srgbClr val="000000"/>
                </a:solidFill>
                <a:latin typeface="+mn-lt"/>
              </a:defRPr>
            </a:pPr>
            <a:endParaRPr lang="es-MX"/>
          </a:p>
        </c:txPr>
        <c:crossAx val="1502479651"/>
        <c:crosses val="autoZero"/>
        <c:auto val="1"/>
        <c:lblOffset val="100"/>
        <c:baseTimeUnit val="months"/>
      </c:dateAx>
      <c:valAx>
        <c:axId val="150247965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MX"/>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MX"/>
          </a:p>
        </c:txPr>
        <c:crossAx val="193185644"/>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57150</xdr:colOff>
      <xdr:row>0</xdr:row>
      <xdr:rowOff>57150</xdr:rowOff>
    </xdr:from>
    <xdr:ext cx="400050" cy="3333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133350</xdr:colOff>
      <xdr:row>1</xdr:row>
      <xdr:rowOff>19050</xdr:rowOff>
    </xdr:from>
    <xdr:ext cx="409575" cy="3238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104775</xdr:colOff>
      <xdr:row>56</xdr:row>
      <xdr:rowOff>95250</xdr:rowOff>
    </xdr:from>
    <xdr:ext cx="4781550" cy="2876550"/>
    <xdr:graphicFrame macro="">
      <xdr:nvGraphicFramePr>
        <xdr:cNvPr id="275034081" name="Chart 1">
          <a:extLst>
            <a:ext uri="{FF2B5EF4-FFF2-40B4-BE49-F238E27FC236}">
              <a16:creationId xmlns:a16="http://schemas.microsoft.com/office/drawing/2014/main" id="{00000000-0008-0000-0400-0000E1AF6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609600</xdr:colOff>
      <xdr:row>56</xdr:row>
      <xdr:rowOff>133350</xdr:rowOff>
    </xdr:from>
    <xdr:ext cx="6000750" cy="2886075"/>
    <xdr:graphicFrame macro="">
      <xdr:nvGraphicFramePr>
        <xdr:cNvPr id="381597490" name="Chart 2">
          <a:extLst>
            <a:ext uri="{FF2B5EF4-FFF2-40B4-BE49-F238E27FC236}">
              <a16:creationId xmlns:a16="http://schemas.microsoft.com/office/drawing/2014/main" id="{00000000-0008-0000-0400-000032B7B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12</xdr:col>
      <xdr:colOff>533400</xdr:colOff>
      <xdr:row>57</xdr:row>
      <xdr:rowOff>19050</xdr:rowOff>
    </xdr:from>
    <xdr:ext cx="4476750" cy="2876550"/>
    <xdr:graphicFrame macro="">
      <xdr:nvGraphicFramePr>
        <xdr:cNvPr id="1342281556" name="Chart 3">
          <a:extLst>
            <a:ext uri="{FF2B5EF4-FFF2-40B4-BE49-F238E27FC236}">
              <a16:creationId xmlns:a16="http://schemas.microsoft.com/office/drawing/2014/main" id="{00000000-0008-0000-0400-000054970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18</xdr:col>
      <xdr:colOff>419100</xdr:colOff>
      <xdr:row>57</xdr:row>
      <xdr:rowOff>95250</xdr:rowOff>
    </xdr:from>
    <xdr:ext cx="4476750" cy="2676525"/>
    <xdr:graphicFrame macro="">
      <xdr:nvGraphicFramePr>
        <xdr:cNvPr id="1213001282" name="Chart 4">
          <a:extLst>
            <a:ext uri="{FF2B5EF4-FFF2-40B4-BE49-F238E27FC236}">
              <a16:creationId xmlns:a16="http://schemas.microsoft.com/office/drawing/2014/main" id="{00000000-0008-0000-0400-000042EE4C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xdr:col>
      <xdr:colOff>104775</xdr:colOff>
      <xdr:row>72</xdr:row>
      <xdr:rowOff>19050</xdr:rowOff>
    </xdr:from>
    <xdr:ext cx="4781550" cy="2876550"/>
    <xdr:graphicFrame macro="">
      <xdr:nvGraphicFramePr>
        <xdr:cNvPr id="1748632363" name="Chart 5">
          <a:extLst>
            <a:ext uri="{FF2B5EF4-FFF2-40B4-BE49-F238E27FC236}">
              <a16:creationId xmlns:a16="http://schemas.microsoft.com/office/drawing/2014/main" id="{00000000-0008-0000-0400-00002B033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552450</xdr:colOff>
      <xdr:row>72</xdr:row>
      <xdr:rowOff>171450</xdr:rowOff>
    </xdr:from>
    <xdr:ext cx="6000750" cy="2886075"/>
    <xdr:graphicFrame macro="">
      <xdr:nvGraphicFramePr>
        <xdr:cNvPr id="1577390106" name="Chart 6">
          <a:extLst>
            <a:ext uri="{FF2B5EF4-FFF2-40B4-BE49-F238E27FC236}">
              <a16:creationId xmlns:a16="http://schemas.microsoft.com/office/drawing/2014/main" id="{00000000-0008-0000-0400-00001A100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12</xdr:col>
      <xdr:colOff>409575</xdr:colOff>
      <xdr:row>72</xdr:row>
      <xdr:rowOff>133350</xdr:rowOff>
    </xdr:from>
    <xdr:ext cx="4476750" cy="2886075"/>
    <xdr:graphicFrame macro="">
      <xdr:nvGraphicFramePr>
        <xdr:cNvPr id="2126910952" name="Chart 7">
          <a:extLst>
            <a:ext uri="{FF2B5EF4-FFF2-40B4-BE49-F238E27FC236}">
              <a16:creationId xmlns:a16="http://schemas.microsoft.com/office/drawing/2014/main" id="{00000000-0008-0000-0400-0000E815C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18</xdr:col>
      <xdr:colOff>342900</xdr:colOff>
      <xdr:row>72</xdr:row>
      <xdr:rowOff>38100</xdr:rowOff>
    </xdr:from>
    <xdr:ext cx="4486275" cy="2876550"/>
    <xdr:graphicFrame macro="">
      <xdr:nvGraphicFramePr>
        <xdr:cNvPr id="1993783309" name="Chart 8">
          <a:extLst>
            <a:ext uri="{FF2B5EF4-FFF2-40B4-BE49-F238E27FC236}">
              <a16:creationId xmlns:a16="http://schemas.microsoft.com/office/drawing/2014/main" id="{00000000-0008-0000-0400-00000DB8D6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opLeftCell="A14" workbookViewId="0">
      <selection activeCell="C56" sqref="C56:G56"/>
    </sheetView>
  </sheetViews>
  <sheetFormatPr baseColWidth="10" defaultColWidth="12.6640625" defaultRowHeight="15" customHeight="1" x14ac:dyDescent="0.2"/>
  <cols>
    <col min="1" max="1" width="2" customWidth="1"/>
    <col min="2" max="2" width="28" customWidth="1"/>
    <col min="3" max="3" width="62.1640625" customWidth="1"/>
    <col min="4" max="4" width="22.83203125" customWidth="1"/>
    <col min="5" max="6" width="16" customWidth="1"/>
    <col min="7" max="7" width="20" customWidth="1"/>
    <col min="8" max="8" width="2" customWidth="1"/>
    <col min="9" max="26" width="8.83203125" customWidth="1"/>
  </cols>
  <sheetData>
    <row r="1" spans="1:26" ht="4.5" customHeight="1" x14ac:dyDescent="0.2">
      <c r="A1" s="206"/>
      <c r="B1" s="164"/>
      <c r="C1" s="164"/>
      <c r="D1" s="164"/>
      <c r="E1" s="164"/>
      <c r="F1" s="164"/>
      <c r="G1" s="164"/>
      <c r="H1" s="165"/>
      <c r="I1" s="1"/>
      <c r="J1" s="1"/>
      <c r="K1" s="1"/>
      <c r="L1" s="1"/>
      <c r="M1" s="1"/>
      <c r="N1" s="1"/>
      <c r="O1" s="1"/>
      <c r="P1" s="1"/>
      <c r="Q1" s="1"/>
      <c r="R1" s="1"/>
      <c r="S1" s="1"/>
      <c r="T1" s="1"/>
      <c r="U1" s="1"/>
      <c r="V1" s="1"/>
      <c r="W1" s="1"/>
      <c r="X1" s="1"/>
      <c r="Y1" s="1"/>
      <c r="Z1" s="1"/>
    </row>
    <row r="2" spans="1:26" ht="24" customHeight="1" x14ac:dyDescent="0.2">
      <c r="A2" s="1"/>
      <c r="B2" s="1"/>
      <c r="C2" s="1"/>
      <c r="D2" s="1"/>
      <c r="E2" s="1"/>
      <c r="F2" s="1"/>
      <c r="G2" s="1"/>
      <c r="H2" s="1"/>
      <c r="I2" s="1"/>
      <c r="J2" s="1"/>
      <c r="K2" s="1"/>
      <c r="L2" s="1"/>
      <c r="M2" s="1"/>
      <c r="N2" s="1"/>
      <c r="O2" s="1"/>
      <c r="P2" s="1"/>
      <c r="Q2" s="1"/>
      <c r="R2" s="1"/>
      <c r="S2" s="1"/>
      <c r="T2" s="1"/>
      <c r="U2" s="1"/>
      <c r="V2" s="1"/>
      <c r="W2" s="1"/>
      <c r="X2" s="1"/>
      <c r="Y2" s="1"/>
      <c r="Z2" s="1"/>
    </row>
    <row r="3" spans="1:26" ht="4.5" customHeight="1" x14ac:dyDescent="0.2">
      <c r="A3" s="1"/>
      <c r="B3" s="1"/>
      <c r="C3" s="1"/>
      <c r="D3" s="1"/>
      <c r="E3" s="1"/>
      <c r="F3" s="1"/>
      <c r="G3" s="1"/>
      <c r="H3" s="1"/>
      <c r="I3" s="1"/>
      <c r="J3" s="1"/>
      <c r="K3" s="1"/>
      <c r="L3" s="1"/>
      <c r="M3" s="1"/>
      <c r="N3" s="1"/>
      <c r="O3" s="1"/>
      <c r="P3" s="1"/>
      <c r="Q3" s="1"/>
      <c r="R3" s="1"/>
      <c r="S3" s="1"/>
      <c r="T3" s="1"/>
      <c r="U3" s="1"/>
      <c r="V3" s="1"/>
      <c r="W3" s="1"/>
      <c r="X3" s="1"/>
      <c r="Y3" s="1"/>
      <c r="Z3" s="1"/>
    </row>
    <row r="4" spans="1:26" ht="21.75" customHeight="1" x14ac:dyDescent="0.2">
      <c r="A4" s="1"/>
      <c r="B4" s="207" t="s">
        <v>0</v>
      </c>
      <c r="C4" s="164"/>
      <c r="D4" s="164"/>
      <c r="E4" s="164"/>
      <c r="F4" s="164"/>
      <c r="G4" s="164"/>
      <c r="H4" s="165"/>
      <c r="I4" s="1"/>
      <c r="J4" s="1"/>
      <c r="K4" s="1"/>
      <c r="L4" s="1"/>
      <c r="M4" s="1"/>
      <c r="N4" s="1"/>
      <c r="O4" s="1"/>
      <c r="P4" s="1"/>
      <c r="Q4" s="1"/>
      <c r="R4" s="1"/>
      <c r="S4" s="1"/>
      <c r="T4" s="1"/>
      <c r="U4" s="1"/>
      <c r="V4" s="1"/>
      <c r="W4" s="1"/>
      <c r="X4" s="1"/>
      <c r="Y4" s="1"/>
      <c r="Z4" s="1"/>
    </row>
    <row r="5" spans="1:26" ht="13.5" hidden="1" customHeight="1" x14ac:dyDescent="0.2">
      <c r="A5" s="1"/>
      <c r="B5" s="208" t="s">
        <v>1</v>
      </c>
      <c r="C5" s="167"/>
      <c r="D5" s="167"/>
      <c r="E5" s="167"/>
      <c r="F5" s="167"/>
      <c r="G5" s="167"/>
      <c r="H5" s="168"/>
      <c r="I5" s="1"/>
      <c r="J5" s="1"/>
      <c r="K5" s="1"/>
      <c r="L5" s="1"/>
      <c r="M5" s="1"/>
      <c r="N5" s="1"/>
      <c r="O5" s="1"/>
      <c r="P5" s="1"/>
      <c r="Q5" s="1"/>
      <c r="R5" s="1"/>
      <c r="S5" s="1"/>
      <c r="T5" s="1"/>
      <c r="U5" s="1"/>
      <c r="V5" s="1"/>
      <c r="W5" s="1"/>
      <c r="X5" s="1"/>
      <c r="Y5" s="1"/>
      <c r="Z5" s="1"/>
    </row>
    <row r="6" spans="1:26" ht="7.5" customHeight="1" x14ac:dyDescent="0.2">
      <c r="A6" s="1"/>
      <c r="B6" s="1"/>
      <c r="C6" s="1"/>
      <c r="D6" s="1"/>
      <c r="E6" s="1"/>
      <c r="F6" s="1"/>
      <c r="G6" s="1"/>
      <c r="H6" s="1"/>
      <c r="I6" s="1"/>
      <c r="J6" s="1"/>
      <c r="K6" s="1"/>
      <c r="L6" s="1"/>
      <c r="M6" s="1"/>
      <c r="N6" s="1"/>
      <c r="O6" s="1"/>
      <c r="P6" s="1"/>
      <c r="Q6" s="1"/>
      <c r="R6" s="1"/>
      <c r="S6" s="1"/>
      <c r="T6" s="1"/>
      <c r="U6" s="1"/>
      <c r="V6" s="1"/>
      <c r="W6" s="1"/>
      <c r="X6" s="1"/>
      <c r="Y6" s="1"/>
      <c r="Z6" s="1"/>
    </row>
    <row r="7" spans="1:26" ht="13.5" customHeight="1" x14ac:dyDescent="0.2">
      <c r="A7" s="1"/>
      <c r="B7" s="185" t="s">
        <v>2</v>
      </c>
      <c r="C7" s="186"/>
      <c r="D7" s="186"/>
      <c r="E7" s="186"/>
      <c r="F7" s="186"/>
      <c r="G7" s="187"/>
      <c r="H7" s="1"/>
      <c r="I7" s="1"/>
      <c r="J7" s="1"/>
      <c r="K7" s="1"/>
      <c r="L7" s="1"/>
      <c r="M7" s="1"/>
      <c r="N7" s="1"/>
      <c r="O7" s="1"/>
      <c r="P7" s="1"/>
      <c r="Q7" s="1"/>
      <c r="R7" s="1"/>
      <c r="S7" s="1"/>
      <c r="T7" s="1"/>
      <c r="U7" s="1"/>
      <c r="V7" s="1"/>
      <c r="W7" s="1"/>
      <c r="X7" s="1"/>
      <c r="Y7" s="1"/>
      <c r="Z7" s="1"/>
    </row>
    <row r="8" spans="1:26" ht="18" customHeight="1" x14ac:dyDescent="0.2">
      <c r="A8" s="1"/>
      <c r="B8" s="2" t="s">
        <v>3</v>
      </c>
      <c r="C8" s="3" t="s">
        <v>4</v>
      </c>
      <c r="D8" s="2" t="s">
        <v>5</v>
      </c>
      <c r="E8" s="209" t="s">
        <v>6</v>
      </c>
      <c r="F8" s="200"/>
      <c r="G8" s="210"/>
      <c r="H8" s="1"/>
      <c r="I8" s="1"/>
      <c r="J8" s="1"/>
      <c r="K8" s="1"/>
      <c r="L8" s="1"/>
      <c r="M8" s="1"/>
      <c r="N8" s="1"/>
      <c r="O8" s="1"/>
      <c r="P8" s="1"/>
      <c r="Q8" s="1"/>
      <c r="R8" s="1"/>
      <c r="S8" s="1"/>
      <c r="T8" s="1"/>
      <c r="U8" s="1"/>
      <c r="V8" s="1"/>
      <c r="W8" s="1"/>
      <c r="X8" s="1"/>
      <c r="Y8" s="1"/>
      <c r="Z8" s="1"/>
    </row>
    <row r="9" spans="1:26" ht="18" customHeight="1" x14ac:dyDescent="0.2">
      <c r="A9" s="1"/>
      <c r="B9" s="4" t="s">
        <v>7</v>
      </c>
      <c r="C9" s="3" t="s">
        <v>8</v>
      </c>
      <c r="D9" s="2" t="s">
        <v>9</v>
      </c>
      <c r="E9" s="204">
        <v>45715</v>
      </c>
      <c r="F9" s="171"/>
      <c r="G9" s="172"/>
      <c r="H9" s="1"/>
      <c r="I9" s="1"/>
      <c r="J9" s="1"/>
      <c r="K9" s="1"/>
      <c r="L9" s="1"/>
      <c r="M9" s="1"/>
      <c r="N9" s="1"/>
      <c r="O9" s="1"/>
      <c r="P9" s="1"/>
      <c r="Q9" s="1"/>
      <c r="R9" s="1"/>
      <c r="S9" s="1"/>
      <c r="T9" s="1"/>
      <c r="U9" s="1"/>
      <c r="V9" s="1"/>
      <c r="W9" s="1"/>
      <c r="X9" s="1"/>
      <c r="Y9" s="1"/>
      <c r="Z9" s="1"/>
    </row>
    <row r="10" spans="1:26" ht="18" customHeight="1" x14ac:dyDescent="0.2">
      <c r="A10" s="1"/>
      <c r="B10" s="4" t="s">
        <v>10</v>
      </c>
      <c r="C10" s="3" t="s">
        <v>11</v>
      </c>
      <c r="D10" s="4" t="s">
        <v>12</v>
      </c>
      <c r="E10" s="204">
        <v>45723</v>
      </c>
      <c r="F10" s="171"/>
      <c r="G10" s="172"/>
      <c r="H10" s="1"/>
      <c r="I10" s="1"/>
      <c r="J10" s="1"/>
      <c r="K10" s="1"/>
      <c r="L10" s="1"/>
      <c r="M10" s="1"/>
      <c r="N10" s="1"/>
      <c r="O10" s="1"/>
      <c r="P10" s="1"/>
      <c r="Q10" s="1"/>
      <c r="R10" s="1"/>
      <c r="S10" s="1"/>
      <c r="T10" s="1"/>
      <c r="U10" s="1"/>
      <c r="V10" s="1"/>
      <c r="W10" s="1"/>
      <c r="X10" s="1"/>
      <c r="Y10" s="1"/>
      <c r="Z10" s="1"/>
    </row>
    <row r="11" spans="1:26" ht="18" customHeight="1" x14ac:dyDescent="0.2">
      <c r="A11" s="1"/>
      <c r="B11" s="2" t="s">
        <v>13</v>
      </c>
      <c r="C11" s="3" t="s">
        <v>14</v>
      </c>
      <c r="D11" s="4" t="s">
        <v>15</v>
      </c>
      <c r="E11" s="204">
        <f>EDATE(E10,C13)</f>
        <v>46819</v>
      </c>
      <c r="F11" s="171"/>
      <c r="G11" s="172"/>
      <c r="H11" s="1"/>
      <c r="I11" s="1"/>
      <c r="J11" s="1"/>
      <c r="K11" s="1"/>
      <c r="L11" s="1"/>
      <c r="M11" s="1"/>
      <c r="N11" s="1"/>
      <c r="O11" s="1"/>
      <c r="P11" s="1"/>
      <c r="Q11" s="1"/>
      <c r="R11" s="1"/>
      <c r="S11" s="1"/>
      <c r="T11" s="1"/>
      <c r="U11" s="1"/>
      <c r="V11" s="1"/>
      <c r="W11" s="1"/>
      <c r="X11" s="1"/>
      <c r="Y11" s="1"/>
      <c r="Z11" s="1"/>
    </row>
    <row r="12" spans="1:26" ht="18" customHeight="1" x14ac:dyDescent="0.2">
      <c r="A12" s="1"/>
      <c r="B12" s="4" t="s">
        <v>16</v>
      </c>
      <c r="C12" s="5">
        <v>50000000</v>
      </c>
      <c r="D12" s="4" t="s">
        <v>17</v>
      </c>
      <c r="E12" s="205" t="s">
        <v>18</v>
      </c>
      <c r="F12" s="171"/>
      <c r="G12" s="172"/>
      <c r="H12" s="1"/>
      <c r="I12" s="1"/>
      <c r="J12" s="1"/>
      <c r="K12" s="1"/>
      <c r="L12" s="1"/>
      <c r="M12" s="1"/>
      <c r="N12" s="1"/>
      <c r="O12" s="1"/>
      <c r="P12" s="1"/>
      <c r="Q12" s="1"/>
      <c r="R12" s="1"/>
      <c r="S12" s="1"/>
      <c r="T12" s="1"/>
      <c r="U12" s="1"/>
      <c r="V12" s="1"/>
      <c r="W12" s="1"/>
      <c r="X12" s="1"/>
      <c r="Y12" s="1"/>
      <c r="Z12" s="1"/>
    </row>
    <row r="13" spans="1:26" ht="24.75" customHeight="1" x14ac:dyDescent="0.2">
      <c r="A13" s="1"/>
      <c r="B13" s="4" t="s">
        <v>19</v>
      </c>
      <c r="C13" s="3">
        <v>36</v>
      </c>
      <c r="D13" s="4" t="s">
        <v>20</v>
      </c>
      <c r="E13" s="205" t="s">
        <v>21</v>
      </c>
      <c r="F13" s="171"/>
      <c r="G13" s="172"/>
      <c r="H13" s="1"/>
      <c r="I13" s="1"/>
      <c r="J13" s="1"/>
      <c r="K13" s="1"/>
      <c r="L13" s="1"/>
      <c r="M13" s="1"/>
      <c r="N13" s="1"/>
      <c r="O13" s="1"/>
      <c r="P13" s="1"/>
      <c r="Q13" s="1"/>
      <c r="R13" s="1"/>
      <c r="S13" s="1"/>
      <c r="T13" s="1"/>
      <c r="U13" s="1"/>
      <c r="V13" s="1"/>
      <c r="W13" s="1"/>
      <c r="X13" s="1"/>
      <c r="Y13" s="1"/>
      <c r="Z13" s="1"/>
    </row>
    <row r="14" spans="1:26" ht="18" customHeight="1" x14ac:dyDescent="0.2">
      <c r="A14" s="1"/>
      <c r="B14" s="4" t="s">
        <v>22</v>
      </c>
      <c r="C14" s="6">
        <v>0.20499999999999999</v>
      </c>
      <c r="D14" s="4" t="s">
        <v>23</v>
      </c>
      <c r="E14" s="197" t="s">
        <v>24</v>
      </c>
      <c r="F14" s="171"/>
      <c r="G14" s="172"/>
      <c r="H14" s="1"/>
      <c r="I14" s="1"/>
      <c r="J14" s="1"/>
      <c r="K14" s="1"/>
      <c r="L14" s="1"/>
      <c r="M14" s="1"/>
      <c r="N14" s="1"/>
      <c r="O14" s="1"/>
      <c r="P14" s="1"/>
      <c r="Q14" s="1"/>
      <c r="R14" s="1"/>
      <c r="S14" s="1"/>
      <c r="T14" s="1"/>
      <c r="U14" s="1"/>
      <c r="V14" s="1"/>
      <c r="W14" s="1"/>
      <c r="X14" s="1"/>
      <c r="Y14" s="1"/>
      <c r="Z14" s="1"/>
    </row>
    <row r="15" spans="1:26" ht="18" customHeight="1" x14ac:dyDescent="0.2">
      <c r="A15" s="1"/>
      <c r="B15" s="4" t="s">
        <v>25</v>
      </c>
      <c r="C15" s="3" t="s">
        <v>26</v>
      </c>
      <c r="D15" s="4" t="s">
        <v>27</v>
      </c>
      <c r="E15" s="197" t="s">
        <v>28</v>
      </c>
      <c r="F15" s="171"/>
      <c r="G15" s="172"/>
      <c r="H15" s="1"/>
      <c r="I15" s="1"/>
      <c r="J15" s="1"/>
      <c r="K15" s="1"/>
      <c r="L15" s="1"/>
      <c r="M15" s="1"/>
      <c r="N15" s="1"/>
      <c r="O15" s="1"/>
      <c r="P15" s="1"/>
      <c r="Q15" s="1"/>
      <c r="R15" s="1"/>
      <c r="S15" s="1"/>
      <c r="T15" s="1"/>
      <c r="U15" s="1"/>
      <c r="V15" s="1"/>
      <c r="W15" s="1"/>
      <c r="X15" s="1"/>
      <c r="Y15" s="1"/>
      <c r="Z15" s="1"/>
    </row>
    <row r="16" spans="1:26" ht="9.7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5" customHeight="1" x14ac:dyDescent="0.2">
      <c r="A17" s="1"/>
      <c r="B17" s="198" t="s">
        <v>29</v>
      </c>
      <c r="C17" s="164"/>
      <c r="D17" s="164"/>
      <c r="E17" s="164"/>
      <c r="F17" s="165"/>
      <c r="G17" s="1"/>
      <c r="H17" s="1"/>
      <c r="I17" s="1"/>
      <c r="J17" s="1"/>
      <c r="K17" s="1"/>
      <c r="L17" s="1"/>
      <c r="M17" s="1"/>
      <c r="N17" s="1"/>
      <c r="O17" s="1"/>
      <c r="P17" s="1"/>
      <c r="Q17" s="1"/>
      <c r="R17" s="1"/>
      <c r="S17" s="1"/>
      <c r="T17" s="1"/>
      <c r="U17" s="1"/>
      <c r="V17" s="1"/>
      <c r="W17" s="1"/>
      <c r="X17" s="1"/>
      <c r="Y17" s="1"/>
      <c r="Z17" s="1"/>
    </row>
    <row r="18" spans="1:26" ht="13.5" customHeight="1" x14ac:dyDescent="0.2">
      <c r="A18" s="1"/>
      <c r="B18" s="199" t="s">
        <v>30</v>
      </c>
      <c r="C18" s="200"/>
      <c r="D18" s="200"/>
      <c r="E18" s="200"/>
      <c r="F18" s="201"/>
      <c r="G18" s="1"/>
      <c r="H18" s="1"/>
      <c r="I18" s="1"/>
      <c r="J18" s="1"/>
      <c r="K18" s="1"/>
      <c r="L18" s="1"/>
      <c r="M18" s="1"/>
      <c r="N18" s="1"/>
      <c r="O18" s="1"/>
      <c r="P18" s="1"/>
      <c r="Q18" s="1"/>
      <c r="R18" s="1"/>
      <c r="S18" s="1"/>
      <c r="T18" s="1"/>
      <c r="U18" s="1"/>
      <c r="V18" s="1"/>
      <c r="W18" s="1"/>
      <c r="X18" s="1"/>
      <c r="Y18" s="1"/>
      <c r="Z18" s="1"/>
    </row>
    <row r="19" spans="1:26" ht="27.75" customHeight="1" x14ac:dyDescent="0.2">
      <c r="A19" s="1"/>
      <c r="B19" s="7" t="s">
        <v>31</v>
      </c>
      <c r="C19" s="8" t="s">
        <v>32</v>
      </c>
      <c r="D19" s="8" t="s">
        <v>33</v>
      </c>
      <c r="E19" s="8" t="s">
        <v>34</v>
      </c>
      <c r="F19" s="8" t="s">
        <v>35</v>
      </c>
      <c r="G19" s="1"/>
      <c r="H19" s="1"/>
      <c r="I19" s="1"/>
      <c r="J19" s="1"/>
      <c r="K19" s="1"/>
      <c r="L19" s="1"/>
      <c r="M19" s="1"/>
      <c r="N19" s="1"/>
      <c r="O19" s="1"/>
      <c r="P19" s="1"/>
      <c r="Q19" s="1"/>
      <c r="R19" s="1"/>
      <c r="S19" s="1"/>
      <c r="T19" s="1"/>
      <c r="U19" s="1"/>
      <c r="V19" s="1"/>
      <c r="W19" s="1"/>
      <c r="X19" s="1"/>
      <c r="Y19" s="1"/>
      <c r="Z19" s="1"/>
    </row>
    <row r="20" spans="1:26" ht="12" hidden="1" customHeight="1" x14ac:dyDescent="0.2">
      <c r="A20" s="1"/>
      <c r="B20" s="202" t="s">
        <v>36</v>
      </c>
      <c r="C20" s="183"/>
      <c r="D20" s="183"/>
      <c r="E20" s="183"/>
      <c r="F20" s="203"/>
      <c r="G20" s="1"/>
      <c r="H20" s="1"/>
      <c r="I20" s="1"/>
      <c r="J20" s="1"/>
      <c r="K20" s="1"/>
      <c r="L20" s="1"/>
      <c r="M20" s="1"/>
      <c r="N20" s="1"/>
      <c r="O20" s="1"/>
      <c r="P20" s="1"/>
      <c r="Q20" s="1"/>
      <c r="R20" s="1"/>
      <c r="S20" s="1"/>
      <c r="T20" s="1"/>
      <c r="U20" s="1"/>
      <c r="V20" s="1"/>
      <c r="W20" s="1"/>
      <c r="X20" s="1"/>
      <c r="Y20" s="1"/>
      <c r="Z20" s="1"/>
    </row>
    <row r="21" spans="1:26" ht="18" hidden="1" customHeight="1" x14ac:dyDescent="0.2">
      <c r="A21" s="1"/>
      <c r="B21" s="2" t="s">
        <v>37</v>
      </c>
      <c r="C21" s="9" t="s">
        <v>38</v>
      </c>
      <c r="D21" s="10">
        <v>0.28999999999999998</v>
      </c>
      <c r="E21" s="10">
        <v>0.25</v>
      </c>
      <c r="F21" s="10">
        <v>0.28999999999999998</v>
      </c>
      <c r="G21" s="1"/>
      <c r="H21" s="1"/>
      <c r="I21" s="1"/>
      <c r="J21" s="1"/>
      <c r="K21" s="1"/>
      <c r="L21" s="1"/>
      <c r="M21" s="1"/>
      <c r="N21" s="1"/>
      <c r="O21" s="1"/>
      <c r="P21" s="1"/>
      <c r="Q21" s="1"/>
      <c r="R21" s="1"/>
      <c r="S21" s="1"/>
      <c r="T21" s="1"/>
      <c r="U21" s="1"/>
      <c r="V21" s="1"/>
      <c r="W21" s="1"/>
      <c r="X21" s="1"/>
      <c r="Y21" s="1"/>
      <c r="Z21" s="1"/>
    </row>
    <row r="22" spans="1:26" ht="18" hidden="1" customHeight="1" x14ac:dyDescent="0.2">
      <c r="A22" s="1"/>
      <c r="B22" s="4" t="s">
        <v>39</v>
      </c>
      <c r="C22" s="11" t="s">
        <v>40</v>
      </c>
      <c r="D22" s="12">
        <v>1</v>
      </c>
      <c r="E22" s="12">
        <v>1.1499999999999999</v>
      </c>
      <c r="F22" s="12">
        <v>1.07</v>
      </c>
      <c r="G22" s="1"/>
      <c r="H22" s="1"/>
      <c r="I22" s="1"/>
      <c r="J22" s="1"/>
      <c r="K22" s="1"/>
      <c r="L22" s="1"/>
      <c r="M22" s="1"/>
      <c r="N22" s="1"/>
      <c r="O22" s="1"/>
      <c r="P22" s="1"/>
      <c r="Q22" s="1"/>
      <c r="R22" s="1"/>
      <c r="S22" s="1"/>
      <c r="T22" s="1"/>
      <c r="U22" s="1"/>
      <c r="V22" s="1"/>
      <c r="W22" s="1"/>
      <c r="X22" s="1"/>
      <c r="Y22" s="1"/>
      <c r="Z22" s="1"/>
    </row>
    <row r="23" spans="1:26" ht="18" hidden="1" customHeight="1" x14ac:dyDescent="0.2">
      <c r="A23" s="1"/>
      <c r="B23" s="4" t="s">
        <v>41</v>
      </c>
      <c r="C23" s="9" t="s">
        <v>42</v>
      </c>
      <c r="D23" s="10">
        <v>0.05</v>
      </c>
      <c r="E23" s="10">
        <v>0.05</v>
      </c>
      <c r="F23" s="10">
        <v>0.1</v>
      </c>
      <c r="G23" s="1"/>
      <c r="H23" s="1"/>
      <c r="I23" s="1"/>
      <c r="J23" s="1"/>
      <c r="K23" s="1"/>
      <c r="L23" s="1"/>
      <c r="M23" s="1"/>
      <c r="N23" s="1"/>
      <c r="O23" s="1"/>
      <c r="P23" s="1"/>
      <c r="Q23" s="1"/>
      <c r="R23" s="1"/>
      <c r="S23" s="1"/>
      <c r="T23" s="1"/>
      <c r="U23" s="1"/>
      <c r="V23" s="1"/>
      <c r="W23" s="1"/>
      <c r="X23" s="1"/>
      <c r="Y23" s="1"/>
      <c r="Z23" s="1"/>
    </row>
    <row r="24" spans="1:26" ht="18" hidden="1" customHeight="1" x14ac:dyDescent="0.2">
      <c r="A24" s="1"/>
      <c r="B24" s="4" t="s">
        <v>43</v>
      </c>
      <c r="C24" s="11" t="s">
        <v>44</v>
      </c>
      <c r="D24" s="12">
        <v>0.11</v>
      </c>
      <c r="E24" s="12">
        <v>0.25</v>
      </c>
      <c r="F24" s="12">
        <v>0.2</v>
      </c>
      <c r="G24" s="1"/>
      <c r="H24" s="1"/>
      <c r="I24" s="1"/>
      <c r="J24" s="1"/>
      <c r="K24" s="1"/>
      <c r="L24" s="1"/>
      <c r="M24" s="1"/>
      <c r="N24" s="1"/>
      <c r="O24" s="1"/>
      <c r="P24" s="1"/>
      <c r="Q24" s="1"/>
      <c r="R24" s="1"/>
      <c r="S24" s="1"/>
      <c r="T24" s="1"/>
      <c r="U24" s="1"/>
      <c r="V24" s="1"/>
      <c r="W24" s="1"/>
      <c r="X24" s="1"/>
      <c r="Y24" s="1"/>
      <c r="Z24" s="1"/>
    </row>
    <row r="25" spans="1:26" ht="18" hidden="1" customHeight="1" x14ac:dyDescent="0.2">
      <c r="A25" s="1"/>
      <c r="B25" s="4" t="s">
        <v>45</v>
      </c>
      <c r="C25" s="9" t="s">
        <v>46</v>
      </c>
      <c r="D25" s="10">
        <v>1</v>
      </c>
      <c r="E25" s="10">
        <v>1</v>
      </c>
      <c r="F25" s="10">
        <v>0.8</v>
      </c>
      <c r="G25" s="1"/>
      <c r="H25" s="1"/>
      <c r="I25" s="1"/>
      <c r="J25" s="1"/>
      <c r="K25" s="1"/>
      <c r="L25" s="1"/>
      <c r="M25" s="1"/>
      <c r="N25" s="1"/>
      <c r="O25" s="1"/>
      <c r="P25" s="1"/>
      <c r="Q25" s="1"/>
      <c r="R25" s="1"/>
      <c r="S25" s="1"/>
      <c r="T25" s="1"/>
      <c r="U25" s="1"/>
      <c r="V25" s="1"/>
      <c r="W25" s="1"/>
      <c r="X25" s="1"/>
      <c r="Y25" s="1"/>
      <c r="Z25" s="1"/>
    </row>
    <row r="26" spans="1:26" ht="18" hidden="1" customHeight="1" x14ac:dyDescent="0.2">
      <c r="A26" s="1"/>
      <c r="B26" s="4" t="s">
        <v>47</v>
      </c>
      <c r="C26" s="11" t="s">
        <v>48</v>
      </c>
      <c r="D26" s="13" t="s">
        <v>49</v>
      </c>
      <c r="E26" s="13" t="s">
        <v>49</v>
      </c>
      <c r="F26" s="13" t="s">
        <v>50</v>
      </c>
      <c r="G26" s="1"/>
      <c r="H26" s="1"/>
      <c r="I26" s="1"/>
      <c r="J26" s="1"/>
      <c r="K26" s="1"/>
      <c r="L26" s="1"/>
      <c r="M26" s="1"/>
      <c r="N26" s="1"/>
      <c r="O26" s="1"/>
      <c r="P26" s="1"/>
      <c r="Q26" s="1"/>
      <c r="R26" s="1"/>
      <c r="S26" s="1"/>
      <c r="T26" s="1"/>
      <c r="U26" s="1"/>
      <c r="V26" s="1"/>
      <c r="W26" s="1"/>
      <c r="X26" s="1"/>
      <c r="Y26" s="1"/>
      <c r="Z26" s="1"/>
    </row>
    <row r="27" spans="1:26" ht="12" customHeight="1" x14ac:dyDescent="0.2">
      <c r="A27" s="1"/>
      <c r="B27" s="191" t="s">
        <v>51</v>
      </c>
      <c r="C27" s="171"/>
      <c r="D27" s="171"/>
      <c r="E27" s="171"/>
      <c r="F27" s="192"/>
      <c r="G27" s="1"/>
      <c r="H27" s="1"/>
      <c r="I27" s="1"/>
      <c r="J27" s="1"/>
      <c r="K27" s="1"/>
      <c r="L27" s="1"/>
      <c r="M27" s="1"/>
      <c r="N27" s="1"/>
      <c r="O27" s="1"/>
      <c r="P27" s="1"/>
      <c r="Q27" s="1"/>
      <c r="R27" s="1"/>
      <c r="S27" s="1"/>
      <c r="T27" s="1"/>
      <c r="U27" s="1"/>
      <c r="V27" s="1"/>
      <c r="W27" s="1"/>
      <c r="X27" s="1"/>
      <c r="Y27" s="1"/>
      <c r="Z27" s="1"/>
    </row>
    <row r="28" spans="1:26" ht="18" customHeight="1" x14ac:dyDescent="0.2">
      <c r="A28" s="1"/>
      <c r="B28" s="2" t="s">
        <v>52</v>
      </c>
      <c r="C28" s="11" t="s">
        <v>53</v>
      </c>
      <c r="D28" s="13" t="s">
        <v>54</v>
      </c>
      <c r="E28" s="13" t="s">
        <v>54</v>
      </c>
      <c r="F28" s="13" t="s">
        <v>55</v>
      </c>
      <c r="G28" s="1"/>
      <c r="H28" s="1"/>
      <c r="I28" s="1"/>
      <c r="J28" s="1"/>
      <c r="K28" s="1"/>
      <c r="L28" s="1"/>
      <c r="M28" s="1"/>
      <c r="N28" s="1"/>
      <c r="O28" s="1"/>
      <c r="P28" s="1"/>
      <c r="Q28" s="1"/>
      <c r="R28" s="1"/>
      <c r="S28" s="1"/>
      <c r="T28" s="1"/>
      <c r="U28" s="1"/>
      <c r="V28" s="1"/>
      <c r="W28" s="1"/>
      <c r="X28" s="1"/>
      <c r="Y28" s="1"/>
      <c r="Z28" s="1"/>
    </row>
    <row r="29" spans="1:26" ht="18" customHeight="1" x14ac:dyDescent="0.2">
      <c r="A29" s="1"/>
      <c r="B29" s="2" t="s">
        <v>56</v>
      </c>
      <c r="C29" s="9" t="s">
        <v>57</v>
      </c>
      <c r="D29" s="14" t="s">
        <v>58</v>
      </c>
      <c r="E29" s="14" t="s">
        <v>59</v>
      </c>
      <c r="F29" s="14" t="s">
        <v>55</v>
      </c>
      <c r="G29" s="1"/>
      <c r="H29" s="1"/>
      <c r="I29" s="1"/>
      <c r="J29" s="1"/>
      <c r="K29" s="1"/>
      <c r="L29" s="1"/>
      <c r="M29" s="1"/>
      <c r="N29" s="1"/>
      <c r="O29" s="1"/>
      <c r="P29" s="1"/>
      <c r="Q29" s="1"/>
      <c r="R29" s="1"/>
      <c r="S29" s="1"/>
      <c r="T29" s="1"/>
      <c r="U29" s="1"/>
      <c r="V29" s="1"/>
      <c r="W29" s="1"/>
      <c r="X29" s="1"/>
      <c r="Y29" s="1"/>
      <c r="Z29" s="1"/>
    </row>
    <row r="30" spans="1:26" ht="18" customHeight="1" x14ac:dyDescent="0.2">
      <c r="A30" s="1"/>
      <c r="B30" s="2" t="s">
        <v>60</v>
      </c>
      <c r="C30" s="11" t="s">
        <v>61</v>
      </c>
      <c r="D30" s="13" t="s">
        <v>62</v>
      </c>
      <c r="E30" s="13" t="s">
        <v>63</v>
      </c>
      <c r="F30" s="13" t="s">
        <v>55</v>
      </c>
      <c r="G30" s="1"/>
      <c r="H30" s="1"/>
      <c r="I30" s="1"/>
      <c r="J30" s="1"/>
      <c r="K30" s="1"/>
      <c r="L30" s="1"/>
      <c r="M30" s="1"/>
      <c r="N30" s="1"/>
      <c r="O30" s="1"/>
      <c r="P30" s="1"/>
      <c r="Q30" s="1"/>
      <c r="R30" s="1"/>
      <c r="S30" s="1"/>
      <c r="T30" s="1"/>
      <c r="U30" s="1"/>
      <c r="V30" s="1"/>
      <c r="W30" s="1"/>
      <c r="X30" s="1"/>
      <c r="Y30" s="1"/>
      <c r="Z30" s="1"/>
    </row>
    <row r="31" spans="1:26" ht="18" customHeight="1" x14ac:dyDescent="0.2">
      <c r="A31" s="1"/>
      <c r="B31" s="2" t="s">
        <v>64</v>
      </c>
      <c r="C31" s="9" t="s">
        <v>65</v>
      </c>
      <c r="D31" s="14" t="s">
        <v>66</v>
      </c>
      <c r="E31" s="14" t="s">
        <v>67</v>
      </c>
      <c r="F31" s="14" t="s">
        <v>55</v>
      </c>
      <c r="G31" s="1"/>
      <c r="H31" s="1"/>
      <c r="I31" s="1"/>
      <c r="J31" s="1"/>
      <c r="K31" s="1"/>
      <c r="L31" s="1"/>
      <c r="M31" s="1"/>
      <c r="N31" s="1"/>
      <c r="O31" s="1"/>
      <c r="P31" s="1"/>
      <c r="Q31" s="1"/>
      <c r="R31" s="1"/>
      <c r="S31" s="1"/>
      <c r="T31" s="1"/>
      <c r="U31" s="1"/>
      <c r="V31" s="1"/>
      <c r="W31" s="1"/>
      <c r="X31" s="1"/>
      <c r="Y31" s="1"/>
      <c r="Z31" s="1"/>
    </row>
    <row r="32" spans="1:26" ht="18" customHeight="1" x14ac:dyDescent="0.2">
      <c r="A32" s="1"/>
      <c r="B32" s="2" t="s">
        <v>68</v>
      </c>
      <c r="C32" s="11" t="s">
        <v>69</v>
      </c>
      <c r="D32" s="13" t="s">
        <v>70</v>
      </c>
      <c r="E32" s="13" t="s">
        <v>70</v>
      </c>
      <c r="F32" s="13" t="s">
        <v>55</v>
      </c>
      <c r="G32" s="1"/>
      <c r="H32" s="1"/>
      <c r="I32" s="1"/>
      <c r="J32" s="1"/>
      <c r="K32" s="1"/>
      <c r="L32" s="1"/>
      <c r="M32" s="1"/>
      <c r="N32" s="1"/>
      <c r="O32" s="1"/>
      <c r="P32" s="1"/>
      <c r="Q32" s="1"/>
      <c r="R32" s="1"/>
      <c r="S32" s="1"/>
      <c r="T32" s="1"/>
      <c r="U32" s="1"/>
      <c r="V32" s="1"/>
      <c r="W32" s="1"/>
      <c r="X32" s="1"/>
      <c r="Y32" s="1"/>
      <c r="Z32" s="1"/>
    </row>
    <row r="33" spans="1:26" ht="18" customHeight="1" x14ac:dyDescent="0.2">
      <c r="A33" s="1"/>
      <c r="B33" s="2" t="s">
        <v>71</v>
      </c>
      <c r="C33" s="9" t="s">
        <v>72</v>
      </c>
      <c r="D33" s="14" t="s">
        <v>73</v>
      </c>
      <c r="E33" s="14" t="s">
        <v>73</v>
      </c>
      <c r="F33" s="14" t="s">
        <v>55</v>
      </c>
      <c r="G33" s="1"/>
      <c r="H33" s="1"/>
      <c r="I33" s="1"/>
      <c r="J33" s="1"/>
      <c r="K33" s="1"/>
      <c r="L33" s="1"/>
      <c r="M33" s="1"/>
      <c r="N33" s="1"/>
      <c r="O33" s="1"/>
      <c r="P33" s="1"/>
      <c r="Q33" s="1"/>
      <c r="R33" s="1"/>
      <c r="S33" s="1"/>
      <c r="T33" s="1"/>
      <c r="U33" s="1"/>
      <c r="V33" s="1"/>
      <c r="W33" s="1"/>
      <c r="X33" s="1"/>
      <c r="Y33" s="1"/>
      <c r="Z33" s="1"/>
    </row>
    <row r="34" spans="1:26" ht="18" customHeight="1" x14ac:dyDescent="0.2">
      <c r="A34" s="1"/>
      <c r="B34" s="2" t="s">
        <v>74</v>
      </c>
      <c r="C34" s="11" t="s">
        <v>75</v>
      </c>
      <c r="D34" s="13" t="s">
        <v>76</v>
      </c>
      <c r="E34" s="13" t="s">
        <v>77</v>
      </c>
      <c r="F34" s="13" t="s">
        <v>55</v>
      </c>
      <c r="G34" s="1"/>
      <c r="H34" s="1"/>
      <c r="I34" s="1"/>
      <c r="J34" s="1"/>
      <c r="K34" s="1"/>
      <c r="L34" s="1"/>
      <c r="M34" s="1"/>
      <c r="N34" s="1"/>
      <c r="O34" s="1"/>
      <c r="P34" s="1"/>
      <c r="Q34" s="1"/>
      <c r="R34" s="1"/>
      <c r="S34" s="1"/>
      <c r="T34" s="1"/>
      <c r="U34" s="1"/>
      <c r="V34" s="1"/>
      <c r="W34" s="1"/>
      <c r="X34" s="1"/>
      <c r="Y34" s="1"/>
      <c r="Z34" s="1"/>
    </row>
    <row r="35" spans="1:26" ht="18" customHeight="1" x14ac:dyDescent="0.2">
      <c r="A35" s="1"/>
      <c r="B35" s="2" t="s">
        <v>78</v>
      </c>
      <c r="C35" s="9" t="s">
        <v>79</v>
      </c>
      <c r="D35" s="14" t="s">
        <v>80</v>
      </c>
      <c r="E35" s="14" t="s">
        <v>81</v>
      </c>
      <c r="F35" s="14" t="s">
        <v>55</v>
      </c>
      <c r="G35" s="1"/>
      <c r="H35" s="1"/>
      <c r="I35" s="1"/>
      <c r="J35" s="1"/>
      <c r="K35" s="1"/>
      <c r="L35" s="1"/>
      <c r="M35" s="1"/>
      <c r="N35" s="1"/>
      <c r="O35" s="1"/>
      <c r="P35" s="1"/>
      <c r="Q35" s="1"/>
      <c r="R35" s="1"/>
      <c r="S35" s="1"/>
      <c r="T35" s="1"/>
      <c r="U35" s="1"/>
      <c r="V35" s="1"/>
      <c r="W35" s="1"/>
      <c r="X35" s="1"/>
      <c r="Y35" s="1"/>
      <c r="Z35" s="1"/>
    </row>
    <row r="36" spans="1:26" ht="18" customHeight="1" x14ac:dyDescent="0.2">
      <c r="A36" s="1"/>
      <c r="B36" s="2" t="s">
        <v>82</v>
      </c>
      <c r="C36" s="11" t="s">
        <v>83</v>
      </c>
      <c r="D36" s="13" t="s">
        <v>84</v>
      </c>
      <c r="E36" s="13" t="s">
        <v>85</v>
      </c>
      <c r="F36" s="13" t="s">
        <v>55</v>
      </c>
      <c r="G36" s="1"/>
      <c r="H36" s="1"/>
      <c r="I36" s="1"/>
      <c r="J36" s="1"/>
      <c r="K36" s="1"/>
      <c r="L36" s="1"/>
      <c r="M36" s="1"/>
      <c r="N36" s="1"/>
      <c r="O36" s="1"/>
      <c r="P36" s="1"/>
      <c r="Q36" s="1"/>
      <c r="R36" s="1"/>
      <c r="S36" s="1"/>
      <c r="T36" s="1"/>
      <c r="U36" s="1"/>
      <c r="V36" s="1"/>
      <c r="W36" s="1"/>
      <c r="X36" s="1"/>
      <c r="Y36" s="1"/>
      <c r="Z36" s="1"/>
    </row>
    <row r="37" spans="1:26" ht="13.5" customHeight="1" x14ac:dyDescent="0.2">
      <c r="A37" s="1"/>
      <c r="B37" s="193" t="s">
        <v>86</v>
      </c>
      <c r="C37" s="171"/>
      <c r="D37" s="171"/>
      <c r="E37" s="171"/>
      <c r="F37" s="192"/>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2">
      <c r="A39" s="1"/>
      <c r="B39" s="185" t="s">
        <v>87</v>
      </c>
      <c r="C39" s="186"/>
      <c r="D39" s="186"/>
      <c r="E39" s="186"/>
      <c r="F39" s="186"/>
      <c r="G39" s="187"/>
      <c r="H39" s="1"/>
      <c r="I39" s="1"/>
      <c r="J39" s="1"/>
      <c r="K39" s="1"/>
      <c r="L39" s="1"/>
      <c r="M39" s="1"/>
      <c r="N39" s="1"/>
      <c r="O39" s="1"/>
      <c r="P39" s="1"/>
      <c r="Q39" s="1"/>
      <c r="R39" s="1"/>
      <c r="S39" s="1"/>
      <c r="T39" s="1"/>
      <c r="U39" s="1"/>
      <c r="V39" s="1"/>
      <c r="W39" s="1"/>
      <c r="X39" s="1"/>
      <c r="Y39" s="1"/>
      <c r="Z39" s="1"/>
    </row>
    <row r="40" spans="1:26" ht="13.5" customHeight="1" x14ac:dyDescent="0.2">
      <c r="A40" s="1"/>
      <c r="B40" s="15" t="s">
        <v>88</v>
      </c>
      <c r="C40" s="16" t="s">
        <v>89</v>
      </c>
      <c r="D40" s="194" t="s">
        <v>90</v>
      </c>
      <c r="E40" s="195"/>
      <c r="F40" s="196"/>
      <c r="G40" s="8" t="s">
        <v>91</v>
      </c>
      <c r="H40" s="1"/>
      <c r="I40" s="1"/>
      <c r="J40" s="1"/>
      <c r="K40" s="1"/>
      <c r="L40" s="1"/>
      <c r="M40" s="1"/>
      <c r="N40" s="1"/>
      <c r="O40" s="1"/>
      <c r="P40" s="1"/>
      <c r="Q40" s="1"/>
      <c r="R40" s="1"/>
      <c r="S40" s="1"/>
      <c r="T40" s="1"/>
      <c r="U40" s="1"/>
      <c r="V40" s="1"/>
      <c r="W40" s="1"/>
      <c r="X40" s="1"/>
      <c r="Y40" s="1"/>
      <c r="Z40" s="1"/>
    </row>
    <row r="41" spans="1:26" ht="30" customHeight="1" x14ac:dyDescent="0.2">
      <c r="A41" s="1"/>
      <c r="B41" s="2" t="s">
        <v>92</v>
      </c>
      <c r="C41" s="17" t="s">
        <v>93</v>
      </c>
      <c r="D41" s="182" t="s">
        <v>94</v>
      </c>
      <c r="E41" s="183"/>
      <c r="F41" s="184"/>
      <c r="G41" s="18">
        <v>45870</v>
      </c>
      <c r="H41" s="1"/>
      <c r="I41" s="1"/>
      <c r="J41" s="1"/>
      <c r="K41" s="1"/>
      <c r="L41" s="1"/>
      <c r="M41" s="1"/>
      <c r="N41" s="1"/>
      <c r="O41" s="1"/>
      <c r="P41" s="1"/>
      <c r="Q41" s="1"/>
      <c r="R41" s="1"/>
      <c r="S41" s="1"/>
      <c r="T41" s="1"/>
      <c r="U41" s="1"/>
      <c r="V41" s="1"/>
      <c r="W41" s="1"/>
      <c r="X41" s="1"/>
      <c r="Y41" s="1"/>
      <c r="Z41" s="1"/>
    </row>
    <row r="42" spans="1:26" ht="30" customHeight="1" x14ac:dyDescent="0.2">
      <c r="A42" s="1"/>
      <c r="B42" s="2" t="s">
        <v>95</v>
      </c>
      <c r="C42" s="19" t="s">
        <v>96</v>
      </c>
      <c r="D42" s="181" t="s">
        <v>97</v>
      </c>
      <c r="E42" s="171"/>
      <c r="F42" s="172"/>
      <c r="G42" s="20" t="s">
        <v>98</v>
      </c>
      <c r="H42" s="1"/>
      <c r="I42" s="1"/>
      <c r="J42" s="1"/>
      <c r="K42" s="1"/>
      <c r="L42" s="1"/>
      <c r="M42" s="1"/>
      <c r="N42" s="1"/>
      <c r="O42" s="1"/>
      <c r="P42" s="1"/>
      <c r="Q42" s="1"/>
      <c r="R42" s="1"/>
      <c r="S42" s="1"/>
      <c r="T42" s="1"/>
      <c r="U42" s="1"/>
      <c r="V42" s="1"/>
      <c r="W42" s="1"/>
      <c r="X42" s="1"/>
      <c r="Y42" s="1"/>
      <c r="Z42" s="1"/>
    </row>
    <row r="43" spans="1:26" ht="30" customHeight="1" x14ac:dyDescent="0.2">
      <c r="A43" s="1"/>
      <c r="B43" s="2" t="s">
        <v>99</v>
      </c>
      <c r="C43" s="17" t="s">
        <v>100</v>
      </c>
      <c r="D43" s="182" t="s">
        <v>101</v>
      </c>
      <c r="E43" s="183"/>
      <c r="F43" s="184"/>
      <c r="G43" s="21" t="s">
        <v>98</v>
      </c>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2">
      <c r="A45" s="1"/>
      <c r="B45" s="185" t="s">
        <v>102</v>
      </c>
      <c r="C45" s="186"/>
      <c r="D45" s="186"/>
      <c r="E45" s="186"/>
      <c r="F45" s="186"/>
      <c r="G45" s="187"/>
      <c r="H45" s="1"/>
      <c r="I45" s="1"/>
      <c r="J45" s="1"/>
      <c r="K45" s="1"/>
      <c r="L45" s="1"/>
      <c r="M45" s="1"/>
      <c r="N45" s="1"/>
      <c r="O45" s="1"/>
      <c r="P45" s="1"/>
      <c r="Q45" s="1"/>
      <c r="R45" s="1"/>
      <c r="S45" s="1"/>
      <c r="T45" s="1"/>
      <c r="U45" s="1"/>
      <c r="V45" s="1"/>
      <c r="W45" s="1"/>
      <c r="X45" s="1"/>
      <c r="Y45" s="1"/>
      <c r="Z45" s="1"/>
    </row>
    <row r="46" spans="1:26" ht="13.5" customHeight="1" x14ac:dyDescent="0.2">
      <c r="A46" s="22"/>
      <c r="B46" s="23" t="s">
        <v>103</v>
      </c>
      <c r="C46" s="188" t="s">
        <v>104</v>
      </c>
      <c r="D46" s="189"/>
      <c r="E46" s="189"/>
      <c r="F46" s="189"/>
      <c r="G46" s="190"/>
      <c r="H46" s="1"/>
      <c r="I46" s="1"/>
      <c r="J46" s="1"/>
      <c r="K46" s="1"/>
      <c r="L46" s="1"/>
      <c r="M46" s="1"/>
      <c r="N46" s="1"/>
      <c r="O46" s="1"/>
      <c r="P46" s="1"/>
      <c r="Q46" s="1"/>
      <c r="R46" s="1"/>
      <c r="S46" s="1"/>
      <c r="T46" s="1"/>
      <c r="U46" s="1"/>
      <c r="V46" s="1"/>
      <c r="W46" s="1"/>
      <c r="X46" s="1"/>
      <c r="Y46" s="1"/>
      <c r="Z46" s="1"/>
    </row>
    <row r="47" spans="1:26" ht="25.5" customHeight="1" x14ac:dyDescent="0.2">
      <c r="A47" s="1"/>
      <c r="B47" s="24" t="s">
        <v>105</v>
      </c>
      <c r="C47" s="174" t="s">
        <v>106</v>
      </c>
      <c r="D47" s="167"/>
      <c r="E47" s="167"/>
      <c r="F47" s="167"/>
      <c r="G47" s="168"/>
      <c r="H47" s="1"/>
      <c r="I47" s="1"/>
      <c r="J47" s="1"/>
      <c r="K47" s="1"/>
      <c r="L47" s="1"/>
      <c r="M47" s="1"/>
      <c r="N47" s="1"/>
      <c r="O47" s="1"/>
      <c r="P47" s="1"/>
      <c r="Q47" s="1"/>
      <c r="R47" s="1"/>
      <c r="S47" s="1"/>
      <c r="T47" s="1"/>
      <c r="U47" s="1"/>
      <c r="V47" s="1"/>
      <c r="W47" s="1"/>
      <c r="X47" s="1"/>
      <c r="Y47" s="1"/>
      <c r="Z47" s="1"/>
    </row>
    <row r="48" spans="1:26" ht="25.5" customHeight="1" x14ac:dyDescent="0.2">
      <c r="A48" s="1"/>
      <c r="B48" s="24" t="s">
        <v>107</v>
      </c>
      <c r="C48" s="176" t="s">
        <v>108</v>
      </c>
      <c r="D48" s="167"/>
      <c r="E48" s="167"/>
      <c r="F48" s="167"/>
      <c r="G48" s="168"/>
      <c r="H48" s="1"/>
      <c r="I48" s="1"/>
      <c r="J48" s="1"/>
      <c r="K48" s="1"/>
      <c r="L48" s="1"/>
      <c r="M48" s="1"/>
      <c r="N48" s="1"/>
      <c r="O48" s="1"/>
      <c r="P48" s="1"/>
      <c r="Q48" s="1"/>
      <c r="R48" s="1"/>
      <c r="S48" s="1"/>
      <c r="T48" s="1"/>
      <c r="U48" s="1"/>
      <c r="V48" s="1"/>
      <c r="W48" s="1"/>
      <c r="X48" s="1"/>
      <c r="Y48" s="1"/>
      <c r="Z48" s="1"/>
    </row>
    <row r="49" spans="1:26" ht="25.5" customHeight="1" x14ac:dyDescent="0.2">
      <c r="A49" s="1"/>
      <c r="B49" s="24" t="s">
        <v>109</v>
      </c>
      <c r="C49" s="174" t="s">
        <v>110</v>
      </c>
      <c r="D49" s="167"/>
      <c r="E49" s="167"/>
      <c r="F49" s="167"/>
      <c r="G49" s="168"/>
      <c r="H49" s="1"/>
      <c r="I49" s="1"/>
      <c r="J49" s="1"/>
      <c r="K49" s="1"/>
      <c r="L49" s="1"/>
      <c r="M49" s="1"/>
      <c r="N49" s="1"/>
      <c r="O49" s="1"/>
      <c r="P49" s="1"/>
      <c r="Q49" s="1"/>
      <c r="R49" s="1"/>
      <c r="S49" s="1"/>
      <c r="T49" s="1"/>
      <c r="U49" s="1"/>
      <c r="V49" s="1"/>
      <c r="W49" s="1"/>
      <c r="X49" s="1"/>
      <c r="Y49" s="1"/>
      <c r="Z49" s="1"/>
    </row>
    <row r="50" spans="1:26" ht="25.5" customHeight="1" x14ac:dyDescent="0.2">
      <c r="A50" s="1"/>
      <c r="B50" s="24" t="s">
        <v>111</v>
      </c>
      <c r="C50" s="176" t="s">
        <v>112</v>
      </c>
      <c r="D50" s="167"/>
      <c r="E50" s="167"/>
      <c r="F50" s="167"/>
      <c r="G50" s="168"/>
      <c r="H50" s="1"/>
      <c r="I50" s="1"/>
      <c r="J50" s="1"/>
      <c r="K50" s="1"/>
      <c r="L50" s="1"/>
      <c r="M50" s="1"/>
      <c r="N50" s="1"/>
      <c r="O50" s="1"/>
      <c r="P50" s="1"/>
      <c r="Q50" s="1"/>
      <c r="R50" s="1"/>
      <c r="S50" s="1"/>
      <c r="T50" s="1"/>
      <c r="U50" s="1"/>
      <c r="V50" s="1"/>
      <c r="W50" s="1"/>
      <c r="X50" s="1"/>
      <c r="Y50" s="1"/>
      <c r="Z50" s="1"/>
    </row>
    <row r="51" spans="1:26" ht="25.5" customHeight="1" x14ac:dyDescent="0.2">
      <c r="A51" s="1"/>
      <c r="B51" s="24" t="s">
        <v>113</v>
      </c>
      <c r="C51" s="174" t="s">
        <v>114</v>
      </c>
      <c r="D51" s="167"/>
      <c r="E51" s="167"/>
      <c r="F51" s="167"/>
      <c r="G51" s="168"/>
      <c r="H51" s="1"/>
      <c r="I51" s="1"/>
      <c r="J51" s="1"/>
      <c r="K51" s="1"/>
      <c r="L51" s="1"/>
      <c r="M51" s="1"/>
      <c r="N51" s="1"/>
      <c r="O51" s="1"/>
      <c r="P51" s="1"/>
      <c r="Q51" s="1"/>
      <c r="R51" s="1"/>
      <c r="S51" s="1"/>
      <c r="T51" s="1"/>
      <c r="U51" s="1"/>
      <c r="V51" s="1"/>
      <c r="W51" s="1"/>
      <c r="X51" s="1"/>
      <c r="Y51" s="1"/>
      <c r="Z51" s="1"/>
    </row>
    <row r="52" spans="1:26" ht="25.5" customHeight="1" x14ac:dyDescent="0.2">
      <c r="A52" s="1"/>
      <c r="B52" s="24" t="s">
        <v>115</v>
      </c>
      <c r="C52" s="176" t="s">
        <v>116</v>
      </c>
      <c r="D52" s="167"/>
      <c r="E52" s="167"/>
      <c r="F52" s="167"/>
      <c r="G52" s="168"/>
      <c r="H52" s="1"/>
      <c r="I52" s="1"/>
      <c r="J52" s="1"/>
      <c r="K52" s="1"/>
      <c r="L52" s="1"/>
      <c r="M52" s="1"/>
      <c r="N52" s="1"/>
      <c r="O52" s="1"/>
      <c r="P52" s="1"/>
      <c r="Q52" s="1"/>
      <c r="R52" s="1"/>
      <c r="S52" s="1"/>
      <c r="T52" s="1"/>
      <c r="U52" s="1"/>
      <c r="V52" s="1"/>
      <c r="W52" s="1"/>
      <c r="X52" s="1"/>
      <c r="Y52" s="1"/>
      <c r="Z52" s="1"/>
    </row>
    <row r="53" spans="1:26" ht="25.5" customHeight="1" x14ac:dyDescent="0.2">
      <c r="A53" s="1"/>
      <c r="B53" s="24" t="s">
        <v>117</v>
      </c>
      <c r="C53" s="174" t="s">
        <v>118</v>
      </c>
      <c r="D53" s="167"/>
      <c r="E53" s="167"/>
      <c r="F53" s="167"/>
      <c r="G53" s="168"/>
      <c r="H53" s="1"/>
      <c r="I53" s="1"/>
      <c r="J53" s="1"/>
      <c r="K53" s="1"/>
      <c r="L53" s="1"/>
      <c r="M53" s="1"/>
      <c r="N53" s="1"/>
      <c r="O53" s="1"/>
      <c r="P53" s="1"/>
      <c r="Q53" s="1"/>
      <c r="R53" s="1"/>
      <c r="S53" s="1"/>
      <c r="T53" s="1"/>
      <c r="U53" s="1"/>
      <c r="V53" s="1"/>
      <c r="W53" s="1"/>
      <c r="X53" s="1"/>
      <c r="Y53" s="1"/>
      <c r="Z53" s="1"/>
    </row>
    <row r="54" spans="1:26" ht="25.5" customHeight="1" x14ac:dyDescent="0.2">
      <c r="A54" s="1"/>
      <c r="B54" s="24" t="s">
        <v>119</v>
      </c>
      <c r="C54" s="176" t="s">
        <v>120</v>
      </c>
      <c r="D54" s="167"/>
      <c r="E54" s="167"/>
      <c r="F54" s="167"/>
      <c r="G54" s="168"/>
      <c r="H54" s="1"/>
      <c r="I54" s="1"/>
      <c r="J54" s="1"/>
      <c r="K54" s="1"/>
      <c r="L54" s="1"/>
      <c r="M54" s="1"/>
      <c r="N54" s="1"/>
      <c r="O54" s="1"/>
      <c r="P54" s="1"/>
      <c r="Q54" s="1"/>
      <c r="R54" s="1"/>
      <c r="S54" s="1"/>
      <c r="T54" s="1"/>
      <c r="U54" s="1"/>
      <c r="V54" s="1"/>
      <c r="W54" s="1"/>
      <c r="X54" s="1"/>
      <c r="Y54" s="1"/>
      <c r="Z54" s="1"/>
    </row>
    <row r="55" spans="1:26" ht="25.5" customHeight="1" x14ac:dyDescent="0.2">
      <c r="A55" s="1"/>
      <c r="B55" s="24" t="s">
        <v>121</v>
      </c>
      <c r="C55" s="174" t="s">
        <v>122</v>
      </c>
      <c r="D55" s="167"/>
      <c r="E55" s="167"/>
      <c r="F55" s="167"/>
      <c r="G55" s="168"/>
      <c r="H55" s="1"/>
      <c r="I55" s="1"/>
      <c r="J55" s="1"/>
      <c r="K55" s="1"/>
      <c r="L55" s="1"/>
      <c r="M55" s="1"/>
      <c r="N55" s="1"/>
      <c r="O55" s="1"/>
      <c r="P55" s="1"/>
      <c r="Q55" s="1"/>
      <c r="R55" s="1"/>
      <c r="S55" s="1"/>
      <c r="T55" s="1"/>
      <c r="U55" s="1"/>
      <c r="V55" s="1"/>
      <c r="W55" s="1"/>
      <c r="X55" s="1"/>
      <c r="Y55" s="1"/>
      <c r="Z55" s="1"/>
    </row>
    <row r="56" spans="1:26" ht="25.5" customHeight="1" x14ac:dyDescent="0.2">
      <c r="A56" s="1"/>
      <c r="B56" s="24" t="s">
        <v>123</v>
      </c>
      <c r="C56" s="176" t="s">
        <v>124</v>
      </c>
      <c r="D56" s="167"/>
      <c r="E56" s="167"/>
      <c r="F56" s="167"/>
      <c r="G56" s="168"/>
      <c r="H56" s="1"/>
      <c r="I56" s="1"/>
      <c r="J56" s="1"/>
      <c r="K56" s="1"/>
      <c r="L56" s="1"/>
      <c r="M56" s="1"/>
      <c r="N56" s="1"/>
      <c r="O56" s="1"/>
      <c r="P56" s="1"/>
      <c r="Q56" s="1"/>
      <c r="R56" s="1"/>
      <c r="S56" s="1"/>
      <c r="T56" s="1"/>
      <c r="U56" s="1"/>
      <c r="V56" s="1"/>
      <c r="W56" s="1"/>
      <c r="X56" s="1"/>
      <c r="Y56" s="1"/>
      <c r="Z56" s="1"/>
    </row>
    <row r="57" spans="1:26" ht="25.5" customHeight="1" x14ac:dyDescent="0.2">
      <c r="A57" s="1"/>
      <c r="B57" s="24" t="s">
        <v>125</v>
      </c>
      <c r="C57" s="174" t="s">
        <v>126</v>
      </c>
      <c r="D57" s="167"/>
      <c r="E57" s="167"/>
      <c r="F57" s="167"/>
      <c r="G57" s="168"/>
      <c r="H57" s="1"/>
      <c r="I57" s="1"/>
      <c r="J57" s="1"/>
      <c r="K57" s="1"/>
      <c r="L57" s="1"/>
      <c r="M57" s="1"/>
      <c r="N57" s="1"/>
      <c r="O57" s="1"/>
      <c r="P57" s="1"/>
      <c r="Q57" s="1"/>
      <c r="R57" s="1"/>
      <c r="S57" s="1"/>
      <c r="T57" s="1"/>
      <c r="U57" s="1"/>
      <c r="V57" s="1"/>
      <c r="W57" s="1"/>
      <c r="X57" s="1"/>
      <c r="Y57" s="1"/>
      <c r="Z57" s="1"/>
    </row>
    <row r="58" spans="1:26" ht="25.5" customHeight="1" x14ac:dyDescent="0.2">
      <c r="A58" s="1"/>
      <c r="B58" s="24" t="s">
        <v>127</v>
      </c>
      <c r="C58" s="176" t="s">
        <v>128</v>
      </c>
      <c r="D58" s="167"/>
      <c r="E58" s="167"/>
      <c r="F58" s="167"/>
      <c r="G58" s="168"/>
      <c r="H58" s="1"/>
      <c r="I58" s="1"/>
      <c r="J58" s="1"/>
      <c r="K58" s="1"/>
      <c r="L58" s="1"/>
      <c r="M58" s="1"/>
      <c r="N58" s="1"/>
      <c r="O58" s="1"/>
      <c r="P58" s="1"/>
      <c r="Q58" s="1"/>
      <c r="R58" s="1"/>
      <c r="S58" s="1"/>
      <c r="T58" s="1"/>
      <c r="U58" s="1"/>
      <c r="V58" s="1"/>
      <c r="W58" s="1"/>
      <c r="X58" s="1"/>
      <c r="Y58" s="1"/>
      <c r="Z58" s="1"/>
    </row>
    <row r="59" spans="1:26" ht="25.5" customHeight="1" x14ac:dyDescent="0.2">
      <c r="A59" s="1"/>
      <c r="B59" s="24" t="s">
        <v>129</v>
      </c>
      <c r="C59" s="174" t="s">
        <v>128</v>
      </c>
      <c r="D59" s="167"/>
      <c r="E59" s="167"/>
      <c r="F59" s="167"/>
      <c r="G59" s="168"/>
      <c r="H59" s="1"/>
      <c r="I59" s="1"/>
      <c r="J59" s="1"/>
      <c r="K59" s="1"/>
      <c r="L59" s="1"/>
      <c r="M59" s="1"/>
      <c r="N59" s="1"/>
      <c r="O59" s="1"/>
      <c r="P59" s="1"/>
      <c r="Q59" s="1"/>
      <c r="R59" s="1"/>
      <c r="S59" s="1"/>
      <c r="T59" s="1"/>
      <c r="U59" s="1"/>
      <c r="V59" s="1"/>
      <c r="W59" s="1"/>
      <c r="X59" s="1"/>
      <c r="Y59" s="1"/>
      <c r="Z59" s="1"/>
    </row>
    <row r="60" spans="1:26" ht="25.5" customHeight="1" x14ac:dyDescent="0.2">
      <c r="A60" s="1"/>
      <c r="B60" s="24" t="s">
        <v>130</v>
      </c>
      <c r="C60" s="176" t="s">
        <v>128</v>
      </c>
      <c r="D60" s="167"/>
      <c r="E60" s="167"/>
      <c r="F60" s="167"/>
      <c r="G60" s="168"/>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2">
      <c r="A62" s="1"/>
      <c r="B62" s="177" t="s">
        <v>131</v>
      </c>
      <c r="C62" s="178"/>
      <c r="D62" s="178"/>
      <c r="E62" s="178"/>
      <c r="F62" s="178"/>
      <c r="G62" s="179"/>
      <c r="H62" s="1"/>
      <c r="I62" s="1"/>
      <c r="J62" s="1"/>
      <c r="K62" s="1"/>
      <c r="L62" s="1"/>
      <c r="M62" s="1"/>
      <c r="N62" s="1"/>
      <c r="O62" s="1"/>
      <c r="P62" s="1"/>
      <c r="Q62" s="1"/>
      <c r="R62" s="1"/>
      <c r="S62" s="1"/>
      <c r="T62" s="1"/>
      <c r="U62" s="1"/>
      <c r="V62" s="1"/>
      <c r="W62" s="1"/>
      <c r="X62" s="1"/>
      <c r="Y62" s="1"/>
      <c r="Z62" s="1"/>
    </row>
    <row r="63" spans="1:26" ht="13.5" customHeight="1" x14ac:dyDescent="0.2">
      <c r="A63" s="1"/>
      <c r="B63" s="25" t="s">
        <v>132</v>
      </c>
      <c r="C63" s="26" t="s">
        <v>133</v>
      </c>
      <c r="D63" s="27" t="s">
        <v>134</v>
      </c>
      <c r="E63" s="180" t="s">
        <v>135</v>
      </c>
      <c r="F63" s="164"/>
      <c r="G63" s="165"/>
      <c r="H63" s="1"/>
      <c r="I63" s="1"/>
      <c r="J63" s="1"/>
      <c r="K63" s="1"/>
      <c r="L63" s="1"/>
      <c r="M63" s="1"/>
      <c r="N63" s="1"/>
      <c r="O63" s="1"/>
      <c r="P63" s="1"/>
      <c r="Q63" s="1"/>
      <c r="R63" s="1"/>
      <c r="S63" s="1"/>
      <c r="T63" s="1"/>
      <c r="U63" s="1"/>
      <c r="V63" s="1"/>
      <c r="W63" s="1"/>
      <c r="X63" s="1"/>
      <c r="Y63" s="1"/>
      <c r="Z63" s="1"/>
    </row>
    <row r="64" spans="1:26" ht="18" customHeight="1" x14ac:dyDescent="0.2">
      <c r="A64" s="1"/>
      <c r="B64" s="24" t="s">
        <v>136</v>
      </c>
      <c r="C64" s="28" t="s">
        <v>137</v>
      </c>
      <c r="D64" s="28" t="s">
        <v>138</v>
      </c>
      <c r="E64" s="174" t="s">
        <v>139</v>
      </c>
      <c r="F64" s="167"/>
      <c r="G64" s="168"/>
      <c r="H64" s="1"/>
      <c r="I64" s="1"/>
      <c r="J64" s="1"/>
      <c r="K64" s="1"/>
      <c r="L64" s="1"/>
      <c r="M64" s="1"/>
      <c r="N64" s="1"/>
      <c r="O64" s="1"/>
      <c r="P64" s="1"/>
      <c r="Q64" s="1"/>
      <c r="R64" s="1"/>
      <c r="S64" s="1"/>
      <c r="T64" s="1"/>
      <c r="U64" s="1"/>
      <c r="V64" s="1"/>
      <c r="W64" s="1"/>
      <c r="X64" s="1"/>
      <c r="Y64" s="1"/>
      <c r="Z64" s="1"/>
    </row>
    <row r="65" spans="1:26" ht="18" customHeight="1" x14ac:dyDescent="0.2">
      <c r="A65" s="1"/>
      <c r="B65" s="24" t="s">
        <v>140</v>
      </c>
      <c r="C65" s="29" t="s">
        <v>137</v>
      </c>
      <c r="D65" s="29" t="s">
        <v>141</v>
      </c>
      <c r="E65" s="173"/>
      <c r="F65" s="167"/>
      <c r="G65" s="168"/>
      <c r="H65" s="1"/>
      <c r="I65" s="1"/>
      <c r="J65" s="1"/>
      <c r="K65" s="1"/>
      <c r="L65" s="1"/>
      <c r="M65" s="1"/>
      <c r="N65" s="1"/>
      <c r="O65" s="1"/>
      <c r="P65" s="1"/>
      <c r="Q65" s="1"/>
      <c r="R65" s="1"/>
      <c r="S65" s="1"/>
      <c r="T65" s="1"/>
      <c r="U65" s="1"/>
      <c r="V65" s="1"/>
      <c r="W65" s="1"/>
      <c r="X65" s="1"/>
      <c r="Y65" s="1"/>
      <c r="Z65" s="1"/>
    </row>
    <row r="66" spans="1:26" ht="18" customHeight="1" x14ac:dyDescent="0.2">
      <c r="A66" s="1"/>
      <c r="B66" s="24" t="s">
        <v>142</v>
      </c>
      <c r="C66" s="28" t="s">
        <v>137</v>
      </c>
      <c r="D66" s="28" t="s">
        <v>143</v>
      </c>
      <c r="E66" s="174" t="s">
        <v>144</v>
      </c>
      <c r="F66" s="167"/>
      <c r="G66" s="168"/>
      <c r="H66" s="1"/>
      <c r="I66" s="1"/>
      <c r="J66" s="1"/>
      <c r="K66" s="1"/>
      <c r="L66" s="1"/>
      <c r="M66" s="1"/>
      <c r="N66" s="1"/>
      <c r="O66" s="1"/>
      <c r="P66" s="1"/>
      <c r="Q66" s="1"/>
      <c r="R66" s="1"/>
      <c r="S66" s="1"/>
      <c r="T66" s="1"/>
      <c r="U66" s="1"/>
      <c r="V66" s="1"/>
      <c r="W66" s="1"/>
      <c r="X66" s="1"/>
      <c r="Y66" s="1"/>
      <c r="Z66" s="1"/>
    </row>
    <row r="67" spans="1:26" ht="18" customHeight="1" x14ac:dyDescent="0.2">
      <c r="A67" s="1"/>
      <c r="B67" s="24" t="s">
        <v>145</v>
      </c>
      <c r="C67" s="29" t="s">
        <v>146</v>
      </c>
      <c r="D67" s="29" t="s">
        <v>143</v>
      </c>
      <c r="E67" s="173"/>
      <c r="F67" s="167"/>
      <c r="G67" s="168"/>
      <c r="H67" s="1"/>
      <c r="I67" s="1"/>
      <c r="J67" s="1"/>
      <c r="K67" s="1"/>
      <c r="L67" s="1"/>
      <c r="M67" s="1"/>
      <c r="N67" s="1"/>
      <c r="O67" s="1"/>
      <c r="P67" s="1"/>
      <c r="Q67" s="1"/>
      <c r="R67" s="1"/>
      <c r="S67" s="1"/>
      <c r="T67" s="1"/>
      <c r="U67" s="1"/>
      <c r="V67" s="1"/>
      <c r="W67" s="1"/>
      <c r="X67" s="1"/>
      <c r="Y67" s="1"/>
      <c r="Z67" s="1"/>
    </row>
    <row r="68" spans="1:26" ht="18" customHeight="1" x14ac:dyDescent="0.2">
      <c r="A68" s="1"/>
      <c r="B68" s="24" t="s">
        <v>147</v>
      </c>
      <c r="C68" s="28" t="s">
        <v>137</v>
      </c>
      <c r="D68" s="28" t="s">
        <v>148</v>
      </c>
      <c r="E68" s="174" t="s">
        <v>149</v>
      </c>
      <c r="F68" s="167"/>
      <c r="G68" s="168"/>
      <c r="H68" s="1"/>
      <c r="I68" s="1"/>
      <c r="J68" s="1"/>
      <c r="K68" s="1"/>
      <c r="L68" s="1"/>
      <c r="M68" s="1"/>
      <c r="N68" s="1"/>
      <c r="O68" s="1"/>
      <c r="P68" s="1"/>
      <c r="Q68" s="1"/>
      <c r="R68" s="1"/>
      <c r="S68" s="1"/>
      <c r="T68" s="1"/>
      <c r="U68" s="1"/>
      <c r="V68" s="1"/>
      <c r="W68" s="1"/>
      <c r="X68" s="1"/>
      <c r="Y68" s="1"/>
      <c r="Z68" s="1"/>
    </row>
    <row r="69" spans="1:26" ht="18" customHeight="1" x14ac:dyDescent="0.2">
      <c r="A69" s="1"/>
      <c r="B69" s="24" t="s">
        <v>150</v>
      </c>
      <c r="C69" s="29" t="s">
        <v>137</v>
      </c>
      <c r="D69" s="29" t="s">
        <v>148</v>
      </c>
      <c r="E69" s="173"/>
      <c r="F69" s="167"/>
      <c r="G69" s="168"/>
      <c r="H69" s="1"/>
      <c r="I69" s="1"/>
      <c r="J69" s="1"/>
      <c r="K69" s="1"/>
      <c r="L69" s="1"/>
      <c r="M69" s="1"/>
      <c r="N69" s="1"/>
      <c r="O69" s="1"/>
      <c r="P69" s="1"/>
      <c r="Q69" s="1"/>
      <c r="R69" s="1"/>
      <c r="S69" s="1"/>
      <c r="T69" s="1"/>
      <c r="U69" s="1"/>
      <c r="V69" s="1"/>
      <c r="W69" s="1"/>
      <c r="X69" s="1"/>
      <c r="Y69" s="1"/>
      <c r="Z69" s="1"/>
    </row>
    <row r="70" spans="1:26" ht="18" customHeight="1" x14ac:dyDescent="0.2">
      <c r="A70" s="1"/>
      <c r="B70" s="24" t="s">
        <v>151</v>
      </c>
      <c r="C70" s="28" t="s">
        <v>137</v>
      </c>
      <c r="D70" s="28" t="s">
        <v>138</v>
      </c>
      <c r="E70" s="174" t="s">
        <v>152</v>
      </c>
      <c r="F70" s="167"/>
      <c r="G70" s="168"/>
      <c r="H70" s="1"/>
      <c r="I70" s="1"/>
      <c r="J70" s="1"/>
      <c r="K70" s="1"/>
      <c r="L70" s="1"/>
      <c r="M70" s="1"/>
      <c r="N70" s="1"/>
      <c r="O70" s="1"/>
      <c r="P70" s="1"/>
      <c r="Q70" s="1"/>
      <c r="R70" s="1"/>
      <c r="S70" s="1"/>
      <c r="T70" s="1"/>
      <c r="U70" s="1"/>
      <c r="V70" s="1"/>
      <c r="W70" s="1"/>
      <c r="X70" s="1"/>
      <c r="Y70" s="1"/>
      <c r="Z70" s="1"/>
    </row>
    <row r="71" spans="1:26" ht="18" customHeight="1" x14ac:dyDescent="0.2">
      <c r="A71" s="1"/>
      <c r="B71" s="24" t="s">
        <v>153</v>
      </c>
      <c r="C71" s="29" t="s">
        <v>154</v>
      </c>
      <c r="D71" s="29" t="s">
        <v>155</v>
      </c>
      <c r="E71" s="173"/>
      <c r="F71" s="167"/>
      <c r="G71" s="168"/>
      <c r="H71" s="1"/>
      <c r="I71" s="1"/>
      <c r="J71" s="1"/>
      <c r="K71" s="1"/>
      <c r="L71" s="1"/>
      <c r="M71" s="1"/>
      <c r="N71" s="1"/>
      <c r="O71" s="1"/>
      <c r="P71" s="1"/>
      <c r="Q71" s="1"/>
      <c r="R71" s="1"/>
      <c r="S71" s="1"/>
      <c r="T71" s="1"/>
      <c r="U71" s="1"/>
      <c r="V71" s="1"/>
      <c r="W71" s="1"/>
      <c r="X71" s="1"/>
      <c r="Y71" s="1"/>
      <c r="Z71" s="1"/>
    </row>
    <row r="72" spans="1:26" ht="18" customHeight="1" x14ac:dyDescent="0.2">
      <c r="A72" s="1"/>
      <c r="B72" s="24" t="s">
        <v>156</v>
      </c>
      <c r="C72" s="28"/>
      <c r="D72" s="28"/>
      <c r="E72" s="174"/>
      <c r="F72" s="167"/>
      <c r="G72" s="168"/>
      <c r="H72" s="1"/>
      <c r="I72" s="1"/>
      <c r="J72" s="1"/>
      <c r="K72" s="1"/>
      <c r="L72" s="1"/>
      <c r="M72" s="1"/>
      <c r="N72" s="1"/>
      <c r="O72" s="1"/>
      <c r="P72" s="1"/>
      <c r="Q72" s="1"/>
      <c r="R72" s="1"/>
      <c r="S72" s="1"/>
      <c r="T72" s="1"/>
      <c r="U72" s="1"/>
      <c r="V72" s="1"/>
      <c r="W72" s="1"/>
      <c r="X72" s="1"/>
      <c r="Y72" s="1"/>
      <c r="Z72" s="1"/>
    </row>
    <row r="73" spans="1:26" ht="18" customHeight="1" x14ac:dyDescent="0.2">
      <c r="A73" s="1"/>
      <c r="B73" s="30"/>
      <c r="C73" s="31"/>
      <c r="D73" s="31"/>
      <c r="E73" s="31"/>
      <c r="F73" s="1"/>
      <c r="G73" s="32"/>
      <c r="H73" s="1"/>
      <c r="I73" s="1"/>
      <c r="J73" s="1"/>
      <c r="K73" s="1"/>
      <c r="L73" s="1"/>
      <c r="M73" s="1"/>
      <c r="N73" s="1"/>
      <c r="O73" s="1"/>
      <c r="P73" s="1"/>
      <c r="Q73" s="1"/>
      <c r="R73" s="1"/>
      <c r="S73" s="1"/>
      <c r="T73" s="1"/>
      <c r="U73" s="1"/>
      <c r="V73" s="1"/>
      <c r="W73" s="1"/>
      <c r="X73" s="1"/>
      <c r="Y73" s="1"/>
      <c r="Z73" s="1"/>
    </row>
    <row r="74" spans="1:26" ht="3.75" customHeight="1" x14ac:dyDescent="0.2">
      <c r="A74" s="175"/>
      <c r="B74" s="164"/>
      <c r="C74" s="164"/>
      <c r="D74" s="164"/>
      <c r="E74" s="164"/>
      <c r="F74" s="164"/>
      <c r="G74" s="164"/>
      <c r="H74" s="165"/>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0">
    <mergeCell ref="A1:H1"/>
    <mergeCell ref="B4:H4"/>
    <mergeCell ref="B5:H5"/>
    <mergeCell ref="B7:G7"/>
    <mergeCell ref="E8:G8"/>
    <mergeCell ref="E9:G9"/>
    <mergeCell ref="E10:G10"/>
    <mergeCell ref="E11:G11"/>
    <mergeCell ref="E12:G12"/>
    <mergeCell ref="E13:G13"/>
    <mergeCell ref="E14:G14"/>
    <mergeCell ref="E15:G15"/>
    <mergeCell ref="B17:F17"/>
    <mergeCell ref="B18:F18"/>
    <mergeCell ref="B20:F20"/>
    <mergeCell ref="B27:F27"/>
    <mergeCell ref="B37:F37"/>
    <mergeCell ref="B39:G39"/>
    <mergeCell ref="D40:F40"/>
    <mergeCell ref="D41:F41"/>
    <mergeCell ref="D42:F42"/>
    <mergeCell ref="D43:F43"/>
    <mergeCell ref="B45:G45"/>
    <mergeCell ref="C46:G46"/>
    <mergeCell ref="C47:G47"/>
    <mergeCell ref="C48:G48"/>
    <mergeCell ref="C49:G49"/>
    <mergeCell ref="C50:G50"/>
    <mergeCell ref="C51:G51"/>
    <mergeCell ref="C52:G52"/>
    <mergeCell ref="C53:G53"/>
    <mergeCell ref="C54:G54"/>
    <mergeCell ref="C55:G55"/>
    <mergeCell ref="C56:G56"/>
    <mergeCell ref="C57:G57"/>
    <mergeCell ref="E71:G71"/>
    <mergeCell ref="E72:G72"/>
    <mergeCell ref="A74:H74"/>
    <mergeCell ref="C58:G58"/>
    <mergeCell ref="C59:G59"/>
    <mergeCell ref="C60:G60"/>
    <mergeCell ref="B62:G62"/>
    <mergeCell ref="E63:G63"/>
    <mergeCell ref="E64:G64"/>
    <mergeCell ref="E65:G65"/>
    <mergeCell ref="E66:G66"/>
    <mergeCell ref="E67:G67"/>
    <mergeCell ref="E68:G68"/>
    <mergeCell ref="E69:G69"/>
    <mergeCell ref="E70:G70"/>
  </mergeCells>
  <pageMargins left="0.75" right="0.75" top="1" bottom="1" header="0" footer="0"/>
  <pageSetup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abSelected="1" workbookViewId="0">
      <selection activeCell="C31" sqref="C31"/>
    </sheetView>
  </sheetViews>
  <sheetFormatPr baseColWidth="10" defaultColWidth="12.6640625" defaultRowHeight="15" customHeight="1" x14ac:dyDescent="0.2"/>
  <cols>
    <col min="1" max="1" width="2" customWidth="1"/>
    <col min="2" max="2" width="5" customWidth="1"/>
    <col min="3" max="3" width="109" customWidth="1"/>
    <col min="4" max="4" width="22" customWidth="1"/>
    <col min="5" max="5" width="2" customWidth="1"/>
    <col min="6" max="26" width="8.83203125" customWidth="1"/>
  </cols>
  <sheetData>
    <row r="1" spans="1:26" ht="4.5" customHeight="1" x14ac:dyDescent="0.2">
      <c r="A1" s="163"/>
      <c r="B1" s="164"/>
      <c r="C1" s="164"/>
      <c r="D1" s="164"/>
      <c r="E1" s="165"/>
      <c r="F1" s="33"/>
      <c r="G1" s="33"/>
      <c r="H1" s="33"/>
      <c r="I1" s="33"/>
      <c r="J1" s="33"/>
      <c r="K1" s="33"/>
      <c r="L1" s="33"/>
      <c r="M1" s="33"/>
      <c r="N1" s="33"/>
      <c r="O1" s="33"/>
      <c r="P1" s="33"/>
      <c r="Q1" s="33"/>
      <c r="R1" s="33"/>
      <c r="S1" s="33"/>
      <c r="T1" s="33"/>
      <c r="U1" s="33"/>
      <c r="V1" s="33"/>
      <c r="W1" s="33"/>
      <c r="X1" s="33"/>
      <c r="Y1" s="33"/>
      <c r="Z1" s="33"/>
    </row>
    <row r="2" spans="1:26" ht="24" customHeight="1" x14ac:dyDescent="0.2">
      <c r="A2" s="33"/>
      <c r="B2" s="33"/>
      <c r="C2" s="33"/>
      <c r="D2" s="33"/>
      <c r="E2" s="33"/>
      <c r="F2" s="33"/>
      <c r="G2" s="33"/>
      <c r="H2" s="33"/>
      <c r="I2" s="33"/>
      <c r="J2" s="33"/>
      <c r="K2" s="33"/>
      <c r="L2" s="33"/>
      <c r="M2" s="33"/>
      <c r="N2" s="33"/>
      <c r="O2" s="33"/>
      <c r="P2" s="33"/>
      <c r="Q2" s="33"/>
      <c r="R2" s="33"/>
      <c r="S2" s="33"/>
      <c r="T2" s="33"/>
      <c r="U2" s="33"/>
      <c r="V2" s="33"/>
      <c r="W2" s="33"/>
      <c r="X2" s="33"/>
      <c r="Y2" s="33"/>
      <c r="Z2" s="33"/>
    </row>
    <row r="3" spans="1:26" ht="4.5" customHeight="1" x14ac:dyDescent="0.2">
      <c r="A3" s="33"/>
      <c r="B3" s="33"/>
      <c r="C3" s="33"/>
      <c r="D3" s="33"/>
      <c r="E3" s="33"/>
      <c r="F3" s="33"/>
      <c r="G3" s="33"/>
      <c r="H3" s="33"/>
      <c r="I3" s="33"/>
      <c r="J3" s="33"/>
      <c r="K3" s="33"/>
      <c r="L3" s="33"/>
      <c r="M3" s="33"/>
      <c r="N3" s="33"/>
      <c r="O3" s="33"/>
      <c r="P3" s="33"/>
      <c r="Q3" s="33"/>
      <c r="R3" s="33"/>
      <c r="S3" s="33"/>
      <c r="T3" s="33"/>
      <c r="U3" s="33"/>
      <c r="V3" s="33"/>
      <c r="W3" s="33"/>
      <c r="X3" s="33"/>
      <c r="Y3" s="33"/>
      <c r="Z3" s="33"/>
    </row>
    <row r="4" spans="1:26" ht="21.75" customHeight="1" x14ac:dyDescent="0.2">
      <c r="A4" s="33"/>
      <c r="B4" s="166" t="s">
        <v>157</v>
      </c>
      <c r="C4" s="167"/>
      <c r="D4" s="167"/>
      <c r="E4" s="168"/>
      <c r="F4" s="33"/>
      <c r="G4" s="33"/>
      <c r="H4" s="33"/>
      <c r="I4" s="33"/>
      <c r="J4" s="33"/>
      <c r="K4" s="33"/>
      <c r="L4" s="33"/>
      <c r="M4" s="33"/>
      <c r="N4" s="33"/>
      <c r="O4" s="33"/>
      <c r="P4" s="33"/>
      <c r="Q4" s="33"/>
      <c r="R4" s="33"/>
      <c r="S4" s="33"/>
      <c r="T4" s="33"/>
      <c r="U4" s="33"/>
      <c r="V4" s="33"/>
      <c r="W4" s="33"/>
      <c r="X4" s="33"/>
      <c r="Y4" s="33"/>
      <c r="Z4" s="33"/>
    </row>
    <row r="5" spans="1:26" ht="13.5" customHeight="1" x14ac:dyDescent="0.2">
      <c r="A5" s="33"/>
      <c r="B5" s="169" t="s">
        <v>158</v>
      </c>
      <c r="C5" s="167"/>
      <c r="D5" s="167"/>
      <c r="E5" s="168"/>
      <c r="F5" s="33"/>
      <c r="G5" s="33"/>
      <c r="H5" s="33"/>
      <c r="I5" s="33"/>
      <c r="J5" s="33"/>
      <c r="K5" s="33"/>
      <c r="L5" s="33"/>
      <c r="M5" s="33"/>
      <c r="N5" s="33"/>
      <c r="O5" s="33"/>
      <c r="P5" s="33"/>
      <c r="Q5" s="33"/>
      <c r="R5" s="33"/>
      <c r="S5" s="33"/>
      <c r="T5" s="33"/>
      <c r="U5" s="33"/>
      <c r="V5" s="33"/>
      <c r="W5" s="33"/>
      <c r="X5" s="33"/>
      <c r="Y5" s="33"/>
      <c r="Z5" s="33"/>
    </row>
    <row r="6" spans="1:26" ht="7.5" customHeight="1" x14ac:dyDescent="0.2">
      <c r="A6" s="33"/>
      <c r="B6" s="33"/>
      <c r="C6" s="33"/>
      <c r="D6" s="33"/>
      <c r="E6" s="33"/>
      <c r="F6" s="33"/>
      <c r="G6" s="33"/>
      <c r="H6" s="33"/>
      <c r="I6" s="33"/>
      <c r="J6" s="33"/>
      <c r="K6" s="33"/>
      <c r="L6" s="33"/>
      <c r="M6" s="33"/>
      <c r="N6" s="33"/>
      <c r="O6" s="33"/>
      <c r="P6" s="33"/>
      <c r="Q6" s="33"/>
      <c r="R6" s="33"/>
      <c r="S6" s="33"/>
      <c r="T6" s="33"/>
      <c r="U6" s="33"/>
      <c r="V6" s="33"/>
      <c r="W6" s="33"/>
      <c r="X6" s="33"/>
      <c r="Y6" s="33"/>
      <c r="Z6" s="33"/>
    </row>
    <row r="7" spans="1:26" ht="19.5" customHeight="1" x14ac:dyDescent="0.2">
      <c r="A7" s="33"/>
      <c r="B7" s="170" t="s">
        <v>159</v>
      </c>
      <c r="C7" s="171"/>
      <c r="D7" s="172"/>
      <c r="E7" s="33"/>
      <c r="F7" s="33"/>
      <c r="G7" s="33"/>
      <c r="H7" s="34"/>
      <c r="I7" s="33"/>
      <c r="J7" s="33"/>
      <c r="K7" s="33"/>
      <c r="L7" s="33"/>
      <c r="M7" s="33"/>
      <c r="N7" s="33"/>
      <c r="O7" s="33"/>
      <c r="P7" s="33"/>
      <c r="Q7" s="33"/>
      <c r="R7" s="33"/>
      <c r="S7" s="33"/>
      <c r="T7" s="33"/>
      <c r="U7" s="33"/>
      <c r="V7" s="33"/>
      <c r="W7" s="33"/>
      <c r="X7" s="33"/>
      <c r="Y7" s="33"/>
      <c r="Z7" s="33"/>
    </row>
    <row r="8" spans="1:26" ht="7.5" customHeight="1" x14ac:dyDescent="0.25">
      <c r="A8" s="33"/>
      <c r="B8" s="33"/>
      <c r="C8" s="33"/>
      <c r="D8" s="33"/>
      <c r="E8" s="33"/>
      <c r="F8" s="33"/>
      <c r="G8" s="33"/>
      <c r="H8" s="35"/>
      <c r="I8" s="33"/>
      <c r="J8" s="33"/>
      <c r="K8" s="33"/>
      <c r="L8" s="33"/>
      <c r="M8" s="33"/>
      <c r="N8" s="33"/>
      <c r="O8" s="33"/>
      <c r="P8" s="33"/>
      <c r="Q8" s="33"/>
      <c r="R8" s="33"/>
      <c r="S8" s="33"/>
      <c r="T8" s="33"/>
      <c r="U8" s="33"/>
      <c r="V8" s="33"/>
      <c r="W8" s="33"/>
      <c r="X8" s="33"/>
      <c r="Y8" s="33"/>
      <c r="Z8" s="33"/>
    </row>
    <row r="9" spans="1:26" ht="13.5" customHeight="1" x14ac:dyDescent="0.2">
      <c r="A9" s="33"/>
      <c r="B9" s="160" t="s">
        <v>160</v>
      </c>
      <c r="C9" s="161"/>
      <c r="D9" s="162"/>
      <c r="E9" s="33"/>
      <c r="F9" s="33"/>
      <c r="G9" s="33"/>
      <c r="H9" s="34"/>
      <c r="I9" s="33"/>
      <c r="J9" s="33"/>
      <c r="K9" s="33"/>
      <c r="L9" s="33"/>
      <c r="M9" s="33"/>
      <c r="N9" s="33"/>
      <c r="O9" s="33"/>
      <c r="P9" s="33"/>
      <c r="Q9" s="33"/>
      <c r="R9" s="33"/>
      <c r="S9" s="33"/>
      <c r="T9" s="33"/>
      <c r="U9" s="33"/>
      <c r="V9" s="33"/>
      <c r="W9" s="33"/>
      <c r="X9" s="33"/>
      <c r="Y9" s="33"/>
      <c r="Z9" s="33"/>
    </row>
    <row r="10" spans="1:26" ht="13.5" customHeight="1" x14ac:dyDescent="0.2">
      <c r="A10" s="33"/>
      <c r="B10" s="8" t="s">
        <v>161</v>
      </c>
      <c r="C10" s="8" t="s">
        <v>162</v>
      </c>
      <c r="D10" s="8" t="s">
        <v>163</v>
      </c>
      <c r="E10" s="33"/>
      <c r="F10" s="33"/>
      <c r="G10" s="33"/>
      <c r="H10" s="36"/>
      <c r="I10" s="33"/>
      <c r="J10" s="33"/>
      <c r="K10" s="33"/>
      <c r="L10" s="33"/>
      <c r="M10" s="33"/>
      <c r="N10" s="33"/>
      <c r="O10" s="33"/>
      <c r="P10" s="33"/>
      <c r="Q10" s="33"/>
      <c r="R10" s="33"/>
      <c r="S10" s="33"/>
      <c r="T10" s="33"/>
      <c r="U10" s="33"/>
      <c r="V10" s="33"/>
      <c r="W10" s="33"/>
      <c r="X10" s="33"/>
      <c r="Y10" s="33"/>
      <c r="Z10" s="33"/>
    </row>
    <row r="11" spans="1:26" ht="19.5" customHeight="1" x14ac:dyDescent="0.2">
      <c r="A11" s="33"/>
      <c r="B11" s="37" t="s">
        <v>164</v>
      </c>
      <c r="C11" s="38" t="s">
        <v>165</v>
      </c>
      <c r="D11" s="14" t="s">
        <v>166</v>
      </c>
      <c r="E11" s="33"/>
      <c r="F11" s="33"/>
      <c r="G11" s="33"/>
      <c r="I11" s="33"/>
      <c r="J11" s="33"/>
      <c r="K11" s="33"/>
      <c r="L11" s="33"/>
      <c r="M11" s="33"/>
      <c r="N11" s="33"/>
      <c r="O11" s="33"/>
      <c r="P11" s="33"/>
      <c r="Q11" s="33"/>
      <c r="R11" s="33"/>
      <c r="S11" s="33"/>
      <c r="T11" s="33"/>
      <c r="U11" s="33"/>
      <c r="V11" s="33"/>
      <c r="W11" s="33"/>
      <c r="X11" s="33"/>
      <c r="Y11" s="33"/>
      <c r="Z11" s="33"/>
    </row>
    <row r="12" spans="1:26" ht="19.5" customHeight="1" x14ac:dyDescent="0.2">
      <c r="A12" s="33"/>
      <c r="B12" s="37" t="s">
        <v>167</v>
      </c>
      <c r="C12" s="39" t="s">
        <v>168</v>
      </c>
      <c r="D12" s="13" t="s">
        <v>169</v>
      </c>
      <c r="E12" s="33"/>
      <c r="F12" s="33"/>
      <c r="G12" s="33"/>
      <c r="H12" s="36"/>
      <c r="I12" s="33"/>
      <c r="J12" s="33"/>
      <c r="K12" s="33"/>
      <c r="L12" s="33"/>
      <c r="M12" s="33"/>
      <c r="N12" s="33"/>
      <c r="O12" s="33"/>
      <c r="P12" s="33"/>
      <c r="Q12" s="33"/>
      <c r="R12" s="33"/>
      <c r="S12" s="33"/>
      <c r="T12" s="33"/>
      <c r="U12" s="33"/>
      <c r="V12" s="33"/>
      <c r="W12" s="33"/>
      <c r="X12" s="33"/>
      <c r="Y12" s="33"/>
      <c r="Z12" s="33"/>
    </row>
    <row r="13" spans="1:26" ht="19.5" customHeight="1" x14ac:dyDescent="0.2">
      <c r="A13" s="33"/>
      <c r="B13" s="37" t="s">
        <v>170</v>
      </c>
      <c r="C13" s="38" t="s">
        <v>171</v>
      </c>
      <c r="D13" s="14" t="s">
        <v>166</v>
      </c>
      <c r="E13" s="33"/>
      <c r="F13" s="33"/>
      <c r="G13" s="33"/>
      <c r="I13" s="33"/>
      <c r="J13" s="33"/>
      <c r="K13" s="33"/>
      <c r="L13" s="33"/>
      <c r="M13" s="33"/>
      <c r="N13" s="33"/>
      <c r="O13" s="33"/>
      <c r="P13" s="33"/>
      <c r="Q13" s="33"/>
      <c r="R13" s="33"/>
      <c r="S13" s="33"/>
      <c r="T13" s="33"/>
      <c r="U13" s="33"/>
      <c r="V13" s="33"/>
      <c r="W13" s="33"/>
      <c r="X13" s="33"/>
      <c r="Y13" s="33"/>
      <c r="Z13" s="33"/>
    </row>
    <row r="14" spans="1:26" ht="31.5" customHeight="1" x14ac:dyDescent="0.2">
      <c r="A14" s="33"/>
      <c r="B14" s="37" t="s">
        <v>172</v>
      </c>
      <c r="C14" s="39" t="s">
        <v>173</v>
      </c>
      <c r="D14" s="13" t="s">
        <v>174</v>
      </c>
      <c r="E14" s="33"/>
      <c r="F14" s="33"/>
      <c r="G14" s="33"/>
      <c r="H14" s="36"/>
      <c r="I14" s="33"/>
      <c r="J14" s="33"/>
      <c r="K14" s="33"/>
      <c r="L14" s="33"/>
      <c r="M14" s="33"/>
      <c r="N14" s="33"/>
      <c r="O14" s="33"/>
      <c r="P14" s="33"/>
      <c r="Q14" s="33"/>
      <c r="R14" s="33"/>
      <c r="S14" s="33"/>
      <c r="T14" s="33"/>
      <c r="U14" s="33"/>
      <c r="V14" s="33"/>
      <c r="W14" s="33"/>
      <c r="X14" s="33"/>
      <c r="Y14" s="33"/>
      <c r="Z14" s="33"/>
    </row>
    <row r="15" spans="1:26" ht="19.5" customHeight="1" x14ac:dyDescent="0.2">
      <c r="A15" s="33"/>
      <c r="B15" s="37" t="s">
        <v>175</v>
      </c>
      <c r="C15" s="38" t="s">
        <v>176</v>
      </c>
      <c r="D15" s="14" t="s">
        <v>177</v>
      </c>
      <c r="E15" s="33"/>
      <c r="F15" s="33"/>
      <c r="G15" s="33"/>
      <c r="I15" s="33"/>
      <c r="J15" s="33"/>
      <c r="K15" s="33"/>
      <c r="L15" s="33"/>
      <c r="M15" s="33"/>
      <c r="N15" s="33"/>
      <c r="O15" s="33"/>
      <c r="P15" s="33"/>
      <c r="Q15" s="33"/>
      <c r="R15" s="33"/>
      <c r="S15" s="33"/>
      <c r="T15" s="33"/>
      <c r="U15" s="33"/>
      <c r="V15" s="33"/>
      <c r="W15" s="33"/>
      <c r="X15" s="33"/>
      <c r="Y15" s="33"/>
      <c r="Z15" s="33"/>
    </row>
    <row r="16" spans="1:26" ht="19.5" customHeight="1" x14ac:dyDescent="0.2">
      <c r="A16" s="33"/>
      <c r="B16" s="37" t="s">
        <v>178</v>
      </c>
      <c r="C16" s="39" t="s">
        <v>179</v>
      </c>
      <c r="D16" s="13" t="s">
        <v>177</v>
      </c>
      <c r="E16" s="33"/>
      <c r="F16" s="33"/>
      <c r="G16" s="33"/>
      <c r="H16" s="36"/>
      <c r="I16" s="33"/>
      <c r="J16" s="33"/>
      <c r="K16" s="33"/>
      <c r="L16" s="33"/>
      <c r="M16" s="33"/>
      <c r="N16" s="33"/>
      <c r="O16" s="33"/>
      <c r="P16" s="33"/>
      <c r="Q16" s="33"/>
      <c r="R16" s="33"/>
      <c r="S16" s="33"/>
      <c r="T16" s="33"/>
      <c r="U16" s="33"/>
      <c r="V16" s="33"/>
      <c r="W16" s="33"/>
      <c r="X16" s="33"/>
      <c r="Y16" s="33"/>
      <c r="Z16" s="33"/>
    </row>
    <row r="17" spans="1:26" ht="19.5" customHeight="1" x14ac:dyDescent="0.2">
      <c r="A17" s="33"/>
      <c r="B17" s="37" t="s">
        <v>180</v>
      </c>
      <c r="C17" s="38" t="s">
        <v>181</v>
      </c>
      <c r="D17" s="14" t="s">
        <v>174</v>
      </c>
      <c r="E17" s="33"/>
      <c r="F17" s="33"/>
      <c r="G17" s="33"/>
      <c r="I17" s="33"/>
      <c r="J17" s="33"/>
      <c r="K17" s="33"/>
      <c r="L17" s="33"/>
      <c r="M17" s="33"/>
      <c r="N17" s="33"/>
      <c r="O17" s="33"/>
      <c r="P17" s="33"/>
      <c r="Q17" s="33"/>
      <c r="R17" s="33"/>
      <c r="S17" s="33"/>
      <c r="T17" s="33"/>
      <c r="U17" s="33"/>
      <c r="V17" s="33"/>
      <c r="W17" s="33"/>
      <c r="X17" s="33"/>
      <c r="Y17" s="33"/>
      <c r="Z17" s="33"/>
    </row>
    <row r="18" spans="1:26" ht="19.5" customHeight="1" x14ac:dyDescent="0.2">
      <c r="A18" s="33"/>
      <c r="B18" s="37" t="s">
        <v>182</v>
      </c>
      <c r="C18" s="39" t="s">
        <v>183</v>
      </c>
      <c r="D18" s="13" t="s">
        <v>174</v>
      </c>
      <c r="E18" s="33"/>
      <c r="F18" s="33"/>
      <c r="G18" s="33"/>
      <c r="H18" s="36"/>
      <c r="I18" s="33"/>
      <c r="J18" s="33"/>
      <c r="K18" s="33"/>
      <c r="L18" s="33"/>
      <c r="M18" s="33"/>
      <c r="N18" s="33"/>
      <c r="O18" s="33"/>
      <c r="P18" s="33"/>
      <c r="Q18" s="33"/>
      <c r="R18" s="33"/>
      <c r="S18" s="33"/>
      <c r="T18" s="33"/>
      <c r="U18" s="33"/>
      <c r="V18" s="33"/>
      <c r="W18" s="33"/>
      <c r="X18" s="33"/>
      <c r="Y18" s="33"/>
      <c r="Z18" s="33"/>
    </row>
    <row r="19" spans="1:26" ht="19.5" customHeight="1" x14ac:dyDescent="0.2">
      <c r="A19" s="33"/>
      <c r="B19" s="37" t="s">
        <v>184</v>
      </c>
      <c r="C19" s="38" t="s">
        <v>185</v>
      </c>
      <c r="D19" s="14" t="s">
        <v>137</v>
      </c>
      <c r="E19" s="33"/>
      <c r="F19" s="33"/>
      <c r="G19" s="33"/>
      <c r="I19" s="33"/>
      <c r="J19" s="33"/>
      <c r="K19" s="33"/>
      <c r="L19" s="33"/>
      <c r="M19" s="33"/>
      <c r="N19" s="33"/>
      <c r="O19" s="33"/>
      <c r="P19" s="33"/>
      <c r="Q19" s="33"/>
      <c r="R19" s="33"/>
      <c r="S19" s="33"/>
      <c r="T19" s="33"/>
      <c r="U19" s="33"/>
      <c r="V19" s="33"/>
      <c r="W19" s="33"/>
      <c r="X19" s="33"/>
      <c r="Y19" s="33"/>
      <c r="Z19" s="33"/>
    </row>
    <row r="20" spans="1:26" ht="19.5" customHeight="1" x14ac:dyDescent="0.2">
      <c r="A20" s="33"/>
      <c r="B20" s="37" t="s">
        <v>186</v>
      </c>
      <c r="C20" s="39" t="s">
        <v>187</v>
      </c>
      <c r="D20" s="13" t="s">
        <v>188</v>
      </c>
      <c r="E20" s="33"/>
      <c r="F20" s="33"/>
      <c r="G20" s="33"/>
      <c r="H20" s="36"/>
      <c r="I20" s="33"/>
      <c r="J20" s="33"/>
      <c r="K20" s="33"/>
      <c r="L20" s="33"/>
      <c r="M20" s="33"/>
      <c r="N20" s="33"/>
      <c r="O20" s="33"/>
      <c r="P20" s="33"/>
      <c r="Q20" s="33"/>
      <c r="R20" s="33"/>
      <c r="S20" s="33"/>
      <c r="T20" s="33"/>
      <c r="U20" s="33"/>
      <c r="V20" s="33"/>
      <c r="W20" s="33"/>
      <c r="X20" s="33"/>
      <c r="Y20" s="33"/>
      <c r="Z20" s="33"/>
    </row>
    <row r="21" spans="1:26" ht="19.5" customHeight="1" x14ac:dyDescent="0.2">
      <c r="A21" s="33"/>
      <c r="B21" s="37" t="s">
        <v>189</v>
      </c>
      <c r="C21" s="38" t="s">
        <v>190</v>
      </c>
      <c r="D21" s="14" t="s">
        <v>174</v>
      </c>
      <c r="E21" s="33"/>
      <c r="F21" s="33"/>
      <c r="G21" s="33"/>
      <c r="I21" s="33"/>
      <c r="J21" s="33"/>
      <c r="K21" s="33"/>
      <c r="L21" s="33"/>
      <c r="M21" s="33"/>
      <c r="N21" s="33"/>
      <c r="O21" s="33"/>
      <c r="P21" s="33"/>
      <c r="Q21" s="33"/>
      <c r="R21" s="33"/>
      <c r="S21" s="33"/>
      <c r="T21" s="33"/>
      <c r="U21" s="33"/>
      <c r="V21" s="33"/>
      <c r="W21" s="33"/>
      <c r="X21" s="33"/>
      <c r="Y21" s="33"/>
      <c r="Z21" s="33"/>
    </row>
    <row r="22" spans="1:26" ht="15.75" customHeight="1" x14ac:dyDescent="0.2">
      <c r="A22" s="33"/>
      <c r="B22" s="33"/>
      <c r="C22" s="33"/>
      <c r="D22" s="33"/>
      <c r="E22" s="33"/>
      <c r="F22" s="33"/>
      <c r="G22" s="33"/>
      <c r="I22" s="33"/>
      <c r="J22" s="33"/>
      <c r="K22" s="33"/>
      <c r="L22" s="33"/>
      <c r="M22" s="33"/>
      <c r="N22" s="33"/>
      <c r="O22" s="33"/>
      <c r="P22" s="33"/>
      <c r="Q22" s="33"/>
      <c r="R22" s="33"/>
      <c r="S22" s="33"/>
      <c r="T22" s="33"/>
      <c r="U22" s="33"/>
      <c r="V22" s="33"/>
      <c r="W22" s="33"/>
      <c r="X22" s="33"/>
      <c r="Y22" s="33"/>
      <c r="Z22" s="33"/>
    </row>
    <row r="23" spans="1:26" ht="13.5" customHeight="1" x14ac:dyDescent="0.2">
      <c r="A23" s="33"/>
      <c r="B23" s="160" t="s">
        <v>191</v>
      </c>
      <c r="C23" s="161"/>
      <c r="D23" s="162"/>
      <c r="E23" s="33"/>
      <c r="F23" s="33"/>
      <c r="G23" s="33"/>
      <c r="H23" s="36"/>
      <c r="I23" s="33"/>
      <c r="J23" s="33"/>
      <c r="K23" s="33"/>
      <c r="L23" s="33"/>
      <c r="M23" s="33"/>
      <c r="N23" s="33"/>
      <c r="O23" s="33"/>
      <c r="P23" s="33"/>
      <c r="Q23" s="33"/>
      <c r="R23" s="33"/>
      <c r="S23" s="33"/>
      <c r="T23" s="33"/>
      <c r="U23" s="33"/>
      <c r="V23" s="33"/>
      <c r="W23" s="33"/>
      <c r="X23" s="33"/>
      <c r="Y23" s="33"/>
      <c r="Z23" s="33"/>
    </row>
    <row r="24" spans="1:26" ht="13.5" customHeight="1" x14ac:dyDescent="0.2">
      <c r="A24" s="33"/>
      <c r="B24" s="8" t="s">
        <v>161</v>
      </c>
      <c r="C24" s="8" t="s">
        <v>192</v>
      </c>
      <c r="D24" s="8" t="s">
        <v>193</v>
      </c>
      <c r="E24" s="33"/>
      <c r="F24" s="33"/>
      <c r="G24" s="33"/>
      <c r="H24" s="36"/>
      <c r="I24" s="33"/>
      <c r="J24" s="33"/>
      <c r="K24" s="33"/>
      <c r="L24" s="33"/>
      <c r="M24" s="33"/>
      <c r="N24" s="33"/>
      <c r="O24" s="33"/>
      <c r="P24" s="33"/>
      <c r="Q24" s="33"/>
      <c r="R24" s="33"/>
      <c r="S24" s="33"/>
      <c r="T24" s="33"/>
      <c r="U24" s="33"/>
      <c r="V24" s="33"/>
      <c r="W24" s="33"/>
      <c r="X24" s="33"/>
      <c r="Y24" s="33"/>
      <c r="Z24" s="33"/>
    </row>
    <row r="25" spans="1:26" ht="19.5" customHeight="1" x14ac:dyDescent="0.2">
      <c r="A25" s="33"/>
      <c r="B25" s="37" t="s">
        <v>164</v>
      </c>
      <c r="C25" s="38" t="s">
        <v>194</v>
      </c>
      <c r="D25" s="40" t="s">
        <v>195</v>
      </c>
      <c r="E25" s="33"/>
      <c r="F25" s="33"/>
      <c r="G25" s="33"/>
      <c r="I25" s="33"/>
      <c r="J25" s="33"/>
      <c r="K25" s="33"/>
      <c r="L25" s="33"/>
      <c r="M25" s="33"/>
      <c r="N25" s="33"/>
      <c r="O25" s="33"/>
      <c r="P25" s="33"/>
      <c r="Q25" s="33"/>
      <c r="R25" s="33"/>
      <c r="S25" s="33"/>
      <c r="T25" s="33"/>
      <c r="U25" s="33"/>
      <c r="V25" s="33"/>
      <c r="W25" s="33"/>
      <c r="X25" s="33"/>
      <c r="Y25" s="33"/>
      <c r="Z25" s="33"/>
    </row>
    <row r="26" spans="1:26" ht="27" customHeight="1" x14ac:dyDescent="0.2">
      <c r="A26" s="33"/>
      <c r="B26" s="37" t="s">
        <v>167</v>
      </c>
      <c r="C26" s="39" t="s">
        <v>196</v>
      </c>
      <c r="D26" s="41" t="s">
        <v>197</v>
      </c>
      <c r="E26" s="33"/>
      <c r="F26" s="33"/>
      <c r="G26" s="33"/>
      <c r="H26" s="36"/>
      <c r="I26" s="33"/>
      <c r="J26" s="33"/>
      <c r="K26" s="33"/>
      <c r="L26" s="33"/>
      <c r="M26" s="33"/>
      <c r="N26" s="33"/>
      <c r="O26" s="33"/>
      <c r="P26" s="33"/>
      <c r="Q26" s="33"/>
      <c r="R26" s="33"/>
      <c r="S26" s="33"/>
      <c r="T26" s="33"/>
      <c r="U26" s="33"/>
      <c r="V26" s="33"/>
      <c r="W26" s="33"/>
      <c r="X26" s="33"/>
      <c r="Y26" s="33"/>
      <c r="Z26" s="33"/>
    </row>
    <row r="27" spans="1:26" ht="19.5" customHeight="1" x14ac:dyDescent="0.2">
      <c r="A27" s="33"/>
      <c r="B27" s="37" t="s">
        <v>170</v>
      </c>
      <c r="C27" s="38" t="s">
        <v>198</v>
      </c>
      <c r="D27" s="40" t="s">
        <v>199</v>
      </c>
      <c r="E27" s="33"/>
      <c r="F27" s="33"/>
      <c r="G27" s="33"/>
      <c r="I27" s="33"/>
      <c r="J27" s="33"/>
      <c r="K27" s="33"/>
      <c r="L27" s="33"/>
      <c r="M27" s="33"/>
      <c r="N27" s="33"/>
      <c r="O27" s="33"/>
      <c r="P27" s="33"/>
      <c r="Q27" s="33"/>
      <c r="R27" s="33"/>
      <c r="S27" s="33"/>
      <c r="T27" s="33"/>
      <c r="U27" s="33"/>
      <c r="V27" s="33"/>
      <c r="W27" s="33"/>
      <c r="X27" s="33"/>
      <c r="Y27" s="33"/>
      <c r="Z27" s="33"/>
    </row>
    <row r="28" spans="1:26" ht="19.5" customHeight="1" x14ac:dyDescent="0.2">
      <c r="A28" s="33"/>
      <c r="B28" s="37" t="s">
        <v>172</v>
      </c>
      <c r="C28" s="39" t="s">
        <v>200</v>
      </c>
      <c r="D28" s="41" t="s">
        <v>199</v>
      </c>
      <c r="E28" s="33"/>
      <c r="F28" s="33"/>
      <c r="G28" s="33"/>
      <c r="H28" s="36"/>
      <c r="I28" s="33"/>
      <c r="J28" s="33"/>
      <c r="K28" s="33"/>
      <c r="L28" s="33"/>
      <c r="M28" s="33"/>
      <c r="N28" s="33"/>
      <c r="O28" s="33"/>
      <c r="P28" s="33"/>
      <c r="Q28" s="33"/>
      <c r="R28" s="33"/>
      <c r="S28" s="33"/>
      <c r="T28" s="33"/>
      <c r="U28" s="33"/>
      <c r="V28" s="33"/>
      <c r="W28" s="33"/>
      <c r="X28" s="33"/>
      <c r="Y28" s="33"/>
      <c r="Z28" s="33"/>
    </row>
    <row r="29" spans="1:26" ht="19.5" customHeight="1" x14ac:dyDescent="0.2">
      <c r="A29" s="33"/>
      <c r="B29" s="37" t="s">
        <v>175</v>
      </c>
      <c r="C29" s="38" t="s">
        <v>201</v>
      </c>
      <c r="D29" s="40" t="s">
        <v>199</v>
      </c>
      <c r="E29" s="33"/>
      <c r="F29" s="33"/>
      <c r="G29" s="33"/>
      <c r="I29" s="33"/>
      <c r="J29" s="33"/>
      <c r="K29" s="33"/>
      <c r="L29" s="33"/>
      <c r="M29" s="33"/>
      <c r="N29" s="33"/>
      <c r="O29" s="33"/>
      <c r="P29" s="33"/>
      <c r="Q29" s="33"/>
      <c r="R29" s="33"/>
      <c r="S29" s="33"/>
      <c r="T29" s="33"/>
      <c r="U29" s="33"/>
      <c r="V29" s="33"/>
      <c r="W29" s="33"/>
      <c r="X29" s="33"/>
      <c r="Y29" s="33"/>
      <c r="Z29" s="33"/>
    </row>
    <row r="30" spans="1:26" ht="19.5" customHeight="1" x14ac:dyDescent="0.2">
      <c r="A30" s="33"/>
      <c r="B30" s="37" t="s">
        <v>178</v>
      </c>
      <c r="C30" s="39" t="s">
        <v>202</v>
      </c>
      <c r="D30" s="41" t="s">
        <v>199</v>
      </c>
      <c r="E30" s="33"/>
      <c r="F30" s="33"/>
      <c r="G30" s="33"/>
      <c r="H30" s="36"/>
      <c r="I30" s="33"/>
      <c r="J30" s="33"/>
      <c r="K30" s="33"/>
      <c r="L30" s="33"/>
      <c r="M30" s="33"/>
      <c r="N30" s="33"/>
      <c r="O30" s="33"/>
      <c r="P30" s="33"/>
      <c r="Q30" s="33"/>
      <c r="R30" s="33"/>
      <c r="S30" s="33"/>
      <c r="T30" s="33"/>
      <c r="U30" s="33"/>
      <c r="V30" s="33"/>
      <c r="W30" s="33"/>
      <c r="X30" s="33"/>
      <c r="Y30" s="33"/>
      <c r="Z30" s="33"/>
    </row>
    <row r="31" spans="1:26" ht="19.5" customHeight="1" x14ac:dyDescent="0.2">
      <c r="A31" s="33"/>
      <c r="B31" s="37" t="s">
        <v>180</v>
      </c>
      <c r="C31" s="38" t="s">
        <v>203</v>
      </c>
      <c r="D31" s="40" t="s">
        <v>199</v>
      </c>
      <c r="E31" s="33"/>
      <c r="F31" s="33"/>
      <c r="G31" s="33"/>
      <c r="I31" s="33"/>
      <c r="J31" s="33"/>
      <c r="K31" s="33"/>
      <c r="L31" s="33"/>
      <c r="M31" s="33"/>
      <c r="N31" s="33"/>
      <c r="O31" s="33"/>
      <c r="P31" s="33"/>
      <c r="Q31" s="33"/>
      <c r="R31" s="33"/>
      <c r="S31" s="33"/>
      <c r="T31" s="33"/>
      <c r="U31" s="33"/>
      <c r="V31" s="33"/>
      <c r="W31" s="33"/>
      <c r="X31" s="33"/>
      <c r="Y31" s="33"/>
      <c r="Z31" s="33"/>
    </row>
    <row r="32" spans="1:26" ht="19.5" customHeight="1" x14ac:dyDescent="0.2">
      <c r="A32" s="33"/>
      <c r="B32" s="37">
        <v>8</v>
      </c>
      <c r="C32" s="39" t="s">
        <v>204</v>
      </c>
      <c r="D32" s="41"/>
      <c r="E32" s="33"/>
      <c r="F32" s="33"/>
      <c r="G32" s="33"/>
      <c r="H32" s="36"/>
      <c r="I32" s="33"/>
      <c r="J32" s="33"/>
      <c r="K32" s="33"/>
      <c r="L32" s="33"/>
      <c r="M32" s="33"/>
      <c r="N32" s="33"/>
      <c r="O32" s="33"/>
      <c r="P32" s="33"/>
      <c r="Q32" s="33"/>
      <c r="R32" s="33"/>
      <c r="S32" s="33"/>
      <c r="T32" s="33"/>
      <c r="U32" s="33"/>
      <c r="V32" s="33"/>
      <c r="W32" s="33"/>
      <c r="X32" s="33"/>
      <c r="Y32" s="33"/>
      <c r="Z32" s="33"/>
    </row>
    <row r="33" spans="1:26" ht="19.5" customHeight="1" x14ac:dyDescent="0.2">
      <c r="A33" s="33"/>
      <c r="B33" s="37">
        <v>9</v>
      </c>
      <c r="C33" s="38" t="s">
        <v>205</v>
      </c>
      <c r="D33" s="40"/>
      <c r="E33" s="33"/>
      <c r="F33" s="33"/>
      <c r="G33" s="33"/>
      <c r="I33" s="33"/>
      <c r="J33" s="33"/>
      <c r="K33" s="33"/>
      <c r="L33" s="33"/>
      <c r="M33" s="33"/>
      <c r="N33" s="33"/>
      <c r="O33" s="33"/>
      <c r="P33" s="33"/>
      <c r="Q33" s="33"/>
      <c r="R33" s="33"/>
      <c r="S33" s="33"/>
      <c r="T33" s="33"/>
      <c r="U33" s="33"/>
      <c r="V33" s="33"/>
      <c r="W33" s="33"/>
      <c r="X33" s="33"/>
      <c r="Y33" s="33"/>
      <c r="Z33" s="33"/>
    </row>
    <row r="34" spans="1:26" ht="15.75" customHeight="1" x14ac:dyDescent="0.2">
      <c r="A34" s="33"/>
      <c r="B34" s="33"/>
      <c r="C34" s="33"/>
      <c r="D34" s="33"/>
      <c r="E34" s="33"/>
      <c r="F34" s="33"/>
      <c r="G34" s="33"/>
      <c r="I34" s="33"/>
      <c r="J34" s="33"/>
      <c r="K34" s="33"/>
      <c r="L34" s="33"/>
      <c r="M34" s="33"/>
      <c r="N34" s="33"/>
      <c r="O34" s="33"/>
      <c r="P34" s="33"/>
      <c r="Q34" s="33"/>
      <c r="R34" s="33"/>
      <c r="S34" s="33"/>
      <c r="T34" s="33"/>
      <c r="U34" s="33"/>
      <c r="V34" s="33"/>
      <c r="W34" s="33"/>
      <c r="X34" s="33"/>
      <c r="Y34" s="33"/>
      <c r="Z34" s="33"/>
    </row>
    <row r="35" spans="1:26" ht="3.75" customHeight="1" x14ac:dyDescent="0.25">
      <c r="A35" s="163"/>
      <c r="B35" s="164"/>
      <c r="C35" s="164"/>
      <c r="D35" s="164"/>
      <c r="E35" s="165"/>
      <c r="F35" s="33"/>
      <c r="G35" s="33"/>
      <c r="H35" s="35"/>
      <c r="I35" s="33"/>
      <c r="J35" s="33"/>
      <c r="K35" s="33"/>
      <c r="L35" s="33"/>
      <c r="M35" s="33"/>
      <c r="N35" s="33"/>
      <c r="O35" s="33"/>
      <c r="P35" s="33"/>
      <c r="Q35" s="33"/>
      <c r="R35" s="33"/>
      <c r="S35" s="33"/>
      <c r="T35" s="33"/>
      <c r="U35" s="33"/>
      <c r="V35" s="33"/>
      <c r="W35" s="33"/>
      <c r="X35" s="33"/>
      <c r="Y35" s="33"/>
      <c r="Z35" s="33"/>
    </row>
    <row r="36" spans="1:26" ht="15.75" customHeight="1" x14ac:dyDescent="0.2">
      <c r="A36" s="33"/>
      <c r="B36" s="33"/>
      <c r="C36" s="33"/>
      <c r="D36" s="33"/>
      <c r="E36" s="33"/>
      <c r="F36" s="33"/>
      <c r="G36" s="33"/>
      <c r="H36" s="34"/>
      <c r="I36" s="33"/>
      <c r="J36" s="33"/>
      <c r="K36" s="33"/>
      <c r="L36" s="33"/>
      <c r="M36" s="33"/>
      <c r="N36" s="33"/>
      <c r="O36" s="33"/>
      <c r="P36" s="33"/>
      <c r="Q36" s="33"/>
      <c r="R36" s="33"/>
      <c r="S36" s="33"/>
      <c r="T36" s="33"/>
      <c r="U36" s="33"/>
      <c r="V36" s="33"/>
      <c r="W36" s="33"/>
      <c r="X36" s="33"/>
      <c r="Y36" s="33"/>
      <c r="Z36" s="33"/>
    </row>
    <row r="37" spans="1:26" ht="15.75" customHeight="1" x14ac:dyDescent="0.2">
      <c r="A37" s="33"/>
      <c r="B37" s="33"/>
      <c r="C37" s="33"/>
      <c r="D37" s="33"/>
      <c r="E37" s="33"/>
      <c r="F37" s="33"/>
      <c r="G37" s="33"/>
      <c r="H37" s="36"/>
      <c r="I37" s="33"/>
      <c r="J37" s="33"/>
      <c r="K37" s="33"/>
      <c r="L37" s="33"/>
      <c r="M37" s="33"/>
      <c r="N37" s="33"/>
      <c r="O37" s="33"/>
      <c r="P37" s="33"/>
      <c r="Q37" s="33"/>
      <c r="R37" s="33"/>
      <c r="S37" s="33"/>
      <c r="T37" s="33"/>
      <c r="U37" s="33"/>
      <c r="V37" s="33"/>
      <c r="W37" s="33"/>
      <c r="X37" s="33"/>
      <c r="Y37" s="33"/>
      <c r="Z37" s="33"/>
    </row>
    <row r="38" spans="1:26" ht="15.75" customHeight="1" x14ac:dyDescent="0.2">
      <c r="A38" s="33"/>
      <c r="B38" s="33"/>
      <c r="C38" s="33"/>
      <c r="D38" s="33"/>
      <c r="E38" s="33"/>
      <c r="F38" s="33"/>
      <c r="G38" s="33"/>
      <c r="I38" s="33"/>
      <c r="J38" s="33"/>
      <c r="K38" s="33"/>
      <c r="L38" s="33"/>
      <c r="M38" s="33"/>
      <c r="N38" s="33"/>
      <c r="O38" s="33"/>
      <c r="P38" s="33"/>
      <c r="Q38" s="33"/>
      <c r="R38" s="33"/>
      <c r="S38" s="33"/>
      <c r="T38" s="33"/>
      <c r="U38" s="33"/>
      <c r="V38" s="33"/>
      <c r="W38" s="33"/>
      <c r="X38" s="33"/>
      <c r="Y38" s="33"/>
      <c r="Z38" s="33"/>
    </row>
    <row r="39" spans="1:26" ht="15.75" customHeight="1" x14ac:dyDescent="0.2">
      <c r="A39" s="33"/>
      <c r="B39" s="33"/>
      <c r="C39" s="33"/>
      <c r="D39" s="33"/>
      <c r="E39" s="33"/>
      <c r="F39" s="33"/>
      <c r="G39" s="33"/>
      <c r="H39" s="36"/>
      <c r="I39" s="33"/>
      <c r="J39" s="33"/>
      <c r="K39" s="33"/>
      <c r="L39" s="33"/>
      <c r="M39" s="33"/>
      <c r="N39" s="33"/>
      <c r="O39" s="33"/>
      <c r="P39" s="33"/>
      <c r="Q39" s="33"/>
      <c r="R39" s="33"/>
      <c r="S39" s="33"/>
      <c r="T39" s="33"/>
      <c r="U39" s="33"/>
      <c r="V39" s="33"/>
      <c r="W39" s="33"/>
      <c r="X39" s="33"/>
      <c r="Y39" s="33"/>
      <c r="Z39" s="33"/>
    </row>
    <row r="40" spans="1:26" ht="15.75" customHeight="1" x14ac:dyDescent="0.2">
      <c r="A40" s="33"/>
      <c r="B40" s="33"/>
      <c r="C40" s="33"/>
      <c r="D40" s="33"/>
      <c r="E40" s="33"/>
      <c r="F40" s="33"/>
      <c r="G40" s="33"/>
      <c r="I40" s="33"/>
      <c r="J40" s="33"/>
      <c r="K40" s="33"/>
      <c r="L40" s="33"/>
      <c r="M40" s="33"/>
      <c r="N40" s="33"/>
      <c r="O40" s="33"/>
      <c r="P40" s="33"/>
      <c r="Q40" s="33"/>
      <c r="R40" s="33"/>
      <c r="S40" s="33"/>
      <c r="T40" s="33"/>
      <c r="U40" s="33"/>
      <c r="V40" s="33"/>
      <c r="W40" s="33"/>
      <c r="X40" s="33"/>
      <c r="Y40" s="33"/>
      <c r="Z40" s="33"/>
    </row>
    <row r="41" spans="1:26" ht="15.75" customHeight="1" x14ac:dyDescent="0.2">
      <c r="A41" s="33"/>
      <c r="B41" s="33"/>
      <c r="C41" s="33"/>
      <c r="D41" s="33"/>
      <c r="E41" s="33"/>
      <c r="F41" s="33"/>
      <c r="G41" s="33"/>
      <c r="H41" s="36"/>
      <c r="I41" s="33"/>
      <c r="J41" s="33"/>
      <c r="K41" s="33"/>
      <c r="L41" s="33"/>
      <c r="M41" s="33"/>
      <c r="N41" s="33"/>
      <c r="O41" s="33"/>
      <c r="P41" s="33"/>
      <c r="Q41" s="33"/>
      <c r="R41" s="33"/>
      <c r="S41" s="33"/>
      <c r="T41" s="33"/>
      <c r="U41" s="33"/>
      <c r="V41" s="33"/>
      <c r="W41" s="33"/>
      <c r="X41" s="33"/>
      <c r="Y41" s="33"/>
      <c r="Z41" s="33"/>
    </row>
    <row r="42" spans="1:26" ht="15.75" customHeight="1" x14ac:dyDescent="0.2">
      <c r="A42" s="33"/>
      <c r="B42" s="33"/>
      <c r="C42" s="33"/>
      <c r="D42" s="33"/>
      <c r="E42" s="33"/>
      <c r="F42" s="33"/>
      <c r="G42" s="33"/>
      <c r="I42" s="33"/>
      <c r="J42" s="33"/>
      <c r="K42" s="33"/>
      <c r="L42" s="33"/>
      <c r="M42" s="33"/>
      <c r="N42" s="33"/>
      <c r="O42" s="33"/>
      <c r="P42" s="33"/>
      <c r="Q42" s="33"/>
      <c r="R42" s="33"/>
      <c r="S42" s="33"/>
      <c r="T42" s="33"/>
      <c r="U42" s="33"/>
      <c r="V42" s="33"/>
      <c r="W42" s="33"/>
      <c r="X42" s="33"/>
      <c r="Y42" s="33"/>
      <c r="Z42" s="33"/>
    </row>
    <row r="43" spans="1:26" ht="15.75" customHeight="1" x14ac:dyDescent="0.2">
      <c r="A43" s="33"/>
      <c r="B43" s="33"/>
      <c r="C43" s="33"/>
      <c r="D43" s="33"/>
      <c r="E43" s="33"/>
      <c r="F43" s="33"/>
      <c r="G43" s="33"/>
      <c r="H43" s="36"/>
      <c r="I43" s="33"/>
      <c r="J43" s="33"/>
      <c r="K43" s="33"/>
      <c r="L43" s="33"/>
      <c r="M43" s="33"/>
      <c r="N43" s="33"/>
      <c r="O43" s="33"/>
      <c r="P43" s="33"/>
      <c r="Q43" s="33"/>
      <c r="R43" s="33"/>
      <c r="S43" s="33"/>
      <c r="T43" s="33"/>
      <c r="U43" s="33"/>
      <c r="V43" s="33"/>
      <c r="W43" s="33"/>
      <c r="X43" s="33"/>
      <c r="Y43" s="33"/>
      <c r="Z43" s="33"/>
    </row>
    <row r="44" spans="1:26" ht="15.75" customHeight="1" x14ac:dyDescent="0.2">
      <c r="A44" s="33"/>
      <c r="B44" s="33"/>
      <c r="C44" s="33"/>
      <c r="D44" s="33"/>
      <c r="E44" s="33"/>
      <c r="F44" s="33"/>
      <c r="G44" s="33"/>
      <c r="I44" s="33"/>
      <c r="J44" s="33"/>
      <c r="K44" s="33"/>
      <c r="L44" s="33"/>
      <c r="M44" s="33"/>
      <c r="N44" s="33"/>
      <c r="O44" s="33"/>
      <c r="P44" s="33"/>
      <c r="Q44" s="33"/>
      <c r="R44" s="33"/>
      <c r="S44" s="33"/>
      <c r="T44" s="33"/>
      <c r="U44" s="33"/>
      <c r="V44" s="33"/>
      <c r="W44" s="33"/>
      <c r="X44" s="33"/>
      <c r="Y44" s="33"/>
      <c r="Z44" s="33"/>
    </row>
    <row r="45" spans="1:26" ht="15.75" customHeight="1" x14ac:dyDescent="0.2">
      <c r="A45" s="33"/>
      <c r="B45" s="33"/>
      <c r="C45" s="33"/>
      <c r="D45" s="33"/>
      <c r="E45" s="33"/>
      <c r="F45" s="33"/>
      <c r="G45" s="33"/>
      <c r="H45" s="36"/>
      <c r="I45" s="33"/>
      <c r="J45" s="33"/>
      <c r="K45" s="33"/>
      <c r="L45" s="33"/>
      <c r="M45" s="33"/>
      <c r="N45" s="33"/>
      <c r="O45" s="33"/>
      <c r="P45" s="33"/>
      <c r="Q45" s="33"/>
      <c r="R45" s="33"/>
      <c r="S45" s="33"/>
      <c r="T45" s="33"/>
      <c r="U45" s="33"/>
      <c r="V45" s="33"/>
      <c r="W45" s="33"/>
      <c r="X45" s="33"/>
      <c r="Y45" s="33"/>
      <c r="Z45" s="33"/>
    </row>
    <row r="46" spans="1:26" ht="15.75" customHeight="1" x14ac:dyDescent="0.2">
      <c r="A46" s="33"/>
      <c r="B46" s="33"/>
      <c r="C46" s="33"/>
      <c r="D46" s="33"/>
      <c r="E46" s="33"/>
      <c r="F46" s="33"/>
      <c r="G46" s="33"/>
      <c r="I46" s="33"/>
      <c r="J46" s="33"/>
      <c r="K46" s="33"/>
      <c r="L46" s="33"/>
      <c r="M46" s="33"/>
      <c r="N46" s="33"/>
      <c r="O46" s="33"/>
      <c r="P46" s="33"/>
      <c r="Q46" s="33"/>
      <c r="R46" s="33"/>
      <c r="S46" s="33"/>
      <c r="T46" s="33"/>
      <c r="U46" s="33"/>
      <c r="V46" s="33"/>
      <c r="W46" s="33"/>
      <c r="X46" s="33"/>
      <c r="Y46" s="33"/>
      <c r="Z46" s="33"/>
    </row>
    <row r="47" spans="1:26" ht="15.75" customHeight="1" x14ac:dyDescent="0.2">
      <c r="A47" s="33"/>
      <c r="B47" s="33"/>
      <c r="C47" s="33"/>
      <c r="D47" s="33"/>
      <c r="E47" s="33"/>
      <c r="F47" s="33"/>
      <c r="G47" s="33"/>
      <c r="H47" s="36"/>
      <c r="I47" s="33"/>
      <c r="J47" s="33"/>
      <c r="K47" s="33"/>
      <c r="L47" s="33"/>
      <c r="M47" s="33"/>
      <c r="N47" s="33"/>
      <c r="O47" s="33"/>
      <c r="P47" s="33"/>
      <c r="Q47" s="33"/>
      <c r="R47" s="33"/>
      <c r="S47" s="33"/>
      <c r="T47" s="33"/>
      <c r="U47" s="33"/>
      <c r="V47" s="33"/>
      <c r="W47" s="33"/>
      <c r="X47" s="33"/>
      <c r="Y47" s="33"/>
      <c r="Z47" s="33"/>
    </row>
    <row r="48" spans="1:26" ht="15.75" customHeight="1" x14ac:dyDescent="0.2">
      <c r="A48" s="33"/>
      <c r="B48" s="33"/>
      <c r="C48" s="33"/>
      <c r="D48" s="33"/>
      <c r="E48" s="33"/>
      <c r="F48" s="33"/>
      <c r="G48" s="33"/>
      <c r="I48" s="33"/>
      <c r="J48" s="33"/>
      <c r="K48" s="33"/>
      <c r="L48" s="33"/>
      <c r="M48" s="33"/>
      <c r="N48" s="33"/>
      <c r="O48" s="33"/>
      <c r="P48" s="33"/>
      <c r="Q48" s="33"/>
      <c r="R48" s="33"/>
      <c r="S48" s="33"/>
      <c r="T48" s="33"/>
      <c r="U48" s="33"/>
      <c r="V48" s="33"/>
      <c r="W48" s="33"/>
      <c r="X48" s="33"/>
      <c r="Y48" s="33"/>
      <c r="Z48" s="33"/>
    </row>
    <row r="49" spans="1:26" ht="15.75" customHeight="1" x14ac:dyDescent="0.2">
      <c r="A49" s="33"/>
      <c r="B49" s="33"/>
      <c r="C49" s="33"/>
      <c r="D49" s="33"/>
      <c r="E49" s="33"/>
      <c r="F49" s="33"/>
      <c r="G49" s="33"/>
      <c r="H49" s="36"/>
      <c r="I49" s="33"/>
      <c r="J49" s="33"/>
      <c r="K49" s="33"/>
      <c r="L49" s="33"/>
      <c r="M49" s="33"/>
      <c r="N49" s="33"/>
      <c r="O49" s="33"/>
      <c r="P49" s="33"/>
      <c r="Q49" s="33"/>
      <c r="R49" s="33"/>
      <c r="S49" s="33"/>
      <c r="T49" s="33"/>
      <c r="U49" s="33"/>
      <c r="V49" s="33"/>
      <c r="W49" s="33"/>
      <c r="X49" s="33"/>
      <c r="Y49" s="33"/>
      <c r="Z49" s="33"/>
    </row>
    <row r="50" spans="1:26" ht="15.75" customHeight="1" x14ac:dyDescent="0.2">
      <c r="A50" s="33"/>
      <c r="B50" s="33"/>
      <c r="C50" s="33"/>
      <c r="D50" s="33"/>
      <c r="E50" s="33"/>
      <c r="F50" s="33"/>
      <c r="G50" s="33"/>
      <c r="I50" s="33"/>
      <c r="J50" s="33"/>
      <c r="K50" s="33"/>
      <c r="L50" s="33"/>
      <c r="M50" s="33"/>
      <c r="N50" s="33"/>
      <c r="O50" s="33"/>
      <c r="P50" s="33"/>
      <c r="Q50" s="33"/>
      <c r="R50" s="33"/>
      <c r="S50" s="33"/>
      <c r="T50" s="33"/>
      <c r="U50" s="33"/>
      <c r="V50" s="33"/>
      <c r="W50" s="33"/>
      <c r="X50" s="33"/>
      <c r="Y50" s="33"/>
      <c r="Z50" s="33"/>
    </row>
    <row r="51" spans="1:26" ht="15.75" customHeight="1" x14ac:dyDescent="0.2">
      <c r="A51" s="33"/>
      <c r="B51" s="33"/>
      <c r="C51" s="33"/>
      <c r="D51" s="33"/>
      <c r="E51" s="33"/>
      <c r="F51" s="33"/>
      <c r="G51" s="33"/>
      <c r="H51" s="36"/>
      <c r="I51" s="33"/>
      <c r="J51" s="33"/>
      <c r="K51" s="33"/>
      <c r="L51" s="33"/>
      <c r="M51" s="33"/>
      <c r="N51" s="33"/>
      <c r="O51" s="33"/>
      <c r="P51" s="33"/>
      <c r="Q51" s="33"/>
      <c r="R51" s="33"/>
      <c r="S51" s="33"/>
      <c r="T51" s="33"/>
      <c r="U51" s="33"/>
      <c r="V51" s="33"/>
      <c r="W51" s="33"/>
      <c r="X51" s="33"/>
      <c r="Y51" s="33"/>
      <c r="Z51" s="33"/>
    </row>
    <row r="52" spans="1:26" ht="15.75" customHeight="1" x14ac:dyDescent="0.2">
      <c r="A52" s="33"/>
      <c r="B52" s="33"/>
      <c r="C52" s="33"/>
      <c r="D52" s="33"/>
      <c r="E52" s="33"/>
      <c r="F52" s="33"/>
      <c r="G52" s="33"/>
      <c r="I52" s="33"/>
      <c r="J52" s="33"/>
      <c r="K52" s="33"/>
      <c r="L52" s="33"/>
      <c r="M52" s="33"/>
      <c r="N52" s="33"/>
      <c r="O52" s="33"/>
      <c r="P52" s="33"/>
      <c r="Q52" s="33"/>
      <c r="R52" s="33"/>
      <c r="S52" s="33"/>
      <c r="T52" s="33"/>
      <c r="U52" s="33"/>
      <c r="V52" s="33"/>
      <c r="W52" s="33"/>
      <c r="X52" s="33"/>
      <c r="Y52" s="33"/>
      <c r="Z52" s="33"/>
    </row>
    <row r="53" spans="1:26" ht="15.75" customHeight="1" x14ac:dyDescent="0.2">
      <c r="A53" s="33"/>
      <c r="B53" s="33"/>
      <c r="C53" s="33"/>
      <c r="D53" s="33"/>
      <c r="E53" s="33"/>
      <c r="F53" s="33"/>
      <c r="G53" s="33"/>
      <c r="H53" s="36"/>
      <c r="I53" s="33"/>
      <c r="J53" s="33"/>
      <c r="K53" s="33"/>
      <c r="L53" s="33"/>
      <c r="M53" s="33"/>
      <c r="N53" s="33"/>
      <c r="O53" s="33"/>
      <c r="P53" s="33"/>
      <c r="Q53" s="33"/>
      <c r="R53" s="33"/>
      <c r="S53" s="33"/>
      <c r="T53" s="33"/>
      <c r="U53" s="33"/>
      <c r="V53" s="33"/>
      <c r="W53" s="33"/>
      <c r="X53" s="33"/>
      <c r="Y53" s="33"/>
      <c r="Z53" s="33"/>
    </row>
    <row r="54" spans="1:26" ht="15.75" customHeight="1" x14ac:dyDescent="0.2">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spans="1:26" ht="15.75" customHeight="1" x14ac:dyDescent="0.2">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spans="1:26" ht="15.75" customHeight="1" x14ac:dyDescent="0.2">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spans="1:26" ht="15.75" customHeight="1" x14ac:dyDescent="0.2">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spans="1:26" ht="15.75" customHeight="1" x14ac:dyDescent="0.2">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spans="1:26" ht="15.75" customHeight="1" x14ac:dyDescent="0.2">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spans="1:26" ht="15.75" customHeight="1" x14ac:dyDescent="0.2">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spans="1:26" ht="15.75" customHeight="1" x14ac:dyDescent="0.2">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spans="1:26" ht="15.75" customHeight="1" x14ac:dyDescent="0.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spans="1:26" ht="15.75" customHeight="1" x14ac:dyDescent="0.2">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spans="1:26" ht="15.75" customHeight="1" x14ac:dyDescent="0.2">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spans="1:26" ht="15.75" customHeight="1" x14ac:dyDescent="0.2">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spans="1:26" ht="15.75" customHeight="1" x14ac:dyDescent="0.2">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spans="1:26" ht="15.75" customHeight="1" x14ac:dyDescent="0.2">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spans="1:26" ht="15.75" customHeight="1" x14ac:dyDescent="0.2">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spans="1:26" ht="15.75" customHeight="1" x14ac:dyDescent="0.2">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spans="1:26" ht="15.75" customHeight="1" x14ac:dyDescent="0.2">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spans="1:26" ht="15.75" customHeight="1" x14ac:dyDescent="0.2">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spans="1:26" ht="15.75" customHeight="1" x14ac:dyDescent="0.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spans="1:26" ht="15.75" customHeight="1" x14ac:dyDescent="0.2">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spans="1:26" ht="15.75" customHeight="1" x14ac:dyDescent="0.2">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spans="1:26" ht="15.75" customHeight="1" x14ac:dyDescent="0.2">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spans="1:26" ht="15.75" customHeight="1" x14ac:dyDescent="0.2">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spans="1:26" ht="15.75" customHeight="1" x14ac:dyDescent="0.2">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spans="1:26" ht="15.75" customHeight="1" x14ac:dyDescent="0.2">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spans="1:26" ht="15.75" customHeight="1" x14ac:dyDescent="0.2">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spans="1:26" ht="15.75" customHeight="1" x14ac:dyDescent="0.2">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spans="1:26" ht="15.75" customHeight="1" x14ac:dyDescent="0.2">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spans="1:26" ht="15.75" customHeight="1" x14ac:dyDescent="0.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spans="1:26" ht="15.75" customHeight="1" x14ac:dyDescent="0.2">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spans="1:26" ht="15.75" customHeight="1" x14ac:dyDescent="0.2">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spans="1:26" ht="15.75" customHeight="1" x14ac:dyDescent="0.2">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spans="1:26" ht="15.75" customHeight="1" x14ac:dyDescent="0.2">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spans="1:26" ht="15.75" customHeight="1" x14ac:dyDescent="0.2">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spans="1:26" ht="15.75" customHeight="1" x14ac:dyDescent="0.2">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spans="1:26" ht="15.75" customHeight="1" x14ac:dyDescent="0.2">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spans="1:26" ht="15.75" customHeight="1" x14ac:dyDescent="0.2">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spans="1:26" ht="15.75" customHeight="1" x14ac:dyDescent="0.2">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spans="1:26" ht="15.75" customHeight="1" x14ac:dyDescent="0.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spans="1:26" ht="15.75" customHeight="1" x14ac:dyDescent="0.2">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spans="1:26" ht="15.75" customHeight="1" x14ac:dyDescent="0.2">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spans="1:26" ht="15.75" customHeight="1" x14ac:dyDescent="0.2">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spans="1:26" ht="15.75" customHeight="1" x14ac:dyDescent="0.2">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spans="1:26" ht="15.75" customHeight="1" x14ac:dyDescent="0.2">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spans="1:26" ht="15.75" customHeight="1" x14ac:dyDescent="0.2">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spans="1:26" ht="15.75" customHeight="1" x14ac:dyDescent="0.2">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spans="1:26" ht="15.75" customHeight="1" x14ac:dyDescent="0.2">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spans="1:26" ht="15.75" customHeight="1" x14ac:dyDescent="0.2">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spans="1:26" ht="15.75" customHeight="1" x14ac:dyDescent="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spans="1:26" ht="15.75" customHeight="1" x14ac:dyDescent="0.2">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spans="1:26" ht="15.75" customHeight="1" x14ac:dyDescent="0.2">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spans="1:26" ht="15.75" customHeight="1" x14ac:dyDescent="0.2">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spans="1:26" ht="15.75" customHeight="1" x14ac:dyDescent="0.2">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spans="1:26" ht="15.75" customHeight="1" x14ac:dyDescent="0.2">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spans="1:26" ht="15.75" customHeight="1" x14ac:dyDescent="0.2">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spans="1:26" ht="15.75" customHeight="1" x14ac:dyDescent="0.2">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spans="1:26" ht="15.75" customHeight="1" x14ac:dyDescent="0.2">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spans="1:26" ht="15.75" customHeight="1" x14ac:dyDescent="0.2">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spans="1:26" ht="15.75" customHeight="1" x14ac:dyDescent="0.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spans="1:26" ht="15.75" customHeight="1" x14ac:dyDescent="0.2">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spans="1:26" ht="15.75" customHeight="1" x14ac:dyDescent="0.2">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spans="1:26" ht="15.75" customHeight="1" x14ac:dyDescent="0.2">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spans="1:26" ht="15.75" customHeight="1" x14ac:dyDescent="0.2">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spans="1:26" ht="15.75" customHeight="1" x14ac:dyDescent="0.2">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spans="1:26" ht="15.75" customHeight="1" x14ac:dyDescent="0.2">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spans="1:26" ht="15.75" customHeight="1" x14ac:dyDescent="0.2">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spans="1:26" ht="15.75" customHeight="1" x14ac:dyDescent="0.2">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spans="1:26" ht="15.75" customHeight="1" x14ac:dyDescent="0.2">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spans="1:26" ht="15.75" customHeight="1" x14ac:dyDescent="0.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spans="1:26" ht="15.75" customHeight="1" x14ac:dyDescent="0.2">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spans="1:26" ht="15.75" customHeight="1" x14ac:dyDescent="0.2">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spans="1:26" ht="15.75" customHeight="1" x14ac:dyDescent="0.2">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spans="1:26" ht="15.75" customHeight="1" x14ac:dyDescent="0.2">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spans="1:26" ht="15.75" customHeight="1" x14ac:dyDescent="0.2">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spans="1:26" ht="15.75" customHeight="1" x14ac:dyDescent="0.2">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spans="1:26" ht="15.75" customHeight="1" x14ac:dyDescent="0.2">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spans="1:26" ht="15.75" customHeight="1" x14ac:dyDescent="0.2">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spans="1:26" ht="15.75" customHeight="1" x14ac:dyDescent="0.2">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spans="1:26" ht="15.75" customHeight="1" x14ac:dyDescent="0.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spans="1:26" ht="15.75" customHeight="1" x14ac:dyDescent="0.2">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spans="1:26" ht="15.75" customHeight="1" x14ac:dyDescent="0.2">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spans="1:26" ht="15.75" customHeight="1" x14ac:dyDescent="0.2">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spans="1:26" ht="15.75" customHeight="1" x14ac:dyDescent="0.2">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spans="1:26" ht="15.75" customHeight="1" x14ac:dyDescent="0.2">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spans="1:26" ht="15.75" customHeight="1" x14ac:dyDescent="0.2">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spans="1:26" ht="15.75" customHeight="1" x14ac:dyDescent="0.2">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spans="1:26" ht="15.75" customHeight="1" x14ac:dyDescent="0.2">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spans="1:26" ht="15.75" customHeight="1" x14ac:dyDescent="0.2">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spans="1:26" ht="15.75" customHeight="1" x14ac:dyDescent="0.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spans="1:26" ht="15.75" customHeight="1" x14ac:dyDescent="0.2">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spans="1:26" ht="15.75" customHeight="1" x14ac:dyDescent="0.2">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spans="1:26" ht="15.75" customHeight="1" x14ac:dyDescent="0.2">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spans="1:26" ht="15.75" customHeight="1" x14ac:dyDescent="0.2">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spans="1:26" ht="15.75" customHeight="1" x14ac:dyDescent="0.2">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spans="1:26" ht="15.75" customHeight="1" x14ac:dyDescent="0.2">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spans="1:26" ht="15.75" customHeight="1" x14ac:dyDescent="0.2">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spans="1:26" ht="15.75" customHeight="1" x14ac:dyDescent="0.2">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spans="1:26" ht="15.75" customHeight="1" x14ac:dyDescent="0.2">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spans="1:26" ht="15.75" customHeight="1" x14ac:dyDescent="0.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spans="1:26" ht="15.75" customHeight="1" x14ac:dyDescent="0.2">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spans="1:26" ht="15.75" customHeight="1" x14ac:dyDescent="0.2">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spans="1:26" ht="15.75" customHeight="1" x14ac:dyDescent="0.2">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spans="1:26" ht="15.75" customHeight="1" x14ac:dyDescent="0.2">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spans="1:26" ht="15.75" customHeight="1" x14ac:dyDescent="0.2">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spans="1:26" ht="15.75" customHeight="1" x14ac:dyDescent="0.2">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spans="1:26" ht="15.75" customHeight="1" x14ac:dyDescent="0.2">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spans="1:26" ht="15.75" customHeight="1" x14ac:dyDescent="0.2">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spans="1:26" ht="15.75" customHeight="1" x14ac:dyDescent="0.2">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spans="1:26" ht="15.75" customHeight="1" x14ac:dyDescent="0.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spans="1:26" ht="15.75" customHeight="1" x14ac:dyDescent="0.2">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spans="1:26" ht="15.75" customHeight="1" x14ac:dyDescent="0.2">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spans="1:26" ht="15.75" customHeight="1" x14ac:dyDescent="0.2">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spans="1:26" ht="15.75" customHeight="1" x14ac:dyDescent="0.2">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spans="1:26" ht="15.75" customHeight="1" x14ac:dyDescent="0.2">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spans="1:26" ht="15.75" customHeight="1" x14ac:dyDescent="0.2">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6" ht="15.75" customHeight="1" x14ac:dyDescent="0.2">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spans="1:26" ht="15.75" customHeight="1" x14ac:dyDescent="0.2">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spans="1:26" ht="15.75" customHeight="1" x14ac:dyDescent="0.2">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spans="1:26" ht="15.75" customHeight="1" x14ac:dyDescent="0.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spans="1:26" ht="15.75" customHeight="1" x14ac:dyDescent="0.2">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spans="1:26" ht="15.75" customHeight="1" x14ac:dyDescent="0.2">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spans="1:26" ht="15.75" customHeight="1" x14ac:dyDescent="0.2">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spans="1:26" ht="15.75" customHeight="1" x14ac:dyDescent="0.2">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spans="1:26" ht="15.75" customHeight="1" x14ac:dyDescent="0.2">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spans="1:26" ht="15.75" customHeight="1" x14ac:dyDescent="0.2">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spans="1:26" ht="15.75" customHeight="1" x14ac:dyDescent="0.2">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spans="1:26" ht="15.75" customHeight="1" x14ac:dyDescent="0.2">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spans="1:26" ht="15.75" customHeight="1" x14ac:dyDescent="0.2">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spans="1:26" ht="15.75" customHeight="1" x14ac:dyDescent="0.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spans="1:26" ht="15.75" customHeight="1" x14ac:dyDescent="0.2">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spans="1:26" ht="15.75" customHeight="1" x14ac:dyDescent="0.2">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spans="1:26" ht="15.75" customHeight="1" x14ac:dyDescent="0.2">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spans="1:26" ht="15.75" customHeight="1" x14ac:dyDescent="0.2">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spans="1:26" ht="15.75" customHeight="1" x14ac:dyDescent="0.2">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spans="1:26" ht="15.75" customHeight="1" x14ac:dyDescent="0.2">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spans="1:26" ht="15.75" customHeight="1" x14ac:dyDescent="0.2">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spans="1:26" ht="15.75" customHeight="1" x14ac:dyDescent="0.2">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spans="1:26" ht="15.75" customHeight="1" x14ac:dyDescent="0.2">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spans="1:26" ht="15.75" customHeight="1" x14ac:dyDescent="0.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spans="1:26" ht="15.75" customHeight="1" x14ac:dyDescent="0.2">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spans="1:26" ht="15.75" customHeight="1" x14ac:dyDescent="0.2">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spans="1:26" ht="15.75" customHeight="1" x14ac:dyDescent="0.2">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spans="1:26" ht="15.75" customHeight="1" x14ac:dyDescent="0.2">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spans="1:26" ht="15.75" customHeight="1" x14ac:dyDescent="0.2">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spans="1:26" ht="15.75" customHeight="1" x14ac:dyDescent="0.2">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spans="1:26" ht="15.75" customHeight="1" x14ac:dyDescent="0.2">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spans="1:26" ht="15.75" customHeight="1" x14ac:dyDescent="0.2">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spans="1:26" ht="15.75" customHeight="1" x14ac:dyDescent="0.2">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spans="1:26" ht="15.75" customHeight="1" x14ac:dyDescent="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spans="1:26" ht="15.75" customHeight="1" x14ac:dyDescent="0.2">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spans="1:26" ht="15.75" customHeight="1" x14ac:dyDescent="0.2">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spans="1:26" ht="15.75" customHeight="1" x14ac:dyDescent="0.2">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spans="1:26" ht="15.75" customHeight="1" x14ac:dyDescent="0.2">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spans="1:26" ht="15.75" customHeight="1" x14ac:dyDescent="0.2">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spans="1:26" ht="15.75" customHeight="1" x14ac:dyDescent="0.2">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spans="1:26" ht="15.75" customHeight="1" x14ac:dyDescent="0.2">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spans="1:26" ht="15.75" customHeight="1" x14ac:dyDescent="0.2">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spans="1:26" ht="15.75" customHeight="1" x14ac:dyDescent="0.2">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spans="1:26" ht="15.75" customHeight="1" x14ac:dyDescent="0.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spans="1:26" ht="15.75" customHeight="1" x14ac:dyDescent="0.2">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spans="1:26" ht="15.75" customHeight="1" x14ac:dyDescent="0.2">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spans="1:26" ht="15.75" customHeight="1" x14ac:dyDescent="0.2">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spans="1:26" ht="15.75" customHeight="1" x14ac:dyDescent="0.2">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spans="1:26" ht="15.75" customHeight="1" x14ac:dyDescent="0.2">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spans="1:26" ht="15.75" customHeight="1" x14ac:dyDescent="0.2">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spans="1:26" ht="15.75" customHeight="1" x14ac:dyDescent="0.2">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spans="1:26" ht="15.75" customHeight="1" x14ac:dyDescent="0.2">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spans="1:26" ht="15.75" customHeight="1" x14ac:dyDescent="0.2">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spans="1:26" ht="15.75" customHeight="1" x14ac:dyDescent="0.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spans="1:26" ht="15.75" customHeight="1" x14ac:dyDescent="0.2">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spans="1:26" ht="15.75" customHeight="1" x14ac:dyDescent="0.2">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spans="1:26" ht="15.75" customHeight="1" x14ac:dyDescent="0.2">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spans="1:26" ht="15.75" customHeight="1" x14ac:dyDescent="0.2">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spans="1:26" ht="15.75" customHeight="1" x14ac:dyDescent="0.2">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spans="1:26" ht="15.75" customHeight="1" x14ac:dyDescent="0.2">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spans="1:26" ht="15.75" customHeight="1" x14ac:dyDescent="0.2">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spans="1:26" ht="15.75" customHeight="1" x14ac:dyDescent="0.2">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spans="1:26" ht="15.75" customHeight="1" x14ac:dyDescent="0.2">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spans="1:26" ht="15.75" customHeight="1" x14ac:dyDescent="0.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spans="1:26" ht="15.75" customHeight="1" x14ac:dyDescent="0.2">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spans="1:26" ht="15.75" customHeight="1" x14ac:dyDescent="0.2">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spans="1:26" ht="15.75" customHeight="1" x14ac:dyDescent="0.2">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spans="1:26" ht="15.75" customHeight="1" x14ac:dyDescent="0.2">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spans="1:26" ht="15.75" customHeight="1" x14ac:dyDescent="0.2">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spans="1:26" ht="15.75" customHeight="1" x14ac:dyDescent="0.2">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spans="1:26" ht="15.75" customHeight="1" x14ac:dyDescent="0.2">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spans="1:26" ht="15.75" customHeight="1" x14ac:dyDescent="0.2">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spans="1:26" ht="15.75" customHeight="1" x14ac:dyDescent="0.2">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spans="1:26" ht="15.75" customHeight="1" x14ac:dyDescent="0.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spans="1:26" ht="15.75" customHeight="1" x14ac:dyDescent="0.2">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spans="1:26" ht="15.75" customHeight="1" x14ac:dyDescent="0.2">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spans="1:26" ht="15.75" customHeight="1" x14ac:dyDescent="0.2">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spans="1:26" ht="15.75" customHeight="1" x14ac:dyDescent="0.2">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spans="1:26" ht="15.75" customHeight="1" x14ac:dyDescent="0.2">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spans="1:26" ht="15.75" customHeight="1" x14ac:dyDescent="0.2">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spans="1:26" ht="15.75" customHeight="1" x14ac:dyDescent="0.2">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spans="1:26" ht="15.75" customHeight="1" x14ac:dyDescent="0.2">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spans="1:26" ht="15.75" customHeight="1" x14ac:dyDescent="0.2">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spans="1:26" ht="15.75" customHeight="1" x14ac:dyDescent="0.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spans="1:26" ht="15.75" customHeight="1" x14ac:dyDescent="0.2">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spans="1:26" ht="15.75" customHeight="1" x14ac:dyDescent="0.2">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spans="1:26" ht="15.75" customHeight="1" x14ac:dyDescent="0.2">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spans="1:26" ht="15.75" customHeight="1" x14ac:dyDescent="0.2">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spans="1:26" ht="15.75" customHeight="1" x14ac:dyDescent="0.2">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spans="1:26" ht="15.75" customHeight="1" x14ac:dyDescent="0.2">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spans="1:26" ht="15.75" customHeight="1" x14ac:dyDescent="0.2">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spans="1:26" ht="15.75" customHeight="1" x14ac:dyDescent="0.2">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spans="1:26" ht="15.75" customHeight="1" x14ac:dyDescent="0.2">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spans="1:26" ht="15.75" customHeight="1" x14ac:dyDescent="0.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spans="1:26" ht="15.75" customHeight="1" x14ac:dyDescent="0.2">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spans="1:26" ht="15.75" customHeight="1" x14ac:dyDescent="0.2">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spans="1:26" ht="15.75" customHeight="1" x14ac:dyDescent="0.2">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spans="1:26" ht="15.75" customHeight="1" x14ac:dyDescent="0.2">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spans="1:26" ht="15.75" customHeight="1" x14ac:dyDescent="0.2">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spans="1:26" ht="15.75" customHeight="1" x14ac:dyDescent="0.2">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spans="1:26" ht="15.75" customHeight="1" x14ac:dyDescent="0.2">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spans="1:26" ht="15.75" customHeight="1" x14ac:dyDescent="0.2">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spans="1:26" ht="15.75" customHeight="1" x14ac:dyDescent="0.2">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spans="1:26" ht="15.75" customHeight="1" x14ac:dyDescent="0.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spans="1:26" ht="15.75" customHeight="1" x14ac:dyDescent="0.2">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spans="1:26" ht="15.75" customHeight="1" x14ac:dyDescent="0.2">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spans="1:26" ht="15.75" customHeight="1" x14ac:dyDescent="0.2">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spans="1:26" ht="15.75" customHeight="1" x14ac:dyDescent="0.2">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spans="1:26" ht="15.75" customHeight="1" x14ac:dyDescent="0.2">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spans="1:26" ht="15.75" customHeight="1" x14ac:dyDescent="0.2">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spans="1:26" ht="15.75" customHeight="1" x14ac:dyDescent="0.2">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spans="1:26" ht="15.75" customHeight="1" x14ac:dyDescent="0.2">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spans="1:26" ht="15.75" customHeight="1" x14ac:dyDescent="0.2">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spans="1:26" ht="15.75" customHeight="1" x14ac:dyDescent="0.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spans="1:26" ht="15.75" customHeight="1" x14ac:dyDescent="0.2">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spans="1:26" ht="15.75" customHeight="1" x14ac:dyDescent="0.2">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spans="1:26" ht="15.75" customHeight="1" x14ac:dyDescent="0.2">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spans="1:26" ht="15.75" customHeight="1" x14ac:dyDescent="0.2">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spans="1:26" ht="15.75" customHeight="1" x14ac:dyDescent="0.2">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spans="1:26" ht="15.75" customHeight="1" x14ac:dyDescent="0.2">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spans="1:26" ht="15.75" customHeight="1" x14ac:dyDescent="0.2">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spans="1:26" ht="15.75" customHeight="1" x14ac:dyDescent="0.2">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spans="1:26" ht="15.75" customHeight="1" x14ac:dyDescent="0.2">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spans="1:26" ht="15.75" customHeight="1" x14ac:dyDescent="0.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spans="1:26" ht="15.75" customHeight="1" x14ac:dyDescent="0.2">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spans="1:26" ht="15.75" customHeight="1" x14ac:dyDescent="0.2">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spans="1:26" ht="15.75" customHeight="1" x14ac:dyDescent="0.2">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spans="1:26" ht="15.75" customHeight="1" x14ac:dyDescent="0.2">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spans="1:26" ht="15.75" customHeight="1" x14ac:dyDescent="0.2">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spans="1:26" ht="15.75" customHeight="1" x14ac:dyDescent="0.2">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spans="1:26" ht="15.75" customHeight="1" x14ac:dyDescent="0.2">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spans="1:26" ht="15.75" customHeight="1" x14ac:dyDescent="0.2">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spans="1:26" ht="15.75" customHeight="1" x14ac:dyDescent="0.2">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spans="1:26" ht="15.75" customHeight="1" x14ac:dyDescent="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spans="1:26" ht="15.75" customHeight="1" x14ac:dyDescent="0.2">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spans="1:26" ht="15.75" customHeight="1" x14ac:dyDescent="0.2">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spans="1:26" ht="15.75" customHeight="1" x14ac:dyDescent="0.2">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spans="1:26" ht="15.75" customHeight="1" x14ac:dyDescent="0.2">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spans="1:26" ht="15.75" customHeight="1" x14ac:dyDescent="0.2">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spans="1:26" ht="15.75" customHeight="1" x14ac:dyDescent="0.2">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spans="1:26" ht="15.75" customHeight="1" x14ac:dyDescent="0.2">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spans="1:26" ht="15.75" customHeight="1" x14ac:dyDescent="0.2">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spans="1:26" ht="15.75" customHeight="1" x14ac:dyDescent="0.2">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spans="1:26" ht="15.75" customHeight="1" x14ac:dyDescent="0.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spans="1:26" ht="15.75" customHeight="1" x14ac:dyDescent="0.2">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spans="1:26" ht="15.75" customHeight="1" x14ac:dyDescent="0.2">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spans="1:26" ht="15.75" customHeight="1" x14ac:dyDescent="0.2">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spans="1:26" ht="15.75" customHeight="1" x14ac:dyDescent="0.2">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spans="1:26" ht="15.75" customHeight="1" x14ac:dyDescent="0.2">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spans="1:26" ht="15.75" customHeight="1" x14ac:dyDescent="0.2">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spans="1:26" ht="15.75" customHeight="1" x14ac:dyDescent="0.2">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spans="1:26" ht="15.75" customHeight="1" x14ac:dyDescent="0.2">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spans="1:26" ht="15.75" customHeight="1" x14ac:dyDescent="0.2">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spans="1:26" ht="15.75" customHeight="1" x14ac:dyDescent="0.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spans="1:26" ht="15.75" customHeight="1" x14ac:dyDescent="0.2">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spans="1:26" ht="15.75" customHeight="1" x14ac:dyDescent="0.2">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spans="1:26" ht="15.75" customHeight="1" x14ac:dyDescent="0.2">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spans="1:26" ht="15.75" customHeight="1" x14ac:dyDescent="0.2">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spans="1:26" ht="15.75" customHeight="1" x14ac:dyDescent="0.2">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spans="1:26" ht="15.75" customHeight="1" x14ac:dyDescent="0.2">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spans="1:26" ht="15.75" customHeight="1" x14ac:dyDescent="0.2">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spans="1:26" ht="15.75" customHeight="1" x14ac:dyDescent="0.2">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spans="1:26" ht="15.75" customHeight="1" x14ac:dyDescent="0.2">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spans="1:26" ht="15.75" customHeight="1" x14ac:dyDescent="0.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spans="1:26" ht="15.75" customHeight="1" x14ac:dyDescent="0.2">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spans="1:26" ht="15.75" customHeight="1" x14ac:dyDescent="0.2">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spans="1:26" ht="15.75" customHeight="1" x14ac:dyDescent="0.2">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spans="1:26" ht="15.75" customHeight="1" x14ac:dyDescent="0.2">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spans="1:26" ht="15.75" customHeight="1" x14ac:dyDescent="0.2">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spans="1:26" ht="15.75" customHeight="1" x14ac:dyDescent="0.2">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spans="1:26" ht="15.75" customHeight="1" x14ac:dyDescent="0.2">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spans="1:26" ht="15.75" customHeight="1" x14ac:dyDescent="0.2">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spans="1:26" ht="15.75" customHeight="1" x14ac:dyDescent="0.2">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spans="1:26" ht="15.75" customHeight="1" x14ac:dyDescent="0.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spans="1:26" ht="15.75" customHeight="1" x14ac:dyDescent="0.2">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spans="1:26" ht="15.75" customHeight="1" x14ac:dyDescent="0.2">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spans="1:26" ht="15.75" customHeight="1" x14ac:dyDescent="0.2">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spans="1:26" ht="15.75" customHeight="1" x14ac:dyDescent="0.2">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spans="1:26" ht="15.75" customHeight="1" x14ac:dyDescent="0.2">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spans="1:26" ht="15.75" customHeight="1" x14ac:dyDescent="0.2">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spans="1:26" ht="15.75" customHeight="1" x14ac:dyDescent="0.2">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spans="1:26" ht="15.75" customHeight="1" x14ac:dyDescent="0.2">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spans="1:26" ht="15.75" customHeight="1" x14ac:dyDescent="0.2">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spans="1:26" ht="15.75" customHeight="1" x14ac:dyDescent="0.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spans="1:26" ht="15.75" customHeight="1" x14ac:dyDescent="0.2">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spans="1:26" ht="15.75" customHeight="1" x14ac:dyDescent="0.2">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spans="1:26" ht="15.75" customHeight="1" x14ac:dyDescent="0.2">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spans="1:26" ht="15.75" customHeight="1" x14ac:dyDescent="0.2">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spans="1:26" ht="15.75" customHeight="1" x14ac:dyDescent="0.2">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spans="1:26" ht="15.75" customHeight="1" x14ac:dyDescent="0.2">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spans="1:26" ht="15.75" customHeight="1" x14ac:dyDescent="0.2">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spans="1:26" ht="15.75" customHeight="1" x14ac:dyDescent="0.2">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spans="1:26" ht="15.75" customHeight="1" x14ac:dyDescent="0.2">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spans="1:26" ht="15.75" customHeight="1" x14ac:dyDescent="0.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spans="1:26" ht="15.75" customHeight="1" x14ac:dyDescent="0.2">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spans="1:26" ht="15.75" customHeight="1" x14ac:dyDescent="0.2">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spans="1:26" ht="15.75" customHeight="1" x14ac:dyDescent="0.2">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spans="1:26" ht="15.75" customHeight="1" x14ac:dyDescent="0.2">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spans="1:26" ht="15.75" customHeight="1" x14ac:dyDescent="0.2">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spans="1:26" ht="15.75" customHeight="1" x14ac:dyDescent="0.2">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spans="1:26" ht="15.75" customHeight="1" x14ac:dyDescent="0.2">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spans="1:26" ht="15.75" customHeight="1" x14ac:dyDescent="0.2">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spans="1:26" ht="15.75" customHeight="1" x14ac:dyDescent="0.2">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spans="1:26" ht="15.75" customHeight="1" x14ac:dyDescent="0.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spans="1:26" ht="15.75" customHeight="1" x14ac:dyDescent="0.2">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spans="1:26" ht="15.75" customHeight="1" x14ac:dyDescent="0.2">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spans="1:26" ht="15.75" customHeight="1" x14ac:dyDescent="0.2">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spans="1:26" ht="15.75" customHeight="1" x14ac:dyDescent="0.2">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spans="1:26" ht="15.75" customHeight="1" x14ac:dyDescent="0.2">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spans="1:26" ht="15.75" customHeight="1" x14ac:dyDescent="0.2">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spans="1:26" ht="15.75" customHeight="1" x14ac:dyDescent="0.2">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spans="1:26" ht="15.75" customHeight="1" x14ac:dyDescent="0.2">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spans="1:26" ht="15.75" customHeight="1" x14ac:dyDescent="0.2">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spans="1:26" ht="15.75" customHeight="1" x14ac:dyDescent="0.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spans="1:26" ht="15.75" customHeight="1" x14ac:dyDescent="0.2">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spans="1:26" ht="15.75" customHeight="1" x14ac:dyDescent="0.2">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spans="1:26" ht="15.75" customHeight="1" x14ac:dyDescent="0.2">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spans="1:26" ht="15.75" customHeight="1" x14ac:dyDescent="0.2">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spans="1:26" ht="15.75" customHeight="1" x14ac:dyDescent="0.2">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spans="1:26" ht="15.75" customHeight="1" x14ac:dyDescent="0.2">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spans="1:26" ht="15.75" customHeight="1" x14ac:dyDescent="0.2">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spans="1:26" ht="15.75" customHeight="1" x14ac:dyDescent="0.2">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spans="1:26" ht="15.75" customHeight="1" x14ac:dyDescent="0.2">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spans="1:26" ht="15.75" customHeight="1" x14ac:dyDescent="0.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spans="1:26" ht="15.75" customHeight="1" x14ac:dyDescent="0.2">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spans="1:26" ht="15.75" customHeight="1" x14ac:dyDescent="0.2">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spans="1:26" ht="15.75" customHeight="1" x14ac:dyDescent="0.2">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spans="1:26" ht="15.75" customHeight="1" x14ac:dyDescent="0.2">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spans="1:26" ht="15.75" customHeight="1" x14ac:dyDescent="0.2">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spans="1:26" ht="15.75" customHeight="1" x14ac:dyDescent="0.2">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spans="1:26" ht="15.75" customHeight="1" x14ac:dyDescent="0.2">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spans="1:26" ht="15.75" customHeight="1" x14ac:dyDescent="0.2">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spans="1:26" ht="15.75" customHeight="1" x14ac:dyDescent="0.2">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spans="1:26" ht="15.75" customHeight="1" x14ac:dyDescent="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spans="1:26" ht="15.75" customHeight="1" x14ac:dyDescent="0.2">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spans="1:26" ht="15.75" customHeight="1" x14ac:dyDescent="0.2">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spans="1:26" ht="15.75" customHeight="1" x14ac:dyDescent="0.2">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spans="1:26" ht="15.75" customHeight="1" x14ac:dyDescent="0.2">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spans="1:26" ht="15.75" customHeight="1" x14ac:dyDescent="0.2">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spans="1:26" ht="15.75" customHeight="1" x14ac:dyDescent="0.2">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spans="1:26" ht="15.75" customHeight="1" x14ac:dyDescent="0.2">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spans="1:26" ht="15.75" customHeight="1" x14ac:dyDescent="0.2">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spans="1:26" ht="15.75" customHeight="1" x14ac:dyDescent="0.2">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spans="1:26" ht="15.75" customHeight="1" x14ac:dyDescent="0.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spans="1:26" ht="15.75" customHeight="1" x14ac:dyDescent="0.2">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spans="1:26" ht="15.75" customHeight="1" x14ac:dyDescent="0.2">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spans="1:26" ht="15.75" customHeight="1" x14ac:dyDescent="0.2">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spans="1:26" ht="15.75" customHeight="1" x14ac:dyDescent="0.2">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spans="1:26" ht="15.75" customHeight="1" x14ac:dyDescent="0.2">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spans="1:26" ht="15.75" customHeight="1" x14ac:dyDescent="0.2">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spans="1:26" ht="15.75" customHeight="1" x14ac:dyDescent="0.2">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spans="1:26" ht="15.75" customHeight="1" x14ac:dyDescent="0.2">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spans="1:26" ht="15.75" customHeight="1" x14ac:dyDescent="0.2">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spans="1:26" ht="15.75" customHeight="1" x14ac:dyDescent="0.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spans="1:26" ht="15.75" customHeight="1" x14ac:dyDescent="0.2">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spans="1:26" ht="15.75" customHeight="1" x14ac:dyDescent="0.2">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spans="1:26" ht="15.75" customHeight="1" x14ac:dyDescent="0.2">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spans="1:26" ht="15.75" customHeight="1" x14ac:dyDescent="0.2">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spans="1:26" ht="15.75" customHeight="1" x14ac:dyDescent="0.2">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spans="1:26" ht="15.75" customHeight="1" x14ac:dyDescent="0.2">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spans="1:26" ht="15.75" customHeight="1" x14ac:dyDescent="0.2">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spans="1:26" ht="15.75" customHeight="1" x14ac:dyDescent="0.2">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spans="1:26" ht="15.75" customHeight="1" x14ac:dyDescent="0.2">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spans="1:26" ht="15.75" customHeight="1" x14ac:dyDescent="0.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spans="1:26" ht="15.75" customHeight="1" x14ac:dyDescent="0.2">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spans="1:26" ht="15.75" customHeight="1" x14ac:dyDescent="0.2">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spans="1:26" ht="15.75" customHeight="1" x14ac:dyDescent="0.2">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spans="1:26" ht="15.75" customHeight="1" x14ac:dyDescent="0.2">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spans="1:26" ht="15.75" customHeight="1" x14ac:dyDescent="0.2">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spans="1:26" ht="15.75" customHeight="1" x14ac:dyDescent="0.2">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spans="1:26" ht="15.75" customHeight="1" x14ac:dyDescent="0.2">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spans="1:26" ht="15.75" customHeight="1" x14ac:dyDescent="0.2">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spans="1:26" ht="15.75" customHeight="1" x14ac:dyDescent="0.2">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spans="1:26" ht="15.75" customHeight="1" x14ac:dyDescent="0.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spans="1:26" ht="15.75" customHeight="1" x14ac:dyDescent="0.2">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spans="1:26" ht="15.75" customHeight="1" x14ac:dyDescent="0.2">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spans="1:26" ht="15.75" customHeight="1" x14ac:dyDescent="0.2">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spans="1:26" ht="15.75" customHeight="1" x14ac:dyDescent="0.2">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spans="1:26" ht="15.75" customHeight="1" x14ac:dyDescent="0.2">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spans="1:26" ht="15.75" customHeight="1" x14ac:dyDescent="0.2">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spans="1:26" ht="15.75" customHeight="1" x14ac:dyDescent="0.2">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spans="1:26" ht="15.75" customHeight="1" x14ac:dyDescent="0.2">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spans="1:26" ht="15.75" customHeight="1" x14ac:dyDescent="0.2">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spans="1:26" ht="15.75" customHeight="1" x14ac:dyDescent="0.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spans="1:26" ht="15.75" customHeight="1" x14ac:dyDescent="0.2">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spans="1:26" ht="15.75" customHeight="1" x14ac:dyDescent="0.2">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spans="1:26" ht="15.75" customHeight="1" x14ac:dyDescent="0.2">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spans="1:26" ht="15.75" customHeight="1" x14ac:dyDescent="0.2">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spans="1:26" ht="15.75" customHeight="1" x14ac:dyDescent="0.2">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spans="1:26" ht="15.75" customHeight="1" x14ac:dyDescent="0.2">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spans="1:26" ht="15.75" customHeight="1" x14ac:dyDescent="0.2">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spans="1:26" ht="15.75" customHeight="1" x14ac:dyDescent="0.2">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spans="1:26" ht="15.75" customHeight="1" x14ac:dyDescent="0.2">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spans="1:26" ht="15.75" customHeight="1" x14ac:dyDescent="0.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spans="1:26" ht="15.75" customHeight="1" x14ac:dyDescent="0.2">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spans="1:26" ht="15.75" customHeight="1" x14ac:dyDescent="0.2">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spans="1:26" ht="15.75" customHeight="1" x14ac:dyDescent="0.2">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spans="1:26" ht="15.75" customHeight="1" x14ac:dyDescent="0.2">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spans="1:26" ht="15.75" customHeight="1" x14ac:dyDescent="0.2">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spans="1:26" ht="15.75" customHeight="1" x14ac:dyDescent="0.2">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spans="1:26" ht="15.75" customHeight="1" x14ac:dyDescent="0.2">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spans="1:26" ht="15.75" customHeight="1" x14ac:dyDescent="0.2">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spans="1:26" ht="15.75" customHeight="1" x14ac:dyDescent="0.2">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spans="1:26" ht="15.75" customHeight="1" x14ac:dyDescent="0.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spans="1:26" ht="15.75" customHeight="1" x14ac:dyDescent="0.2">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spans="1:26" ht="15.75" customHeight="1" x14ac:dyDescent="0.2">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spans="1:26" ht="15.75" customHeight="1" x14ac:dyDescent="0.2">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spans="1:26" ht="15.75" customHeight="1" x14ac:dyDescent="0.2">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spans="1:26" ht="15.75" customHeight="1" x14ac:dyDescent="0.2">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spans="1:26" ht="15.75" customHeight="1" x14ac:dyDescent="0.2">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spans="1:26" ht="15.75" customHeight="1" x14ac:dyDescent="0.2">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spans="1:26" ht="15.75" customHeight="1" x14ac:dyDescent="0.2">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spans="1:26" ht="15.75" customHeight="1" x14ac:dyDescent="0.2">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spans="1:26" ht="15.75" customHeight="1" x14ac:dyDescent="0.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spans="1:26" ht="15.75" customHeight="1" x14ac:dyDescent="0.2">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spans="1:26" ht="15.75" customHeight="1" x14ac:dyDescent="0.2">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spans="1:26" ht="15.75" customHeight="1" x14ac:dyDescent="0.2">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spans="1:26" ht="15.75" customHeight="1" x14ac:dyDescent="0.2">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spans="1:26" ht="15.75" customHeight="1" x14ac:dyDescent="0.2">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spans="1:26" ht="15.75" customHeight="1" x14ac:dyDescent="0.2">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spans="1:26" ht="15.75" customHeight="1" x14ac:dyDescent="0.2">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spans="1:26" ht="15.75" customHeight="1" x14ac:dyDescent="0.2">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spans="1:26" ht="15.75" customHeight="1" x14ac:dyDescent="0.2">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spans="1:26" ht="15.75" customHeight="1" x14ac:dyDescent="0.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spans="1:26" ht="15.75" customHeight="1" x14ac:dyDescent="0.2">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spans="1:26" ht="15.75" customHeight="1" x14ac:dyDescent="0.2">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spans="1:26" ht="15.75" customHeight="1" x14ac:dyDescent="0.2">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spans="1:26" ht="15.75" customHeight="1" x14ac:dyDescent="0.2">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spans="1:26" ht="15.75" customHeight="1" x14ac:dyDescent="0.2">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spans="1:26" ht="15.75" customHeight="1" x14ac:dyDescent="0.2">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spans="1:26" ht="15.75" customHeight="1" x14ac:dyDescent="0.2">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spans="1:26" ht="15.75" customHeight="1" x14ac:dyDescent="0.2">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spans="1:26" ht="15.75" customHeight="1" x14ac:dyDescent="0.2">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spans="1:26" ht="15.75" customHeight="1" x14ac:dyDescent="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spans="1:26" ht="15.75" customHeight="1" x14ac:dyDescent="0.2">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spans="1:26" ht="15.75" customHeight="1" x14ac:dyDescent="0.2">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spans="1:26" ht="15.75" customHeight="1" x14ac:dyDescent="0.2">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spans="1:26" ht="15.75" customHeight="1" x14ac:dyDescent="0.2">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spans="1:26" ht="15.75" customHeight="1" x14ac:dyDescent="0.2">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spans="1:26" ht="15.75" customHeight="1" x14ac:dyDescent="0.2">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spans="1:26" ht="15.75" customHeight="1" x14ac:dyDescent="0.2">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spans="1:26" ht="15.75" customHeight="1" x14ac:dyDescent="0.2">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spans="1:26" ht="15.75" customHeight="1" x14ac:dyDescent="0.2">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spans="1:26" ht="15.75" customHeight="1" x14ac:dyDescent="0.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spans="1:26" ht="15.75" customHeight="1" x14ac:dyDescent="0.2">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spans="1:26" ht="15.75" customHeight="1" x14ac:dyDescent="0.2">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spans="1:26" ht="15.75" customHeight="1" x14ac:dyDescent="0.2">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spans="1:26" ht="15.75" customHeight="1" x14ac:dyDescent="0.2">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spans="1:26" ht="15.75" customHeight="1" x14ac:dyDescent="0.2">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spans="1:26" ht="15.75" customHeight="1" x14ac:dyDescent="0.2">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spans="1:26" ht="15.75" customHeight="1" x14ac:dyDescent="0.2">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spans="1:26" ht="15.75" customHeight="1" x14ac:dyDescent="0.2">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spans="1:26" ht="15.75" customHeight="1" x14ac:dyDescent="0.2">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spans="1:26" ht="15.75" customHeight="1" x14ac:dyDescent="0.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spans="1:26" ht="15.75" customHeight="1" x14ac:dyDescent="0.2">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spans="1:26" ht="15.75" customHeight="1" x14ac:dyDescent="0.2">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spans="1:26" ht="15.75" customHeight="1" x14ac:dyDescent="0.2">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spans="1:26" ht="15.75" customHeight="1" x14ac:dyDescent="0.2">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spans="1:26" ht="15.75" customHeight="1" x14ac:dyDescent="0.2">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spans="1:26" ht="15.75" customHeight="1" x14ac:dyDescent="0.2">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spans="1:26" ht="15.75" customHeight="1" x14ac:dyDescent="0.2">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spans="1:26" ht="15.75" customHeight="1" x14ac:dyDescent="0.2">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spans="1:26" ht="15.75" customHeight="1" x14ac:dyDescent="0.2">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spans="1:26" ht="15.75" customHeight="1" x14ac:dyDescent="0.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spans="1:26" ht="15.75" customHeight="1" x14ac:dyDescent="0.2">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spans="1:26" ht="15.75" customHeight="1" x14ac:dyDescent="0.2">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spans="1:26" ht="15.75" customHeight="1" x14ac:dyDescent="0.2">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spans="1:26" ht="15.75" customHeight="1" x14ac:dyDescent="0.2">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spans="1:26" ht="15.75" customHeight="1" x14ac:dyDescent="0.2">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spans="1:26" ht="15.75" customHeight="1" x14ac:dyDescent="0.2">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spans="1:26" ht="15.75" customHeight="1" x14ac:dyDescent="0.2">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spans="1:26" ht="15.75" customHeight="1" x14ac:dyDescent="0.2">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spans="1:26" ht="15.75" customHeight="1" x14ac:dyDescent="0.2">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spans="1:26" ht="15.75" customHeight="1" x14ac:dyDescent="0.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spans="1:26" ht="15.75" customHeight="1" x14ac:dyDescent="0.2">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spans="1:26" ht="15.75" customHeight="1" x14ac:dyDescent="0.2">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spans="1:26" ht="15.75" customHeight="1" x14ac:dyDescent="0.2">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spans="1:26" ht="15.75" customHeight="1" x14ac:dyDescent="0.2">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spans="1:26" ht="15.75" customHeight="1" x14ac:dyDescent="0.2">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spans="1:26" ht="15.75" customHeight="1" x14ac:dyDescent="0.2">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spans="1:26" ht="15.75" customHeight="1" x14ac:dyDescent="0.2">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spans="1:26" ht="15.75" customHeight="1" x14ac:dyDescent="0.2">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spans="1:26" ht="15.75" customHeight="1" x14ac:dyDescent="0.2">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spans="1:26" ht="15.75" customHeight="1" x14ac:dyDescent="0.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spans="1:26" ht="15.75" customHeight="1" x14ac:dyDescent="0.2">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spans="1:26" ht="15.75" customHeight="1" x14ac:dyDescent="0.2">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spans="1:26" ht="15.75" customHeight="1" x14ac:dyDescent="0.2">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spans="1:26" ht="15.75" customHeight="1" x14ac:dyDescent="0.2">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spans="1:26" ht="15.75" customHeight="1" x14ac:dyDescent="0.2">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spans="1:26" ht="15.75" customHeight="1" x14ac:dyDescent="0.2">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spans="1:26" ht="15.75" customHeight="1" x14ac:dyDescent="0.2">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spans="1:26" ht="15.75" customHeight="1" x14ac:dyDescent="0.2">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spans="1:26" ht="15.75" customHeight="1" x14ac:dyDescent="0.2">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spans="1:26" ht="15.75" customHeight="1" x14ac:dyDescent="0.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spans="1:26" ht="15.75" customHeight="1" x14ac:dyDescent="0.2">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spans="1:26" ht="15.75" customHeight="1" x14ac:dyDescent="0.2">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spans="1:26" ht="15.75" customHeight="1" x14ac:dyDescent="0.2">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spans="1:26" ht="15.75" customHeight="1" x14ac:dyDescent="0.2">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spans="1:26" ht="15.75" customHeight="1" x14ac:dyDescent="0.2">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spans="1:26" ht="15.75" customHeight="1" x14ac:dyDescent="0.2">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spans="1:26" ht="15.75" customHeight="1" x14ac:dyDescent="0.2">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spans="1:26" ht="15.75" customHeight="1" x14ac:dyDescent="0.2">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spans="1:26" ht="15.75" customHeight="1" x14ac:dyDescent="0.2">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spans="1:26" ht="15.75" customHeight="1" x14ac:dyDescent="0.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spans="1:26" ht="15.75" customHeight="1" x14ac:dyDescent="0.2">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spans="1:26" ht="15.75" customHeight="1" x14ac:dyDescent="0.2">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spans="1:26" ht="15.75" customHeight="1" x14ac:dyDescent="0.2">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spans="1:26" ht="15.75" customHeight="1" x14ac:dyDescent="0.2">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spans="1:26" ht="15.75" customHeight="1" x14ac:dyDescent="0.2">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spans="1:26" ht="15.75" customHeight="1" x14ac:dyDescent="0.2">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spans="1:26" ht="15.75" customHeight="1" x14ac:dyDescent="0.2">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spans="1:26" ht="15.75" customHeight="1" x14ac:dyDescent="0.2">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spans="1:26" ht="15.75" customHeight="1" x14ac:dyDescent="0.2">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spans="1:26" ht="15.75" customHeight="1" x14ac:dyDescent="0.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spans="1:26" ht="15.75" customHeight="1" x14ac:dyDescent="0.2">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spans="1:26" ht="15.75" customHeight="1" x14ac:dyDescent="0.2">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spans="1:26" ht="15.75" customHeight="1" x14ac:dyDescent="0.2">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spans="1:26" ht="15.75" customHeight="1" x14ac:dyDescent="0.2">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spans="1:26" ht="15.75" customHeight="1" x14ac:dyDescent="0.2">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spans="1:26" ht="15.75" customHeight="1" x14ac:dyDescent="0.2">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spans="1:26" ht="15.75" customHeight="1" x14ac:dyDescent="0.2">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spans="1:26" ht="15.75" customHeight="1" x14ac:dyDescent="0.2">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spans="1:26" ht="15.75" customHeight="1" x14ac:dyDescent="0.2">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spans="1:26" ht="15.75" customHeight="1" x14ac:dyDescent="0.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spans="1:26" ht="15.75" customHeight="1" x14ac:dyDescent="0.2">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spans="1:26" ht="15.75" customHeight="1" x14ac:dyDescent="0.2">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spans="1:26" ht="15.75" customHeight="1" x14ac:dyDescent="0.2">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spans="1:26" ht="15.75" customHeight="1" x14ac:dyDescent="0.2">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spans="1:26" ht="15.75" customHeight="1" x14ac:dyDescent="0.2">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spans="1:26" ht="15.75" customHeight="1" x14ac:dyDescent="0.2">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spans="1:26" ht="15.75" customHeight="1" x14ac:dyDescent="0.2">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spans="1:26" ht="15.75" customHeight="1" x14ac:dyDescent="0.2">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spans="1:26" ht="15.75" customHeight="1" x14ac:dyDescent="0.2">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spans="1:26" ht="15.75" customHeight="1" x14ac:dyDescent="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spans="1:26" ht="15.75" customHeight="1" x14ac:dyDescent="0.2">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spans="1:26" ht="15.75" customHeight="1" x14ac:dyDescent="0.2">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spans="1:26" ht="15.75" customHeight="1" x14ac:dyDescent="0.2">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spans="1:26" ht="15.75" customHeight="1" x14ac:dyDescent="0.2">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spans="1:26" ht="15.75" customHeight="1" x14ac:dyDescent="0.2">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spans="1:26" ht="15.75" customHeight="1" x14ac:dyDescent="0.2">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spans="1:26" ht="15.75" customHeight="1" x14ac:dyDescent="0.2">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spans="1:26" ht="15.75" customHeight="1" x14ac:dyDescent="0.2">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spans="1:26" ht="15.75" customHeight="1" x14ac:dyDescent="0.2">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spans="1:26" ht="15.75" customHeight="1" x14ac:dyDescent="0.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spans="1:26" ht="15.75" customHeight="1" x14ac:dyDescent="0.2">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spans="1:26" ht="15.75" customHeight="1" x14ac:dyDescent="0.2">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spans="1:26" ht="15.75" customHeight="1" x14ac:dyDescent="0.2">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spans="1:26" ht="15.75" customHeight="1" x14ac:dyDescent="0.2">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spans="1:26" ht="15.75" customHeight="1" x14ac:dyDescent="0.2">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spans="1:26" ht="15.75" customHeight="1" x14ac:dyDescent="0.2">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spans="1:26" ht="15.75" customHeight="1" x14ac:dyDescent="0.2">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spans="1:26" ht="15.75" customHeight="1" x14ac:dyDescent="0.2">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spans="1:26" ht="15.75" customHeight="1" x14ac:dyDescent="0.2">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spans="1:26" ht="15.75" customHeight="1" x14ac:dyDescent="0.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spans="1:26" ht="15.75" customHeight="1" x14ac:dyDescent="0.2">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spans="1:26" ht="15.75" customHeight="1" x14ac:dyDescent="0.2">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spans="1:26" ht="15.75" customHeight="1" x14ac:dyDescent="0.2">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spans="1:26" ht="15.75" customHeight="1" x14ac:dyDescent="0.2">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spans="1:26" ht="15.75" customHeight="1" x14ac:dyDescent="0.2">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spans="1:26" ht="15.75" customHeight="1" x14ac:dyDescent="0.2">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spans="1:26" ht="15.75" customHeight="1" x14ac:dyDescent="0.2">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spans="1:26" ht="15.75" customHeight="1" x14ac:dyDescent="0.2">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spans="1:26" ht="15.75" customHeight="1" x14ac:dyDescent="0.2">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spans="1:26" ht="15.75" customHeight="1" x14ac:dyDescent="0.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spans="1:26" ht="15.75" customHeight="1" x14ac:dyDescent="0.2">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spans="1:26" ht="15.75" customHeight="1" x14ac:dyDescent="0.2">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spans="1:26" ht="15.75" customHeight="1" x14ac:dyDescent="0.2">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spans="1:26" ht="15.75" customHeight="1" x14ac:dyDescent="0.2">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spans="1:26" ht="15.75" customHeight="1" x14ac:dyDescent="0.2">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spans="1:26" ht="15.75" customHeight="1" x14ac:dyDescent="0.2">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spans="1:26" ht="15.75" customHeight="1" x14ac:dyDescent="0.2">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spans="1:26" ht="15.75" customHeight="1" x14ac:dyDescent="0.2">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spans="1:26" ht="15.75" customHeight="1" x14ac:dyDescent="0.2">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spans="1:26" ht="15.75" customHeight="1" x14ac:dyDescent="0.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spans="1:26" ht="15.75" customHeight="1" x14ac:dyDescent="0.2">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spans="1:26" ht="15.75" customHeight="1" x14ac:dyDescent="0.2">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spans="1:26" ht="15.75" customHeight="1" x14ac:dyDescent="0.2">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spans="1:26" ht="15.75" customHeight="1" x14ac:dyDescent="0.2">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spans="1:26" ht="15.75" customHeight="1" x14ac:dyDescent="0.2">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spans="1:26" ht="15.75" customHeight="1" x14ac:dyDescent="0.2">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spans="1:26" ht="15.75" customHeight="1" x14ac:dyDescent="0.2">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spans="1:26" ht="15.75" customHeight="1" x14ac:dyDescent="0.2">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spans="1:26" ht="15.75" customHeight="1" x14ac:dyDescent="0.2">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spans="1:26" ht="15.75" customHeight="1" x14ac:dyDescent="0.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spans="1:26" ht="15.75" customHeight="1" x14ac:dyDescent="0.2">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spans="1:26" ht="15.75" customHeight="1" x14ac:dyDescent="0.2">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spans="1:26" ht="15.75" customHeight="1" x14ac:dyDescent="0.2">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spans="1:26" ht="15.75" customHeight="1" x14ac:dyDescent="0.2">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spans="1:26" ht="15.75" customHeight="1" x14ac:dyDescent="0.2">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spans="1:26" ht="15.75" customHeight="1" x14ac:dyDescent="0.2">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spans="1:26" ht="15.75" customHeight="1" x14ac:dyDescent="0.2">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spans="1:26" ht="15.75" customHeight="1" x14ac:dyDescent="0.2">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spans="1:26" ht="15.75" customHeight="1" x14ac:dyDescent="0.2">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spans="1:26" ht="15.75" customHeight="1" x14ac:dyDescent="0.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spans="1:26" ht="15.75" customHeight="1" x14ac:dyDescent="0.2">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spans="1:26" ht="15.75" customHeight="1" x14ac:dyDescent="0.2">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spans="1:26" ht="15.75" customHeight="1" x14ac:dyDescent="0.2">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spans="1:26" ht="15.75" customHeight="1" x14ac:dyDescent="0.2">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spans="1:26" ht="15.75" customHeight="1" x14ac:dyDescent="0.2">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spans="1:26" ht="15.75" customHeight="1" x14ac:dyDescent="0.2">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spans="1:26" ht="15.75" customHeight="1" x14ac:dyDescent="0.2">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spans="1:26" ht="15.75" customHeight="1" x14ac:dyDescent="0.2">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spans="1:26" ht="15.75" customHeight="1" x14ac:dyDescent="0.2">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spans="1:26" ht="15.75" customHeight="1" x14ac:dyDescent="0.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spans="1:26" ht="15.75" customHeight="1" x14ac:dyDescent="0.2">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spans="1:26" ht="15.75" customHeight="1" x14ac:dyDescent="0.2">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spans="1:26" ht="15.75" customHeight="1" x14ac:dyDescent="0.2">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spans="1:26" ht="15.75" customHeight="1" x14ac:dyDescent="0.2">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spans="1:26" ht="15.75" customHeight="1" x14ac:dyDescent="0.2">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spans="1:26" ht="15.75" customHeight="1" x14ac:dyDescent="0.2">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spans="1:26" ht="15.75" customHeight="1" x14ac:dyDescent="0.2">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spans="1:26" ht="15.75" customHeight="1" x14ac:dyDescent="0.2">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spans="1:26" ht="15.75" customHeight="1" x14ac:dyDescent="0.2">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spans="1:26" ht="15.75" customHeight="1" x14ac:dyDescent="0.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spans="1:26" ht="15.75" customHeight="1" x14ac:dyDescent="0.2">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spans="1:26" ht="15.75" customHeight="1" x14ac:dyDescent="0.2">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spans="1:26" ht="15.75" customHeight="1" x14ac:dyDescent="0.2">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spans="1:26" ht="15.75" customHeight="1" x14ac:dyDescent="0.2">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spans="1:26" ht="15.75" customHeight="1" x14ac:dyDescent="0.2">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spans="1:26" ht="15.75" customHeight="1" x14ac:dyDescent="0.2">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spans="1:26" ht="15.75" customHeight="1" x14ac:dyDescent="0.2">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spans="1:26" ht="15.75" customHeight="1" x14ac:dyDescent="0.2">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spans="1:26" ht="15.75" customHeight="1" x14ac:dyDescent="0.2">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spans="1:26" ht="15.75" customHeight="1" x14ac:dyDescent="0.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spans="1:26" ht="15.75" customHeight="1" x14ac:dyDescent="0.2">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spans="1:26" ht="15.75" customHeight="1" x14ac:dyDescent="0.2">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spans="1:26" ht="15.75" customHeight="1" x14ac:dyDescent="0.2">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spans="1:26" ht="15.75" customHeight="1" x14ac:dyDescent="0.2">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spans="1:26" ht="15.75" customHeight="1" x14ac:dyDescent="0.2">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spans="1:26" ht="15.75" customHeight="1" x14ac:dyDescent="0.2">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spans="1:26" ht="15.75" customHeight="1" x14ac:dyDescent="0.2">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spans="1:26" ht="15.75" customHeight="1" x14ac:dyDescent="0.2">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spans="1:26" ht="15.75" customHeight="1" x14ac:dyDescent="0.2">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spans="1:26" ht="15.75" customHeight="1" x14ac:dyDescent="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spans="1:26" ht="15.75" customHeight="1" x14ac:dyDescent="0.2">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spans="1:26" ht="15.75" customHeight="1" x14ac:dyDescent="0.2">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spans="1:26" ht="15.75" customHeight="1" x14ac:dyDescent="0.2">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spans="1:26" ht="15.75" customHeight="1" x14ac:dyDescent="0.2">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spans="1:26" ht="15.75" customHeight="1" x14ac:dyDescent="0.2">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spans="1:26" ht="15.75" customHeight="1" x14ac:dyDescent="0.2">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spans="1:26" ht="15.75" customHeight="1" x14ac:dyDescent="0.2">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spans="1:26" ht="15.75" customHeight="1" x14ac:dyDescent="0.2">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spans="1:26" ht="15.75" customHeight="1" x14ac:dyDescent="0.2">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spans="1:26" ht="15.75" customHeight="1" x14ac:dyDescent="0.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spans="1:26" ht="15.75" customHeight="1" x14ac:dyDescent="0.2">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spans="1:26" ht="15.75" customHeight="1" x14ac:dyDescent="0.2">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spans="1:26" ht="15.75" customHeight="1" x14ac:dyDescent="0.2">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spans="1:26" ht="15.75" customHeight="1" x14ac:dyDescent="0.2">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spans="1:26" ht="15.75" customHeight="1" x14ac:dyDescent="0.2">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spans="1:26" ht="15.75" customHeight="1" x14ac:dyDescent="0.2">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spans="1:26" ht="15.75" customHeight="1" x14ac:dyDescent="0.2">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spans="1:26" ht="15.75" customHeight="1" x14ac:dyDescent="0.2">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spans="1:26" ht="15.75" customHeight="1" x14ac:dyDescent="0.2">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spans="1:26" ht="15.75" customHeight="1" x14ac:dyDescent="0.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spans="1:26" ht="15.75" customHeight="1" x14ac:dyDescent="0.2">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spans="1:26" ht="15.75" customHeight="1" x14ac:dyDescent="0.2">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spans="1:26" ht="15.75" customHeight="1" x14ac:dyDescent="0.2">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spans="1:26" ht="15.75" customHeight="1" x14ac:dyDescent="0.2">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spans="1:26" ht="15.75" customHeight="1" x14ac:dyDescent="0.2">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spans="1:26" ht="15.75" customHeight="1" x14ac:dyDescent="0.2">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spans="1:26" ht="15.75" customHeight="1" x14ac:dyDescent="0.2">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spans="1:26" ht="15.75" customHeight="1" x14ac:dyDescent="0.2">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spans="1:26" ht="15.75" customHeight="1" x14ac:dyDescent="0.2">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spans="1:26" ht="15.75" customHeight="1" x14ac:dyDescent="0.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spans="1:26" ht="15.75" customHeight="1" x14ac:dyDescent="0.2">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spans="1:26" ht="15.75" customHeight="1" x14ac:dyDescent="0.2">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spans="1:26" ht="15.75" customHeight="1" x14ac:dyDescent="0.2">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spans="1:26" ht="15.75" customHeight="1" x14ac:dyDescent="0.2">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spans="1:26" ht="15.75" customHeight="1" x14ac:dyDescent="0.2">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spans="1:26" ht="15.75" customHeight="1" x14ac:dyDescent="0.2">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spans="1:26" ht="15.75" customHeight="1" x14ac:dyDescent="0.2">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spans="1:26" ht="15.75" customHeight="1" x14ac:dyDescent="0.2">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spans="1:26" ht="15.75" customHeight="1" x14ac:dyDescent="0.2">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spans="1:26" ht="15.75" customHeight="1" x14ac:dyDescent="0.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spans="1:26" ht="15.75" customHeight="1" x14ac:dyDescent="0.2">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spans="1:26" ht="15.75" customHeight="1" x14ac:dyDescent="0.2">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spans="1:26" ht="15.75" customHeight="1" x14ac:dyDescent="0.2">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spans="1:26" ht="15.75" customHeight="1" x14ac:dyDescent="0.2">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spans="1:26" ht="15.75" customHeight="1" x14ac:dyDescent="0.2">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spans="1:26" ht="15.75" customHeight="1" x14ac:dyDescent="0.2">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spans="1:26" ht="15.75" customHeight="1" x14ac:dyDescent="0.2">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spans="1:26" ht="15.75" customHeight="1" x14ac:dyDescent="0.2">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spans="1:26" ht="15.75" customHeight="1" x14ac:dyDescent="0.2">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spans="1:26" ht="15.75" customHeight="1" x14ac:dyDescent="0.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spans="1:26" ht="15.75" customHeight="1" x14ac:dyDescent="0.2">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spans="1:26" ht="15.75" customHeight="1" x14ac:dyDescent="0.2">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spans="1:26" ht="15.75" customHeight="1" x14ac:dyDescent="0.2">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spans="1:26" ht="15.75" customHeight="1" x14ac:dyDescent="0.2">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spans="1:26" ht="15.75" customHeight="1" x14ac:dyDescent="0.2">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spans="1:26" ht="15.75" customHeight="1" x14ac:dyDescent="0.2">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spans="1:26" ht="15.75" customHeight="1" x14ac:dyDescent="0.2">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spans="1:26" ht="15.75" customHeight="1" x14ac:dyDescent="0.2">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spans="1:26" ht="15.75" customHeight="1" x14ac:dyDescent="0.2">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spans="1:26" ht="15.75" customHeight="1" x14ac:dyDescent="0.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spans="1:26" ht="15.75" customHeight="1" x14ac:dyDescent="0.2">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spans="1:26" ht="15.75" customHeight="1" x14ac:dyDescent="0.2">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spans="1:26" ht="15.75" customHeight="1" x14ac:dyDescent="0.2">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spans="1:26" ht="15.75" customHeight="1" x14ac:dyDescent="0.2">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spans="1:26" ht="15.75" customHeight="1" x14ac:dyDescent="0.2">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spans="1:26" ht="15.75" customHeight="1" x14ac:dyDescent="0.2">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spans="1:26" ht="15.75" customHeight="1" x14ac:dyDescent="0.2">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spans="1:26" ht="15.75" customHeight="1" x14ac:dyDescent="0.2">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spans="1:26" ht="15.75" customHeight="1" x14ac:dyDescent="0.2">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spans="1:26" ht="15.75" customHeight="1" x14ac:dyDescent="0.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spans="1:26" ht="15.75" customHeight="1" x14ac:dyDescent="0.2">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spans="1:26" ht="15.75" customHeight="1" x14ac:dyDescent="0.2">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spans="1:26" ht="15.75" customHeight="1" x14ac:dyDescent="0.2">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spans="1:26" ht="15.75" customHeight="1" x14ac:dyDescent="0.2">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spans="1:26" ht="15.75" customHeight="1" x14ac:dyDescent="0.2">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spans="1:26" ht="15.75" customHeight="1" x14ac:dyDescent="0.2">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spans="1:26" ht="15.75" customHeight="1" x14ac:dyDescent="0.2">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spans="1:26" ht="15.75" customHeight="1" x14ac:dyDescent="0.2">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spans="1:26" ht="15.75" customHeight="1" x14ac:dyDescent="0.2">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spans="1:26" ht="15.75" customHeight="1" x14ac:dyDescent="0.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spans="1:26" ht="15.75" customHeight="1" x14ac:dyDescent="0.2">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spans="1:26" ht="15.75" customHeight="1" x14ac:dyDescent="0.2">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spans="1:26" ht="15.75" customHeight="1" x14ac:dyDescent="0.2">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spans="1:26" ht="15.75" customHeight="1" x14ac:dyDescent="0.2">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spans="1:26" ht="15.75" customHeight="1" x14ac:dyDescent="0.2">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spans="1:26" ht="15.75" customHeight="1" x14ac:dyDescent="0.2">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spans="1:26" ht="15.75" customHeight="1" x14ac:dyDescent="0.2">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spans="1:26" ht="15.75" customHeight="1" x14ac:dyDescent="0.2">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spans="1:26" ht="15.75" customHeight="1" x14ac:dyDescent="0.2">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spans="1:26" ht="15.75" customHeight="1" x14ac:dyDescent="0.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spans="1:26" ht="15.75" customHeight="1" x14ac:dyDescent="0.2">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spans="1:26" ht="15.75" customHeight="1" x14ac:dyDescent="0.2">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spans="1:26" ht="15.75" customHeight="1" x14ac:dyDescent="0.2">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spans="1:26" ht="15.75" customHeight="1" x14ac:dyDescent="0.2">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spans="1:26" ht="15.75" customHeight="1" x14ac:dyDescent="0.2">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spans="1:26" ht="15.75" customHeight="1" x14ac:dyDescent="0.2">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spans="1:26" ht="15.75" customHeight="1" x14ac:dyDescent="0.2">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spans="1:26" ht="15.75" customHeight="1" x14ac:dyDescent="0.2">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spans="1:26" ht="15.75" customHeight="1" x14ac:dyDescent="0.2">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spans="1:26" ht="15.75" customHeight="1" x14ac:dyDescent="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spans="1:26" ht="15.75" customHeight="1" x14ac:dyDescent="0.2">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spans="1:26" ht="15.75" customHeight="1" x14ac:dyDescent="0.2">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spans="1:26" ht="15.75" customHeight="1" x14ac:dyDescent="0.2">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spans="1:26" ht="15.75" customHeight="1" x14ac:dyDescent="0.2">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spans="1:26" ht="15.75" customHeight="1" x14ac:dyDescent="0.2">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spans="1:26" ht="15.75" customHeight="1" x14ac:dyDescent="0.2">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spans="1:26" ht="15.75" customHeight="1" x14ac:dyDescent="0.2">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spans="1:26" ht="15.75" customHeight="1" x14ac:dyDescent="0.2">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spans="1:26" ht="15.75" customHeight="1" x14ac:dyDescent="0.2">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spans="1:26" ht="15.75" customHeight="1" x14ac:dyDescent="0.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spans="1:26" ht="15.75" customHeight="1" x14ac:dyDescent="0.2">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spans="1:26" ht="15.75" customHeight="1" x14ac:dyDescent="0.2">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spans="1:26" ht="15.75" customHeight="1" x14ac:dyDescent="0.2">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spans="1:26" ht="15.75" customHeight="1" x14ac:dyDescent="0.2">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spans="1:26" ht="15.75" customHeight="1" x14ac:dyDescent="0.2">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spans="1:26" ht="15.75" customHeight="1" x14ac:dyDescent="0.2">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spans="1:26" ht="15.75" customHeight="1" x14ac:dyDescent="0.2">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spans="1:26" ht="15.75" customHeight="1" x14ac:dyDescent="0.2">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spans="1:26" ht="15.75" customHeight="1" x14ac:dyDescent="0.2">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spans="1:26" ht="15.75" customHeight="1" x14ac:dyDescent="0.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spans="1:26" ht="15.75" customHeight="1" x14ac:dyDescent="0.2">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spans="1:26" ht="15.75" customHeight="1" x14ac:dyDescent="0.2">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spans="1:26" ht="15.75" customHeight="1" x14ac:dyDescent="0.2">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spans="1:26" ht="15.75" customHeight="1" x14ac:dyDescent="0.2">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spans="1:26" ht="15.75" customHeight="1" x14ac:dyDescent="0.2">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spans="1:26" ht="15.75" customHeight="1" x14ac:dyDescent="0.2">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spans="1:26" ht="15.75" customHeight="1" x14ac:dyDescent="0.2">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spans="1:26" ht="15.75" customHeight="1" x14ac:dyDescent="0.2">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spans="1:26" ht="15.75" customHeight="1" x14ac:dyDescent="0.2">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spans="1:26" ht="15.75" customHeight="1" x14ac:dyDescent="0.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spans="1:26" ht="15.75" customHeight="1" x14ac:dyDescent="0.2">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spans="1:26" ht="15.75" customHeight="1" x14ac:dyDescent="0.2">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spans="1:26" ht="15.75" customHeight="1" x14ac:dyDescent="0.2">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spans="1:26" ht="15.75" customHeight="1" x14ac:dyDescent="0.2">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spans="1:26" ht="15.75" customHeight="1" x14ac:dyDescent="0.2">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spans="1:26" ht="15.75" customHeight="1" x14ac:dyDescent="0.2">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spans="1:26" ht="15.75" customHeight="1" x14ac:dyDescent="0.2">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spans="1:26" ht="15.75" customHeight="1" x14ac:dyDescent="0.2">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spans="1:26" ht="15.75" customHeight="1" x14ac:dyDescent="0.2">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spans="1:26" ht="15.75" customHeight="1" x14ac:dyDescent="0.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spans="1:26" ht="15.75" customHeight="1" x14ac:dyDescent="0.2">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spans="1:26" ht="15.75" customHeight="1" x14ac:dyDescent="0.2">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spans="1:26" ht="15.75" customHeight="1" x14ac:dyDescent="0.2">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spans="1:26" ht="15.75" customHeight="1" x14ac:dyDescent="0.2">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spans="1:26" ht="15.75" customHeight="1" x14ac:dyDescent="0.2">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spans="1:26" ht="15.75" customHeight="1" x14ac:dyDescent="0.2">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spans="1:26" ht="15.75" customHeight="1" x14ac:dyDescent="0.2">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spans="1:26" ht="15.75" customHeight="1" x14ac:dyDescent="0.2">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spans="1:26" ht="15.75" customHeight="1" x14ac:dyDescent="0.2">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spans="1:26" ht="15.75" customHeight="1" x14ac:dyDescent="0.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spans="1:26" ht="15.75" customHeight="1" x14ac:dyDescent="0.2">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spans="1:26" ht="15.75" customHeight="1" x14ac:dyDescent="0.2">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spans="1:26" ht="15.75" customHeight="1" x14ac:dyDescent="0.2">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spans="1:26" ht="15.75" customHeight="1" x14ac:dyDescent="0.2">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spans="1:26" ht="15.75" customHeight="1" x14ac:dyDescent="0.2">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spans="1:26" ht="15.75" customHeight="1" x14ac:dyDescent="0.2">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spans="1:26" ht="15.75" customHeight="1" x14ac:dyDescent="0.2">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spans="1:26" ht="15.75" customHeight="1" x14ac:dyDescent="0.2">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spans="1:26" ht="15.75" customHeight="1" x14ac:dyDescent="0.2">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spans="1:26" ht="15.75" customHeight="1" x14ac:dyDescent="0.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spans="1:26" ht="15.75" customHeight="1" x14ac:dyDescent="0.2">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spans="1:26" ht="15.75" customHeight="1" x14ac:dyDescent="0.2">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spans="1:26" ht="15.75" customHeight="1" x14ac:dyDescent="0.2">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spans="1:26" ht="15.75" customHeight="1" x14ac:dyDescent="0.2">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spans="1:26" ht="15.75" customHeight="1" x14ac:dyDescent="0.2">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spans="1:26" ht="15.75" customHeight="1" x14ac:dyDescent="0.2">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spans="1:26" ht="15.75" customHeight="1" x14ac:dyDescent="0.2">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spans="1:26" ht="15.75" customHeight="1" x14ac:dyDescent="0.2">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spans="1:26" ht="15.75" customHeight="1" x14ac:dyDescent="0.2">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spans="1:26" ht="15.75" customHeight="1" x14ac:dyDescent="0.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spans="1:26" ht="15.75" customHeight="1" x14ac:dyDescent="0.2">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spans="1:26" ht="15.75" customHeight="1" x14ac:dyDescent="0.2">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spans="1:26" ht="15.75" customHeight="1" x14ac:dyDescent="0.2">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spans="1:26" ht="15.75" customHeight="1" x14ac:dyDescent="0.2">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spans="1:26" ht="15.75" customHeight="1" x14ac:dyDescent="0.2">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spans="1:26" ht="15.75" customHeight="1" x14ac:dyDescent="0.2">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spans="1:26" ht="15.75" customHeight="1" x14ac:dyDescent="0.2">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spans="1:26" ht="15.75" customHeight="1" x14ac:dyDescent="0.2">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spans="1:26" ht="15.75" customHeight="1" x14ac:dyDescent="0.2">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spans="1:26" ht="15.75" customHeight="1" x14ac:dyDescent="0.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spans="1:26" ht="15.75" customHeight="1" x14ac:dyDescent="0.2">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spans="1:26" ht="15.75" customHeight="1" x14ac:dyDescent="0.2">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spans="1:26" ht="15.75" customHeight="1" x14ac:dyDescent="0.2">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spans="1:26" ht="15.75" customHeight="1" x14ac:dyDescent="0.2">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spans="1:26" ht="15.75" customHeight="1" x14ac:dyDescent="0.2">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spans="1:26" ht="15.75" customHeight="1" x14ac:dyDescent="0.2">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spans="1:26" ht="15.75" customHeight="1" x14ac:dyDescent="0.2">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spans="1:26" ht="15.75" customHeight="1" x14ac:dyDescent="0.2">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spans="1:26" ht="15.75" customHeight="1" x14ac:dyDescent="0.2">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spans="1:26" ht="15.75" customHeight="1" x14ac:dyDescent="0.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spans="1:26" ht="15.75" customHeight="1" x14ac:dyDescent="0.2">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spans="1:26" ht="15.75" customHeight="1" x14ac:dyDescent="0.2">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spans="1:26" ht="15.75" customHeight="1" x14ac:dyDescent="0.2">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spans="1:26" ht="15.75" customHeight="1" x14ac:dyDescent="0.2">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spans="1:26" ht="15.75" customHeight="1" x14ac:dyDescent="0.2">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spans="1:26" ht="15.75" customHeight="1" x14ac:dyDescent="0.2">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spans="1:26" ht="15.75" customHeight="1" x14ac:dyDescent="0.2">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spans="1:26" ht="15.75" customHeight="1" x14ac:dyDescent="0.2">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spans="1:26" ht="15.75" customHeight="1" x14ac:dyDescent="0.2">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spans="1:26" ht="15.75" customHeight="1" x14ac:dyDescent="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spans="1:26" ht="15.75" customHeight="1" x14ac:dyDescent="0.2">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spans="1:26" ht="15.75" customHeight="1" x14ac:dyDescent="0.2">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spans="1:26" ht="15.75" customHeight="1" x14ac:dyDescent="0.2">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spans="1:26" ht="15.75" customHeight="1" x14ac:dyDescent="0.2">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spans="1:26" ht="15.75" customHeight="1" x14ac:dyDescent="0.2">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spans="1:26" ht="15.75" customHeight="1" x14ac:dyDescent="0.2">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spans="1:26" ht="15.75" customHeight="1" x14ac:dyDescent="0.2">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spans="1:26" ht="15.75" customHeight="1" x14ac:dyDescent="0.2">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spans="1:26" ht="15.75" customHeight="1" x14ac:dyDescent="0.2">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spans="1:26" ht="15.75" customHeight="1" x14ac:dyDescent="0.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spans="1:26" ht="15.75" customHeight="1" x14ac:dyDescent="0.2">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spans="1:26" ht="15.75" customHeight="1" x14ac:dyDescent="0.2">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spans="1:26" ht="15.75" customHeight="1" x14ac:dyDescent="0.2">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spans="1:26" ht="15.75" customHeight="1" x14ac:dyDescent="0.2">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spans="1:26" ht="15.75" customHeight="1" x14ac:dyDescent="0.2">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spans="1:26" ht="15.75" customHeight="1" x14ac:dyDescent="0.2">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spans="1:26" ht="15.75" customHeight="1" x14ac:dyDescent="0.2">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spans="1:26" ht="15.75" customHeight="1" x14ac:dyDescent="0.2">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spans="1:26" ht="15.75" customHeight="1" x14ac:dyDescent="0.2">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spans="1:26" ht="15.75" customHeight="1" x14ac:dyDescent="0.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spans="1:26" ht="15.75" customHeight="1" x14ac:dyDescent="0.2">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spans="1:26" ht="15.75" customHeight="1" x14ac:dyDescent="0.2">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spans="1:26" ht="15.75" customHeight="1" x14ac:dyDescent="0.2">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spans="1:26" ht="15.75" customHeight="1" x14ac:dyDescent="0.2">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spans="1:26" ht="15.75" customHeight="1" x14ac:dyDescent="0.2">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spans="1:26" ht="15.75" customHeight="1" x14ac:dyDescent="0.2">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spans="1:26" ht="15.75" customHeight="1" x14ac:dyDescent="0.2">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spans="1:26" ht="15.75" customHeight="1" x14ac:dyDescent="0.2">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spans="1:26" ht="15.75" customHeight="1" x14ac:dyDescent="0.2">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spans="1:26" ht="15.75" customHeight="1" x14ac:dyDescent="0.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spans="1:26" ht="15.75" customHeight="1" x14ac:dyDescent="0.2">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spans="1:26" ht="15.75" customHeight="1" x14ac:dyDescent="0.2">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spans="1:26" ht="15.75" customHeight="1" x14ac:dyDescent="0.2">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spans="1:26" ht="15.75" customHeight="1" x14ac:dyDescent="0.2">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spans="1:26" ht="15.75" customHeight="1" x14ac:dyDescent="0.2">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spans="1:26" ht="15.75" customHeight="1" x14ac:dyDescent="0.2">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spans="1:26" ht="15.75" customHeight="1" x14ac:dyDescent="0.2">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spans="1:26" ht="15.75" customHeight="1" x14ac:dyDescent="0.2">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spans="1:26" ht="15.75" customHeight="1" x14ac:dyDescent="0.2">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spans="1:26" ht="15.75" customHeight="1" x14ac:dyDescent="0.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spans="1:26" ht="15.75" customHeight="1" x14ac:dyDescent="0.2">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spans="1:26" ht="15.75" customHeight="1" x14ac:dyDescent="0.2">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spans="1:26" ht="15.75" customHeight="1" x14ac:dyDescent="0.2">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spans="1:26" ht="15.75" customHeight="1" x14ac:dyDescent="0.2">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spans="1:26" ht="15.75" customHeight="1" x14ac:dyDescent="0.2">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spans="1:26" ht="15.75" customHeight="1" x14ac:dyDescent="0.2">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spans="1:26" ht="15.75" customHeight="1" x14ac:dyDescent="0.2">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spans="1:26" ht="15.75" customHeight="1" x14ac:dyDescent="0.2">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spans="1:26" ht="15.75" customHeight="1" x14ac:dyDescent="0.2">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spans="1:26" ht="15.75" customHeight="1" x14ac:dyDescent="0.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spans="1:26" ht="15.75" customHeight="1" x14ac:dyDescent="0.2">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spans="1:26" ht="15.75" customHeight="1" x14ac:dyDescent="0.2">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spans="1:26" ht="15.75" customHeight="1" x14ac:dyDescent="0.2">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spans="1:26" ht="15.75" customHeight="1" x14ac:dyDescent="0.2">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spans="1:26" ht="15.75" customHeight="1" x14ac:dyDescent="0.2">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spans="1:26" ht="15.75" customHeight="1" x14ac:dyDescent="0.2">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spans="1:26" ht="15.75" customHeight="1" x14ac:dyDescent="0.2">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spans="1:26" ht="15.75" customHeight="1" x14ac:dyDescent="0.2">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spans="1:26" ht="15.75" customHeight="1" x14ac:dyDescent="0.2">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spans="1:26" ht="15.75" customHeight="1" x14ac:dyDescent="0.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spans="1:26" ht="15.75" customHeight="1" x14ac:dyDescent="0.2">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spans="1:26" ht="15.75" customHeight="1" x14ac:dyDescent="0.2">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spans="1:26" ht="15.75" customHeight="1" x14ac:dyDescent="0.2">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spans="1:26" ht="15.75" customHeight="1" x14ac:dyDescent="0.2">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spans="1:26" ht="15.75" customHeight="1" x14ac:dyDescent="0.2">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spans="1:26" ht="15.75" customHeight="1" x14ac:dyDescent="0.2">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spans="1:26" ht="15.75" customHeight="1" x14ac:dyDescent="0.2">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spans="1:26" ht="15.75" customHeight="1" x14ac:dyDescent="0.2">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spans="1:26" ht="15.75" customHeight="1" x14ac:dyDescent="0.2">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spans="1:26" ht="15.75" customHeight="1" x14ac:dyDescent="0.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spans="1:26" ht="15.75" customHeight="1" x14ac:dyDescent="0.2">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spans="1:26" ht="15.75" customHeight="1" x14ac:dyDescent="0.2">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spans="1:26" ht="15.75" customHeight="1" x14ac:dyDescent="0.2">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spans="1:26" ht="15.75" customHeight="1" x14ac:dyDescent="0.2">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spans="1:26" ht="15.75" customHeight="1" x14ac:dyDescent="0.2">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spans="1:26" ht="15.75" customHeight="1" x14ac:dyDescent="0.2">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spans="1:26" ht="15.75" customHeight="1" x14ac:dyDescent="0.2">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spans="1:26" ht="15.75" customHeight="1" x14ac:dyDescent="0.2">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spans="1:26" ht="15.75" customHeight="1" x14ac:dyDescent="0.2">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spans="1:26" ht="15.75" customHeight="1" x14ac:dyDescent="0.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spans="1:26" ht="15.75" customHeight="1" x14ac:dyDescent="0.2">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spans="1:26" ht="15.75" customHeight="1" x14ac:dyDescent="0.2">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spans="1:26" ht="15.75" customHeight="1" x14ac:dyDescent="0.2">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spans="1:26" ht="15.75" customHeight="1" x14ac:dyDescent="0.2">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spans="1:26" ht="15.75" customHeight="1" x14ac:dyDescent="0.2">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spans="1:26" ht="15.75" customHeight="1" x14ac:dyDescent="0.2">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spans="1:26" ht="15.75" customHeight="1" x14ac:dyDescent="0.2">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spans="1:26" ht="15.75" customHeight="1" x14ac:dyDescent="0.2">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spans="1:26" ht="15.75" customHeight="1" x14ac:dyDescent="0.2">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spans="1:26" ht="15.75" customHeight="1" x14ac:dyDescent="0.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spans="1:26" ht="15.75" customHeight="1" x14ac:dyDescent="0.2">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spans="1:26" ht="15.75" customHeight="1" x14ac:dyDescent="0.2">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spans="1:26" ht="15.75" customHeight="1" x14ac:dyDescent="0.2">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spans="1:26" ht="15.75" customHeight="1" x14ac:dyDescent="0.2">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spans="1:26" ht="15.75" customHeight="1" x14ac:dyDescent="0.2">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spans="1:26" ht="15.75" customHeight="1" x14ac:dyDescent="0.2">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spans="1:26" ht="15.75" customHeight="1" x14ac:dyDescent="0.2">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spans="1:26" ht="15.75" customHeight="1" x14ac:dyDescent="0.2">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mergeCells count="7">
    <mergeCell ref="B23:D23"/>
    <mergeCell ref="A35:E35"/>
    <mergeCell ref="A1:E1"/>
    <mergeCell ref="B4:E4"/>
    <mergeCell ref="B5:E5"/>
    <mergeCell ref="B7:D7"/>
    <mergeCell ref="B9:D9"/>
  </mergeCells>
  <pageMargins left="0.75" right="0.75" top="1" bottom="1"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76DCC"/>
  </sheetPr>
  <dimension ref="A1:Z1000"/>
  <sheetViews>
    <sheetView workbookViewId="0">
      <selection sqref="A1:E1"/>
    </sheetView>
  </sheetViews>
  <sheetFormatPr baseColWidth="10" defaultColWidth="12.6640625" defaultRowHeight="15" customHeight="1" x14ac:dyDescent="0.2"/>
  <cols>
    <col min="1" max="1" width="18.33203125" customWidth="1"/>
    <col min="2" max="2" width="13.6640625" customWidth="1"/>
    <col min="3" max="3" width="37" customWidth="1"/>
    <col min="4" max="4" width="12.83203125" customWidth="1"/>
    <col min="5" max="5" width="44" customWidth="1"/>
    <col min="6" max="26" width="22.5" customWidth="1"/>
  </cols>
  <sheetData>
    <row r="1" spans="1:26" x14ac:dyDescent="0.2">
      <c r="A1" s="211" t="s">
        <v>206</v>
      </c>
      <c r="B1" s="164"/>
      <c r="C1" s="164"/>
      <c r="D1" s="164"/>
      <c r="E1" s="165"/>
      <c r="F1" s="42"/>
      <c r="G1" s="42"/>
      <c r="H1" s="42"/>
      <c r="I1" s="42"/>
      <c r="J1" s="42"/>
      <c r="K1" s="42"/>
      <c r="L1" s="42"/>
      <c r="M1" s="42"/>
      <c r="N1" s="42"/>
      <c r="O1" s="42"/>
      <c r="P1" s="42"/>
      <c r="Q1" s="42"/>
      <c r="R1" s="42"/>
      <c r="S1" s="42"/>
      <c r="T1" s="42"/>
      <c r="U1" s="42"/>
      <c r="V1" s="42"/>
      <c r="W1" s="42"/>
      <c r="X1" s="42"/>
      <c r="Y1" s="42"/>
      <c r="Z1" s="42"/>
    </row>
    <row r="2" spans="1:26" x14ac:dyDescent="0.2">
      <c r="A2" s="43" t="s">
        <v>207</v>
      </c>
      <c r="B2" s="42" t="s">
        <v>208</v>
      </c>
      <c r="C2" s="44" t="s">
        <v>209</v>
      </c>
      <c r="D2" s="45">
        <v>0</v>
      </c>
      <c r="E2" s="42"/>
      <c r="F2" s="42"/>
      <c r="G2" s="42"/>
      <c r="H2" s="42"/>
      <c r="I2" s="42"/>
      <c r="J2" s="42"/>
      <c r="K2" s="42"/>
      <c r="L2" s="42"/>
      <c r="M2" s="42"/>
      <c r="N2" s="42"/>
      <c r="O2" s="42"/>
      <c r="P2" s="42"/>
      <c r="Q2" s="42"/>
      <c r="R2" s="42"/>
      <c r="S2" s="42"/>
      <c r="T2" s="42"/>
      <c r="U2" s="42"/>
      <c r="V2" s="42"/>
      <c r="W2" s="42"/>
      <c r="X2" s="42"/>
      <c r="Y2" s="42"/>
      <c r="Z2" s="42"/>
    </row>
    <row r="3" spans="1:26" x14ac:dyDescent="0.2">
      <c r="A3" s="43" t="s">
        <v>210</v>
      </c>
      <c r="B3" s="46">
        <v>5000000</v>
      </c>
      <c r="C3" s="44" t="s">
        <v>211</v>
      </c>
      <c r="D3" s="45">
        <v>1500000</v>
      </c>
      <c r="E3" s="42"/>
      <c r="F3" s="42"/>
      <c r="G3" s="42"/>
      <c r="H3" s="42"/>
      <c r="I3" s="42"/>
      <c r="J3" s="42"/>
      <c r="K3" s="42"/>
      <c r="L3" s="42"/>
      <c r="M3" s="42"/>
      <c r="N3" s="42"/>
      <c r="O3" s="42"/>
      <c r="P3" s="42"/>
      <c r="Q3" s="42"/>
      <c r="R3" s="42"/>
      <c r="S3" s="42"/>
      <c r="T3" s="42"/>
      <c r="U3" s="42"/>
      <c r="V3" s="42"/>
      <c r="W3" s="42"/>
      <c r="X3" s="42"/>
      <c r="Y3" s="42"/>
      <c r="Z3" s="42"/>
    </row>
    <row r="4" spans="1:26" x14ac:dyDescent="0.2">
      <c r="A4" s="43" t="s">
        <v>212</v>
      </c>
      <c r="B4" s="47">
        <v>0.9</v>
      </c>
      <c r="C4" s="44" t="s">
        <v>213</v>
      </c>
      <c r="D4" s="45">
        <v>200000</v>
      </c>
      <c r="E4" s="42"/>
      <c r="F4" s="42"/>
      <c r="G4" s="42"/>
      <c r="H4" s="42"/>
      <c r="I4" s="42"/>
      <c r="J4" s="42"/>
      <c r="K4" s="42"/>
      <c r="L4" s="42"/>
      <c r="M4" s="42"/>
      <c r="N4" s="42"/>
      <c r="O4" s="42"/>
      <c r="P4" s="42"/>
      <c r="Q4" s="42"/>
      <c r="R4" s="42"/>
      <c r="S4" s="42"/>
      <c r="T4" s="42"/>
      <c r="U4" s="42"/>
      <c r="V4" s="42"/>
      <c r="W4" s="42"/>
      <c r="X4" s="42"/>
      <c r="Y4" s="42"/>
      <c r="Z4" s="42"/>
    </row>
    <row r="5" spans="1:26" x14ac:dyDescent="0.2">
      <c r="A5" s="43" t="s">
        <v>214</v>
      </c>
      <c r="B5" s="48">
        <v>7.4999999999999997E-3</v>
      </c>
      <c r="C5" s="49" t="s">
        <v>215</v>
      </c>
      <c r="D5" s="50">
        <v>20000000</v>
      </c>
      <c r="E5" s="42"/>
      <c r="F5" s="42"/>
      <c r="G5" s="42"/>
      <c r="H5" s="42"/>
      <c r="I5" s="42"/>
      <c r="J5" s="42"/>
      <c r="K5" s="42"/>
      <c r="L5" s="42"/>
      <c r="M5" s="42"/>
      <c r="N5" s="42"/>
      <c r="O5" s="42"/>
      <c r="P5" s="42"/>
      <c r="Q5" s="42"/>
      <c r="R5" s="42"/>
      <c r="S5" s="42"/>
      <c r="T5" s="42"/>
      <c r="U5" s="42"/>
      <c r="V5" s="42"/>
      <c r="W5" s="42"/>
      <c r="X5" s="42"/>
      <c r="Y5" s="42"/>
      <c r="Z5" s="42"/>
    </row>
    <row r="6" spans="1:26" x14ac:dyDescent="0.2">
      <c r="A6" s="43" t="s">
        <v>216</v>
      </c>
      <c r="B6" s="47">
        <v>0.06</v>
      </c>
      <c r="C6" s="43" t="s">
        <v>217</v>
      </c>
      <c r="D6" s="48">
        <v>1.4999999999999999E-2</v>
      </c>
      <c r="E6" s="42"/>
      <c r="F6" s="42"/>
      <c r="G6" s="42"/>
      <c r="H6" s="42"/>
      <c r="I6" s="42"/>
      <c r="J6" s="42"/>
      <c r="K6" s="42"/>
      <c r="L6" s="42"/>
      <c r="M6" s="42"/>
      <c r="N6" s="42"/>
      <c r="O6" s="42"/>
      <c r="P6" s="42"/>
      <c r="Q6" s="42"/>
      <c r="R6" s="42"/>
      <c r="S6" s="42"/>
      <c r="T6" s="42"/>
      <c r="U6" s="42"/>
      <c r="V6" s="42"/>
      <c r="W6" s="42"/>
      <c r="X6" s="42"/>
      <c r="Y6" s="42"/>
      <c r="Z6" s="42"/>
    </row>
    <row r="7" spans="1:26" x14ac:dyDescent="0.2">
      <c r="A7" s="42"/>
      <c r="B7" s="42"/>
      <c r="C7" s="42"/>
      <c r="D7" s="42"/>
      <c r="E7" s="42"/>
      <c r="F7" s="42"/>
      <c r="G7" s="42"/>
      <c r="H7" s="42"/>
      <c r="I7" s="42"/>
      <c r="J7" s="42"/>
      <c r="K7" s="42"/>
      <c r="L7" s="42"/>
      <c r="M7" s="42"/>
      <c r="N7" s="42"/>
      <c r="O7" s="42"/>
      <c r="P7" s="42"/>
      <c r="Q7" s="42"/>
      <c r="R7" s="42"/>
      <c r="S7" s="42"/>
      <c r="T7" s="42"/>
      <c r="U7" s="42"/>
      <c r="V7" s="42"/>
      <c r="W7" s="42"/>
      <c r="X7" s="42"/>
      <c r="Y7" s="42"/>
      <c r="Z7" s="42"/>
    </row>
    <row r="8" spans="1:26" x14ac:dyDescent="0.2">
      <c r="A8" s="211" t="s">
        <v>218</v>
      </c>
      <c r="B8" s="164"/>
      <c r="C8" s="164"/>
      <c r="D8" s="164"/>
      <c r="E8" s="165"/>
      <c r="F8" s="42"/>
      <c r="G8" s="42"/>
      <c r="H8" s="42"/>
      <c r="I8" s="42"/>
      <c r="J8" s="42"/>
      <c r="K8" s="42"/>
      <c r="L8" s="42"/>
      <c r="M8" s="42"/>
      <c r="N8" s="42"/>
      <c r="O8" s="42"/>
      <c r="P8" s="42"/>
      <c r="Q8" s="42"/>
      <c r="R8" s="42"/>
      <c r="S8" s="42"/>
      <c r="T8" s="42"/>
      <c r="U8" s="42"/>
      <c r="V8" s="42"/>
      <c r="W8" s="42"/>
      <c r="X8" s="42"/>
      <c r="Y8" s="42"/>
      <c r="Z8" s="42"/>
    </row>
    <row r="9" spans="1:26" x14ac:dyDescent="0.2">
      <c r="A9" s="43" t="s">
        <v>219</v>
      </c>
      <c r="B9" s="42">
        <f>COUNT(#REF!)</f>
        <v>0</v>
      </c>
      <c r="C9" s="43" t="s">
        <v>220</v>
      </c>
      <c r="D9" s="42">
        <v>90</v>
      </c>
      <c r="E9" s="42"/>
      <c r="F9" s="42"/>
      <c r="G9" s="42"/>
      <c r="H9" s="42"/>
      <c r="I9" s="42"/>
      <c r="J9" s="42"/>
      <c r="K9" s="42"/>
      <c r="L9" s="42"/>
      <c r="M9" s="42"/>
      <c r="N9" s="42"/>
      <c r="O9" s="42"/>
      <c r="P9" s="42"/>
      <c r="Q9" s="42"/>
      <c r="R9" s="42"/>
      <c r="S9" s="42"/>
      <c r="T9" s="42"/>
      <c r="U9" s="42"/>
      <c r="V9" s="42"/>
      <c r="W9" s="42"/>
      <c r="X9" s="42"/>
      <c r="Y9" s="42"/>
      <c r="Z9" s="42"/>
    </row>
    <row r="10" spans="1:26" x14ac:dyDescent="0.2">
      <c r="A10" s="43" t="s">
        <v>221</v>
      </c>
      <c r="B10" s="51" t="e">
        <f>MIN(#REF!)-DAY(MIN(#REF!))+1</f>
        <v>#REF!</v>
      </c>
      <c r="C10" s="43" t="s">
        <v>222</v>
      </c>
      <c r="D10" s="47">
        <v>0.01</v>
      </c>
      <c r="E10" s="42"/>
      <c r="F10" s="42"/>
      <c r="G10" s="42"/>
      <c r="H10" s="42"/>
      <c r="I10" s="42"/>
      <c r="J10" s="42"/>
      <c r="K10" s="42"/>
      <c r="L10" s="42"/>
      <c r="M10" s="42"/>
      <c r="N10" s="42"/>
      <c r="O10" s="42"/>
      <c r="P10" s="42"/>
      <c r="Q10" s="42"/>
      <c r="R10" s="42"/>
      <c r="S10" s="42"/>
      <c r="T10" s="42"/>
      <c r="U10" s="42"/>
      <c r="V10" s="42"/>
      <c r="W10" s="42"/>
      <c r="X10" s="42"/>
      <c r="Y10" s="42"/>
      <c r="Z10" s="42"/>
    </row>
    <row r="11" spans="1:26" x14ac:dyDescent="0.2">
      <c r="A11" s="43" t="s">
        <v>223</v>
      </c>
      <c r="B11" s="48" t="e">
        <f>SUMPRODUCT(#REF!,#REF!)</f>
        <v>#REF!</v>
      </c>
      <c r="C11" s="43" t="s">
        <v>224</v>
      </c>
      <c r="D11" s="52">
        <v>44986</v>
      </c>
      <c r="E11" s="42"/>
      <c r="F11" s="42"/>
      <c r="G11" s="42"/>
      <c r="H11" s="42"/>
      <c r="I11" s="42"/>
      <c r="J11" s="42"/>
      <c r="K11" s="42"/>
      <c r="L11" s="42"/>
      <c r="M11" s="42"/>
      <c r="N11" s="42"/>
      <c r="O11" s="42"/>
      <c r="P11" s="42"/>
      <c r="Q11" s="42"/>
      <c r="R11" s="42"/>
      <c r="S11" s="42"/>
      <c r="T11" s="42"/>
      <c r="U11" s="42"/>
      <c r="V11" s="42"/>
      <c r="W11" s="42"/>
      <c r="X11" s="42"/>
      <c r="Y11" s="42"/>
      <c r="Z11" s="42"/>
    </row>
    <row r="12" spans="1:26" x14ac:dyDescent="0.2">
      <c r="A12" s="43" t="s">
        <v>225</v>
      </c>
      <c r="B12" s="53">
        <v>45657</v>
      </c>
      <c r="C12" s="42"/>
      <c r="D12" s="42"/>
      <c r="E12" s="42"/>
      <c r="F12" s="42"/>
      <c r="G12" s="42"/>
      <c r="H12" s="42"/>
      <c r="I12" s="42"/>
      <c r="J12" s="42"/>
      <c r="K12" s="42"/>
      <c r="L12" s="42"/>
      <c r="M12" s="42"/>
      <c r="N12" s="42"/>
      <c r="O12" s="42"/>
      <c r="P12" s="42"/>
      <c r="Q12" s="42"/>
      <c r="R12" s="42"/>
      <c r="S12" s="42"/>
      <c r="T12" s="42"/>
      <c r="U12" s="42"/>
      <c r="V12" s="42"/>
      <c r="W12" s="42"/>
      <c r="X12" s="42"/>
      <c r="Y12" s="42"/>
      <c r="Z12" s="42"/>
    </row>
    <row r="13" spans="1:26" x14ac:dyDescent="0.2">
      <c r="A13" s="211" t="s">
        <v>226</v>
      </c>
      <c r="B13" s="164"/>
      <c r="C13" s="164"/>
      <c r="D13" s="164"/>
      <c r="E13" s="165"/>
      <c r="F13" s="42"/>
      <c r="G13" s="42"/>
      <c r="H13" s="42"/>
      <c r="I13" s="42"/>
      <c r="J13" s="42"/>
      <c r="K13" s="42"/>
      <c r="L13" s="42"/>
      <c r="M13" s="42"/>
      <c r="N13" s="42"/>
      <c r="O13" s="42"/>
      <c r="P13" s="42"/>
      <c r="Q13" s="42"/>
      <c r="R13" s="42"/>
      <c r="S13" s="42"/>
      <c r="T13" s="42"/>
      <c r="U13" s="42"/>
      <c r="V13" s="42"/>
      <c r="W13" s="42"/>
      <c r="X13" s="42"/>
      <c r="Y13" s="42"/>
      <c r="Z13" s="42"/>
    </row>
    <row r="14" spans="1:26" x14ac:dyDescent="0.2">
      <c r="A14" s="43" t="s">
        <v>227</v>
      </c>
      <c r="B14" s="54" t="s">
        <v>228</v>
      </c>
      <c r="C14" s="55" t="s">
        <v>229</v>
      </c>
      <c r="D14" s="56" t="s">
        <v>230</v>
      </c>
      <c r="E14" s="57" t="s">
        <v>135</v>
      </c>
      <c r="F14" s="42"/>
      <c r="G14" s="42"/>
      <c r="H14" s="42"/>
      <c r="I14" s="42"/>
      <c r="J14" s="42"/>
      <c r="K14" s="42"/>
      <c r="L14" s="42"/>
      <c r="M14" s="42"/>
      <c r="N14" s="42"/>
      <c r="O14" s="42"/>
      <c r="P14" s="42"/>
      <c r="Q14" s="42"/>
      <c r="R14" s="42"/>
      <c r="S14" s="42"/>
      <c r="T14" s="42"/>
      <c r="U14" s="42"/>
      <c r="V14" s="42"/>
      <c r="W14" s="42"/>
      <c r="X14" s="42"/>
      <c r="Y14" s="42"/>
      <c r="Z14" s="42"/>
    </row>
    <row r="15" spans="1:26" x14ac:dyDescent="0.2">
      <c r="A15" s="43" t="s">
        <v>231</v>
      </c>
      <c r="B15" s="58">
        <v>0.02</v>
      </c>
      <c r="C15" s="59">
        <v>0.06</v>
      </c>
      <c r="D15" s="60">
        <v>0</v>
      </c>
      <c r="E15" s="53" t="s">
        <v>232</v>
      </c>
      <c r="F15" s="42"/>
      <c r="G15" s="42"/>
      <c r="H15" s="42"/>
      <c r="I15" s="42"/>
      <c r="J15" s="42"/>
      <c r="K15" s="42"/>
      <c r="L15" s="42"/>
      <c r="M15" s="42"/>
      <c r="N15" s="42"/>
      <c r="O15" s="42"/>
      <c r="P15" s="42"/>
      <c r="Q15" s="42"/>
      <c r="R15" s="42"/>
      <c r="S15" s="42"/>
      <c r="T15" s="42"/>
      <c r="U15" s="42"/>
      <c r="V15" s="42"/>
      <c r="W15" s="42"/>
      <c r="X15" s="42"/>
      <c r="Y15" s="42"/>
      <c r="Z15" s="42"/>
    </row>
    <row r="16" spans="1:26" x14ac:dyDescent="0.2">
      <c r="A16" s="43" t="s">
        <v>233</v>
      </c>
      <c r="B16" s="58">
        <v>0.02</v>
      </c>
      <c r="C16" s="59">
        <v>0</v>
      </c>
      <c r="D16" s="61">
        <v>0.01</v>
      </c>
      <c r="E16" s="53" t="s">
        <v>234</v>
      </c>
      <c r="F16" s="42"/>
      <c r="G16" s="42"/>
      <c r="H16" s="42"/>
      <c r="I16" s="42"/>
      <c r="J16" s="42"/>
      <c r="K16" s="42"/>
      <c r="L16" s="42"/>
      <c r="M16" s="42"/>
      <c r="N16" s="42"/>
      <c r="O16" s="42"/>
      <c r="P16" s="42"/>
      <c r="Q16" s="42"/>
      <c r="R16" s="42"/>
      <c r="S16" s="42"/>
      <c r="T16" s="42"/>
      <c r="U16" s="42"/>
      <c r="V16" s="42"/>
      <c r="W16" s="42"/>
      <c r="X16" s="42"/>
      <c r="Y16" s="42"/>
      <c r="Z16" s="42"/>
    </row>
    <row r="17" spans="1:26" x14ac:dyDescent="0.2">
      <c r="A17" s="43" t="s">
        <v>235</v>
      </c>
      <c r="B17" s="58">
        <v>0.02</v>
      </c>
      <c r="C17" s="62">
        <v>1.4999999999999999E-2</v>
      </c>
      <c r="D17" s="60">
        <v>1.0999999999999999E-2</v>
      </c>
      <c r="E17" s="42" t="s">
        <v>236</v>
      </c>
      <c r="F17" s="42"/>
      <c r="G17" s="42"/>
      <c r="H17" s="42"/>
      <c r="I17" s="42"/>
      <c r="J17" s="42"/>
      <c r="K17" s="42"/>
      <c r="L17" s="42"/>
      <c r="M17" s="42"/>
      <c r="N17" s="42"/>
      <c r="O17" s="42"/>
      <c r="P17" s="42"/>
      <c r="Q17" s="42"/>
      <c r="R17" s="42"/>
      <c r="S17" s="42"/>
      <c r="T17" s="42"/>
      <c r="U17" s="42"/>
      <c r="V17" s="42"/>
      <c r="W17" s="42"/>
      <c r="X17" s="42"/>
      <c r="Y17" s="42"/>
      <c r="Z17" s="42"/>
    </row>
    <row r="18" spans="1:26" x14ac:dyDescent="0.2">
      <c r="A18" s="43" t="s">
        <v>237</v>
      </c>
      <c r="B18" s="58">
        <v>0.02</v>
      </c>
      <c r="C18" s="59">
        <v>0.02</v>
      </c>
      <c r="D18" s="60">
        <v>1.35E-2</v>
      </c>
      <c r="E18" s="42" t="s">
        <v>236</v>
      </c>
      <c r="F18" s="42"/>
      <c r="G18" s="42"/>
      <c r="H18" s="42"/>
      <c r="I18" s="42"/>
      <c r="J18" s="42"/>
      <c r="K18" s="42"/>
      <c r="L18" s="42"/>
      <c r="M18" s="42"/>
      <c r="N18" s="42"/>
      <c r="O18" s="42"/>
      <c r="P18" s="42"/>
      <c r="Q18" s="42"/>
      <c r="R18" s="42"/>
      <c r="S18" s="42"/>
      <c r="T18" s="42"/>
      <c r="U18" s="42"/>
      <c r="V18" s="42"/>
      <c r="W18" s="42"/>
      <c r="X18" s="42"/>
      <c r="Y18" s="42"/>
      <c r="Z18" s="42"/>
    </row>
    <row r="19" spans="1:26" x14ac:dyDescent="0.2">
      <c r="A19" s="43" t="s">
        <v>238</v>
      </c>
      <c r="B19" s="58">
        <v>0.02</v>
      </c>
      <c r="C19" s="62">
        <v>1.4999999999999999E-2</v>
      </c>
      <c r="D19" s="60">
        <v>1.0999999999999999E-2</v>
      </c>
      <c r="E19" s="42" t="s">
        <v>236</v>
      </c>
      <c r="F19" s="42"/>
      <c r="G19" s="42"/>
      <c r="H19" s="42"/>
      <c r="I19" s="42"/>
      <c r="J19" s="42"/>
      <c r="K19" s="42"/>
      <c r="L19" s="42"/>
      <c r="M19" s="42"/>
      <c r="N19" s="42"/>
      <c r="O19" s="42"/>
      <c r="P19" s="42"/>
      <c r="Q19" s="42"/>
      <c r="R19" s="42"/>
      <c r="S19" s="42"/>
      <c r="T19" s="42"/>
      <c r="U19" s="42"/>
      <c r="V19" s="42"/>
      <c r="W19" s="42"/>
      <c r="X19" s="42"/>
      <c r="Y19" s="42"/>
      <c r="Z19" s="42"/>
    </row>
    <row r="20" spans="1:26" x14ac:dyDescent="0.2">
      <c r="A20" s="43" t="s">
        <v>239</v>
      </c>
      <c r="B20" s="58">
        <v>0.02</v>
      </c>
      <c r="C20" s="59">
        <v>0.01</v>
      </c>
      <c r="D20" s="60">
        <v>8.5000000000000006E-3</v>
      </c>
      <c r="E20" s="42" t="s">
        <v>236</v>
      </c>
      <c r="F20" s="42"/>
      <c r="G20" s="42"/>
      <c r="H20" s="42"/>
      <c r="I20" s="42"/>
      <c r="J20" s="42"/>
      <c r="K20" s="42"/>
      <c r="L20" s="42"/>
      <c r="M20" s="42"/>
      <c r="N20" s="42"/>
      <c r="O20" s="42"/>
      <c r="P20" s="42"/>
      <c r="Q20" s="42"/>
      <c r="R20" s="42"/>
      <c r="S20" s="42"/>
      <c r="T20" s="42"/>
      <c r="U20" s="42"/>
      <c r="V20" s="42"/>
      <c r="W20" s="42"/>
      <c r="X20" s="42"/>
      <c r="Y20" s="42"/>
      <c r="Z20" s="42"/>
    </row>
    <row r="21" spans="1:26" ht="15.75" customHeight="1" x14ac:dyDescent="0.2">
      <c r="A21" s="43" t="s">
        <v>240</v>
      </c>
      <c r="B21" s="47">
        <v>0.02</v>
      </c>
      <c r="C21" s="42"/>
      <c r="D21" s="42"/>
      <c r="E21" s="42" t="s">
        <v>241</v>
      </c>
      <c r="F21" s="42"/>
      <c r="G21" s="42"/>
      <c r="H21" s="42"/>
      <c r="I21" s="42"/>
      <c r="J21" s="42"/>
      <c r="K21" s="42"/>
      <c r="L21" s="42"/>
      <c r="M21" s="42"/>
      <c r="N21" s="42"/>
      <c r="O21" s="42"/>
      <c r="P21" s="42"/>
      <c r="Q21" s="42"/>
      <c r="R21" s="42"/>
      <c r="S21" s="42"/>
      <c r="T21" s="42"/>
      <c r="U21" s="42"/>
      <c r="V21" s="42"/>
      <c r="W21" s="42"/>
      <c r="X21" s="42"/>
      <c r="Y21" s="42"/>
      <c r="Z21" s="42"/>
    </row>
    <row r="22" spans="1:26" ht="15.75" customHeight="1" x14ac:dyDescent="0.2">
      <c r="A22" s="43" t="s">
        <v>242</v>
      </c>
      <c r="B22" s="47">
        <v>0.1</v>
      </c>
      <c r="C22" s="43" t="s">
        <v>243</v>
      </c>
      <c r="D22" s="53">
        <v>45536</v>
      </c>
      <c r="E22" s="42" t="s">
        <v>244</v>
      </c>
      <c r="F22" s="42"/>
      <c r="G22" s="42"/>
      <c r="H22" s="42"/>
      <c r="I22" s="42"/>
      <c r="J22" s="42"/>
      <c r="K22" s="42"/>
      <c r="L22" s="42"/>
      <c r="M22" s="42"/>
      <c r="N22" s="42"/>
      <c r="O22" s="42"/>
      <c r="P22" s="42"/>
      <c r="Q22" s="42"/>
      <c r="R22" s="42"/>
      <c r="S22" s="42"/>
      <c r="T22" s="42"/>
      <c r="U22" s="42"/>
      <c r="V22" s="42"/>
      <c r="W22" s="42"/>
      <c r="X22" s="42"/>
      <c r="Y22" s="42"/>
      <c r="Z22" s="42"/>
    </row>
    <row r="23" spans="1:26" ht="15.75" customHeight="1" x14ac:dyDescent="0.2">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spans="1:26" ht="15.75" customHeight="1" x14ac:dyDescent="0.2">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row>
    <row r="25" spans="1:26" ht="15.75" customHeight="1" x14ac:dyDescent="0.2">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row>
    <row r="26" spans="1:26" ht="15.75" customHeight="1" x14ac:dyDescent="0.2">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row>
    <row r="27" spans="1:26" ht="15.75" customHeight="1" x14ac:dyDescent="0.2">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row>
    <row r="28" spans="1:26" ht="15.75" customHeight="1" x14ac:dyDescent="0.2">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row>
    <row r="29" spans="1:26" ht="15.75" customHeight="1" x14ac:dyDescent="0.2">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row>
    <row r="30" spans="1:26" ht="15.75" customHeight="1" x14ac:dyDescent="0.2">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spans="1:26" ht="15.75" customHeight="1" x14ac:dyDescent="0.2">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row>
    <row r="32" spans="1:26" ht="15.75" customHeight="1" x14ac:dyDescent="0.2">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row>
    <row r="33" spans="1:26" ht="15.75" customHeight="1" x14ac:dyDescent="0.2">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spans="1:26" ht="15.75" customHeight="1" x14ac:dyDescent="0.2">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row>
    <row r="35" spans="1:26" ht="15.75" customHeight="1" x14ac:dyDescent="0.2">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spans="1:26" ht="15.75" customHeight="1" x14ac:dyDescent="0.2">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spans="1:26" ht="15.75" customHeight="1" x14ac:dyDescent="0.2">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spans="1:26" ht="15.75" customHeight="1" x14ac:dyDescent="0.2">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spans="1:26" ht="15.75" customHeight="1" x14ac:dyDescent="0.2">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spans="1:26" ht="15.75" customHeight="1" x14ac:dyDescent="0.2">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spans="1:26" ht="15.75" customHeight="1" x14ac:dyDescent="0.2">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spans="1:26" ht="15.75" customHeight="1" x14ac:dyDescent="0.2">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spans="1:26" ht="15.75" customHeight="1" x14ac:dyDescent="0.2">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spans="1:26" ht="15.75" customHeight="1" x14ac:dyDescent="0.2">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spans="1:26" ht="15.75" customHeight="1" x14ac:dyDescent="0.2">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spans="1:26" ht="15.75" customHeight="1" x14ac:dyDescent="0.2">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spans="1:26" ht="15.75" customHeight="1" x14ac:dyDescent="0.2">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spans="1:26" ht="15.75" customHeight="1" x14ac:dyDescent="0.2">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spans="1:26" ht="15.75" customHeight="1" x14ac:dyDescent="0.2">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spans="1:26" ht="15.75" customHeight="1" x14ac:dyDescent="0.2">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spans="1:26" ht="15.75" customHeight="1" x14ac:dyDescent="0.2">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spans="1:26" ht="15.75" customHeight="1" x14ac:dyDescent="0.2">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spans="1:26" ht="15.75" customHeight="1" x14ac:dyDescent="0.2">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spans="1:26" ht="15.75" customHeight="1" x14ac:dyDescent="0.2">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spans="1:26" ht="15.75" customHeight="1" x14ac:dyDescent="0.2">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spans="1:26" ht="15.75" customHeight="1" x14ac:dyDescent="0.2">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spans="1:26" ht="15.75" customHeight="1" x14ac:dyDescent="0.2">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spans="1:26" ht="15.75" customHeight="1" x14ac:dyDescent="0.2">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spans="1:26" ht="15.75" customHeight="1" x14ac:dyDescent="0.2">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spans="1:26" ht="15.75" customHeight="1" x14ac:dyDescent="0.2">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spans="1:26" ht="15.75" customHeight="1" x14ac:dyDescent="0.2">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spans="1:26" ht="15.75" customHeight="1" x14ac:dyDescent="0.2">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spans="1:26" ht="15.75" customHeight="1" x14ac:dyDescent="0.2">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spans="1:26" ht="15.75" customHeight="1" x14ac:dyDescent="0.2">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spans="1:26" ht="15.75" customHeight="1" x14ac:dyDescent="0.2">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spans="1:26" ht="15.75" customHeight="1" x14ac:dyDescent="0.2">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spans="1:26" ht="15.75" customHeight="1" x14ac:dyDescent="0.2">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spans="1:26" ht="15.75" customHeight="1" x14ac:dyDescent="0.2">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spans="1:26" ht="15.75" customHeight="1" x14ac:dyDescent="0.2">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spans="1:26" ht="15.75" customHeight="1" x14ac:dyDescent="0.2">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spans="1:26" ht="15.75" customHeight="1" x14ac:dyDescent="0.2">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spans="1:26" ht="15.75" customHeight="1" x14ac:dyDescent="0.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spans="1:26" ht="15.75" customHeight="1" x14ac:dyDescent="0.2">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spans="1:26" ht="15.75" customHeight="1" x14ac:dyDescent="0.2">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spans="1:26" ht="15.75" customHeight="1" x14ac:dyDescent="0.2">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spans="1:26" ht="15.75" customHeight="1" x14ac:dyDescent="0.2">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spans="1:26" ht="15.75" customHeight="1" x14ac:dyDescent="0.2">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spans="1:26" ht="15.75" customHeight="1" x14ac:dyDescent="0.2">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spans="1:26" ht="15.75" customHeight="1" x14ac:dyDescent="0.2">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spans="1:26" ht="15.75" customHeight="1" x14ac:dyDescent="0.2">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spans="1:26" ht="15.75" customHeight="1" x14ac:dyDescent="0.2">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spans="1:26" ht="15.75" customHeight="1" x14ac:dyDescent="0.2">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spans="1:26" ht="15.75" customHeight="1" x14ac:dyDescent="0.2">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spans="1:26" ht="15.75" customHeight="1" x14ac:dyDescent="0.2">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spans="1:26" ht="15.75" customHeight="1" x14ac:dyDescent="0.2">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spans="1:26" ht="15.75" customHeight="1" x14ac:dyDescent="0.2">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spans="1:26" ht="15.75" customHeight="1" x14ac:dyDescent="0.2">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spans="1:26" ht="15.75" customHeight="1" x14ac:dyDescent="0.2">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spans="1:26" ht="15.75" customHeight="1" x14ac:dyDescent="0.2">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spans="1:26" ht="15.75" customHeight="1" x14ac:dyDescent="0.2">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spans="1:26" ht="15.75" customHeight="1" x14ac:dyDescent="0.2">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spans="1:26" ht="15.75" customHeight="1" x14ac:dyDescent="0.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spans="1:26" ht="15.75" customHeight="1" x14ac:dyDescent="0.2">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spans="1:26" ht="15.75" customHeight="1" x14ac:dyDescent="0.2">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spans="1:26" ht="15.75" customHeight="1" x14ac:dyDescent="0.2">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spans="1:26" ht="15.75" customHeight="1" x14ac:dyDescent="0.2">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spans="1:26" ht="15.75" customHeight="1" x14ac:dyDescent="0.2">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spans="1:26" ht="15.75" customHeight="1" x14ac:dyDescent="0.2">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spans="1:26" ht="15.75" customHeight="1" x14ac:dyDescent="0.2">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spans="1:26" ht="15.75" customHeight="1" x14ac:dyDescent="0.2">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spans="1:26" ht="15.75" customHeight="1" x14ac:dyDescent="0.2">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spans="1:26" ht="15.75" customHeight="1" x14ac:dyDescent="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spans="1:26" ht="15.75" customHeight="1" x14ac:dyDescent="0.2">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spans="1:26" ht="15.75" customHeight="1" x14ac:dyDescent="0.2">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spans="1:26" ht="15.75" customHeight="1" x14ac:dyDescent="0.2">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spans="1:26" ht="15.75" customHeight="1" x14ac:dyDescent="0.2">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spans="1:26" ht="15.75" customHeight="1" x14ac:dyDescent="0.2">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spans="1:26" ht="15.75" customHeight="1" x14ac:dyDescent="0.2">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spans="1:26" ht="15.75" customHeight="1" x14ac:dyDescent="0.2">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spans="1:26" ht="15.75" customHeight="1" x14ac:dyDescent="0.2">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spans="1:26" ht="15.75" customHeight="1" x14ac:dyDescent="0.2">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spans="1:26" ht="15.75" customHeight="1" x14ac:dyDescent="0.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spans="1:26" ht="15.75" customHeight="1" x14ac:dyDescent="0.2">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spans="1:26" ht="15.75" customHeight="1" x14ac:dyDescent="0.2">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spans="1:26" ht="15.75" customHeight="1" x14ac:dyDescent="0.2">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spans="1:26" ht="15.75" customHeight="1" x14ac:dyDescent="0.2">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spans="1:26" ht="15.75" customHeight="1" x14ac:dyDescent="0.2">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spans="1:26" ht="15.75" customHeight="1" x14ac:dyDescent="0.2">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spans="1:26" ht="15.75" customHeight="1" x14ac:dyDescent="0.2">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spans="1:26" ht="15.75" customHeight="1" x14ac:dyDescent="0.2">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spans="1:26" ht="15.75" customHeight="1" x14ac:dyDescent="0.2">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spans="1:26" ht="15.75" customHeight="1" x14ac:dyDescent="0.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spans="1:26" ht="15.75" customHeight="1" x14ac:dyDescent="0.2">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spans="1:26" ht="15.75" customHeight="1" x14ac:dyDescent="0.2">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spans="1:26" ht="15.75" customHeight="1" x14ac:dyDescent="0.2">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spans="1:26" ht="15.75" customHeight="1" x14ac:dyDescent="0.2">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spans="1:26" ht="15.75" customHeight="1" x14ac:dyDescent="0.2">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spans="1:26" ht="15.75" customHeight="1" x14ac:dyDescent="0.2">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spans="1:26" ht="15.75" customHeight="1" x14ac:dyDescent="0.2">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spans="1:26" ht="15.75" customHeight="1" x14ac:dyDescent="0.2">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spans="1:26" ht="15.75" customHeight="1" x14ac:dyDescent="0.2">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spans="1:26" ht="15.75" customHeight="1" x14ac:dyDescent="0.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spans="1:26" ht="15.75" customHeight="1" x14ac:dyDescent="0.2">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spans="1:26" ht="15.75" customHeight="1" x14ac:dyDescent="0.2">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spans="1:26" ht="15.75" customHeight="1" x14ac:dyDescent="0.2">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spans="1:26" ht="15.75" customHeight="1" x14ac:dyDescent="0.2">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spans="1:26" ht="15.75" customHeight="1" x14ac:dyDescent="0.2">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spans="1:26" ht="15.75" customHeight="1" x14ac:dyDescent="0.2">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spans="1:26" ht="15.75" customHeight="1" x14ac:dyDescent="0.2">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spans="1:26" ht="15.75" customHeight="1" x14ac:dyDescent="0.2">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spans="1:26" ht="15.75" customHeight="1" x14ac:dyDescent="0.2">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spans="1:26" ht="15.75" customHeight="1" x14ac:dyDescent="0.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spans="1:26" ht="15.75" customHeight="1" x14ac:dyDescent="0.2">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spans="1:26" ht="15.75" customHeight="1" x14ac:dyDescent="0.2">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spans="1:26" ht="15.75" customHeight="1" x14ac:dyDescent="0.2">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spans="1:26" ht="15.75" customHeight="1" x14ac:dyDescent="0.2">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spans="1:26" ht="15.75" customHeight="1" x14ac:dyDescent="0.2">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spans="1:26" ht="15.75" customHeight="1" x14ac:dyDescent="0.2">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spans="1:26" ht="15.75" customHeight="1" x14ac:dyDescent="0.2">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spans="1:26" ht="15.75" customHeight="1" x14ac:dyDescent="0.2">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spans="1:26" ht="15.75" customHeight="1" x14ac:dyDescent="0.2">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spans="1:26" ht="15.75" customHeight="1" x14ac:dyDescent="0.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spans="1:26" ht="15.75" customHeight="1" x14ac:dyDescent="0.2">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spans="1:26" ht="15.75" customHeight="1" x14ac:dyDescent="0.2">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spans="1:26" ht="15.75" customHeight="1" x14ac:dyDescent="0.2">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spans="1:26" ht="15.75" customHeight="1" x14ac:dyDescent="0.2">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spans="1:26" ht="15.75" customHeight="1" x14ac:dyDescent="0.2">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spans="1:26" ht="15.75" customHeight="1" x14ac:dyDescent="0.2">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spans="1:26" ht="15.75" customHeight="1" x14ac:dyDescent="0.2">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spans="1:26" ht="15.75" customHeight="1" x14ac:dyDescent="0.2">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spans="1:26" ht="15.75" customHeight="1" x14ac:dyDescent="0.2">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spans="1:26" ht="15.75" customHeight="1" x14ac:dyDescent="0.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spans="1:26" ht="15.75" customHeight="1" x14ac:dyDescent="0.2">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spans="1:26" ht="15.75" customHeight="1" x14ac:dyDescent="0.2">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spans="1:26" ht="15.75" customHeight="1" x14ac:dyDescent="0.2">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spans="1:26" ht="15.75" customHeight="1" x14ac:dyDescent="0.2">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spans="1:26" ht="15.75" customHeight="1" x14ac:dyDescent="0.2">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spans="1:26" ht="15.75" customHeight="1" x14ac:dyDescent="0.2">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spans="1:26" ht="15.75" customHeight="1" x14ac:dyDescent="0.2">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spans="1:26" ht="15.75" customHeight="1" x14ac:dyDescent="0.2">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spans="1:26" ht="15.75" customHeight="1" x14ac:dyDescent="0.2">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spans="1:26" ht="15.75" customHeight="1" x14ac:dyDescent="0.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spans="1:26" ht="15.75" customHeight="1" x14ac:dyDescent="0.2">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spans="1:26" ht="15.75" customHeight="1" x14ac:dyDescent="0.2">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spans="1:26" ht="15.75" customHeight="1" x14ac:dyDescent="0.2">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spans="1:26" ht="15.75" customHeight="1" x14ac:dyDescent="0.2">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spans="1:26" ht="15.75" customHeight="1" x14ac:dyDescent="0.2">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spans="1:26" ht="15.75" customHeight="1" x14ac:dyDescent="0.2">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spans="1:26" ht="15.75" customHeight="1" x14ac:dyDescent="0.2">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spans="1:26" ht="15.75" customHeight="1" x14ac:dyDescent="0.2">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spans="1:26" ht="15.75" customHeight="1" x14ac:dyDescent="0.2">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spans="1:26" ht="15.75" customHeight="1" x14ac:dyDescent="0.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spans="1:26" ht="15.75" customHeight="1" x14ac:dyDescent="0.2">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spans="1:26" ht="15.75" customHeight="1" x14ac:dyDescent="0.2">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spans="1:26" ht="15.75" customHeight="1" x14ac:dyDescent="0.2">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spans="1:26" ht="15.75" customHeight="1" x14ac:dyDescent="0.2">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spans="1:26" ht="15.75" customHeight="1" x14ac:dyDescent="0.2">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spans="1:26" ht="15.75" customHeight="1" x14ac:dyDescent="0.2">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spans="1:26" ht="15.75" customHeight="1" x14ac:dyDescent="0.2">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spans="1:26" ht="15.75" customHeight="1" x14ac:dyDescent="0.2">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spans="1:26" ht="15.75" customHeight="1" x14ac:dyDescent="0.2">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spans="1:26" ht="15.75" customHeight="1" x14ac:dyDescent="0.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spans="1:26" ht="15.75" customHeight="1" x14ac:dyDescent="0.2">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spans="1:26" ht="15.75" customHeight="1" x14ac:dyDescent="0.2">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spans="1:26" ht="15.75" customHeight="1" x14ac:dyDescent="0.2">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spans="1:26" ht="15.75" customHeight="1" x14ac:dyDescent="0.2">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spans="1:26" ht="15.75" customHeight="1" x14ac:dyDescent="0.2">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spans="1:26" ht="15.75" customHeight="1" x14ac:dyDescent="0.2">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spans="1:26" ht="15.75" customHeight="1" x14ac:dyDescent="0.2">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spans="1:26" ht="15.75" customHeight="1" x14ac:dyDescent="0.2">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spans="1:26" ht="15.75" customHeight="1" x14ac:dyDescent="0.2">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spans="1:26" ht="15.75" customHeight="1" x14ac:dyDescent="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spans="1:26" ht="15.75" customHeight="1" x14ac:dyDescent="0.2">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spans="1:26" ht="15.75" customHeight="1" x14ac:dyDescent="0.2">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spans="1:26" ht="15.75" customHeight="1" x14ac:dyDescent="0.2">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spans="1:26" ht="15.75" customHeight="1" x14ac:dyDescent="0.2">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spans="1:26" ht="15.75" customHeight="1" x14ac:dyDescent="0.2">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spans="1:26" ht="15.75" customHeight="1" x14ac:dyDescent="0.2">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spans="1:26" ht="15.75" customHeight="1" x14ac:dyDescent="0.2">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spans="1:26" ht="15.75" customHeight="1" x14ac:dyDescent="0.2">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spans="1:26" ht="15.75" customHeight="1" x14ac:dyDescent="0.2">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spans="1:26" ht="15.75" customHeight="1" x14ac:dyDescent="0.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spans="1:26" ht="15.75" customHeight="1" x14ac:dyDescent="0.2">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spans="1:26" ht="15.75" customHeight="1" x14ac:dyDescent="0.2">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spans="1:26" ht="15.75" customHeight="1" x14ac:dyDescent="0.2">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spans="1:26" ht="15.75" customHeight="1" x14ac:dyDescent="0.2">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spans="1:26" ht="15.75" customHeight="1" x14ac:dyDescent="0.2">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spans="1:26" ht="15.75" customHeight="1" x14ac:dyDescent="0.2">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spans="1:26" ht="15.75" customHeight="1" x14ac:dyDescent="0.2">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spans="1:26" ht="15.75" customHeight="1" x14ac:dyDescent="0.2">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spans="1:26" ht="15.75" customHeight="1" x14ac:dyDescent="0.2">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spans="1:26" ht="15.75" customHeight="1" x14ac:dyDescent="0.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spans="1:26" ht="15.75" customHeight="1" x14ac:dyDescent="0.2">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spans="1:26" ht="15.75" customHeight="1" x14ac:dyDescent="0.2">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spans="1:26" ht="15.75" customHeight="1" x14ac:dyDescent="0.2">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spans="1:26" ht="15.75" customHeight="1" x14ac:dyDescent="0.2">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spans="1:26" ht="15.75" customHeight="1" x14ac:dyDescent="0.2">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spans="1:26" ht="15.75" customHeight="1" x14ac:dyDescent="0.2">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spans="1:26" ht="15.75" customHeight="1" x14ac:dyDescent="0.2">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spans="1:26" ht="15.75" customHeight="1" x14ac:dyDescent="0.2">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spans="1:26" ht="15.75" customHeight="1" x14ac:dyDescent="0.2">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spans="1:26" ht="15.75" customHeight="1" x14ac:dyDescent="0.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spans="1:26" ht="15.75" customHeight="1" x14ac:dyDescent="0.2">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spans="1:26" ht="15.75" customHeight="1" x14ac:dyDescent="0.2">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spans="1:26" ht="15.75" customHeight="1" x14ac:dyDescent="0.2">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spans="1:26" ht="15.75" customHeight="1" x14ac:dyDescent="0.2">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spans="1:26" ht="15.75" customHeight="1" x14ac:dyDescent="0.2">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spans="1:26" ht="15.75" customHeight="1" x14ac:dyDescent="0.2">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spans="1:26" ht="15.75" customHeight="1" x14ac:dyDescent="0.2">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spans="1:26" ht="15.75" customHeight="1" x14ac:dyDescent="0.2">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spans="1:26" ht="15.75" customHeight="1" x14ac:dyDescent="0.2">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spans="1:26" ht="15.75" customHeight="1" x14ac:dyDescent="0.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spans="1:26" ht="15.75" customHeight="1" x14ac:dyDescent="0.2">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spans="1:26" ht="15.75" customHeight="1" x14ac:dyDescent="0.2">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spans="1:26" ht="15.75" customHeight="1" x14ac:dyDescent="0.2">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spans="1:26" ht="15.75" customHeight="1" x14ac:dyDescent="0.2">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spans="1:26" ht="15.75" customHeight="1" x14ac:dyDescent="0.2">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spans="1:26" ht="15.75" customHeight="1" x14ac:dyDescent="0.2">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spans="1:26" ht="15.75" customHeight="1" x14ac:dyDescent="0.2">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spans="1:26" ht="15.75" customHeight="1" x14ac:dyDescent="0.2">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spans="1:26" ht="15.75" customHeight="1" x14ac:dyDescent="0.2">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spans="1:26" ht="15.75" customHeight="1" x14ac:dyDescent="0.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spans="1:26" ht="15.75" customHeight="1" x14ac:dyDescent="0.2">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spans="1:26" ht="15.75" customHeight="1" x14ac:dyDescent="0.2">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spans="1:26" ht="15.75" customHeight="1" x14ac:dyDescent="0.2">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spans="1:26" ht="15.75" customHeight="1" x14ac:dyDescent="0.2">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spans="1:26" ht="15.75" customHeight="1" x14ac:dyDescent="0.2">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spans="1:26" ht="15.75" customHeight="1" x14ac:dyDescent="0.2">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spans="1:26" ht="15.75" customHeight="1" x14ac:dyDescent="0.2">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spans="1:26" ht="15.75" customHeight="1" x14ac:dyDescent="0.2">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spans="1:26" ht="15.75" customHeight="1" x14ac:dyDescent="0.2">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spans="1:26" ht="15.75" customHeight="1" x14ac:dyDescent="0.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spans="1:26" ht="15.75" customHeight="1" x14ac:dyDescent="0.2">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spans="1:26" ht="15.75" customHeight="1" x14ac:dyDescent="0.2">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spans="1:26" ht="15.75" customHeight="1" x14ac:dyDescent="0.2">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spans="1:26" ht="15.75" customHeight="1" x14ac:dyDescent="0.2">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spans="1:26" ht="15.75" customHeight="1" x14ac:dyDescent="0.2">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spans="1:26" ht="15.75" customHeight="1" x14ac:dyDescent="0.2">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spans="1:26" ht="15.75" customHeight="1" x14ac:dyDescent="0.2">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spans="1:26" ht="15.75" customHeight="1" x14ac:dyDescent="0.2">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spans="1:26" ht="15.75" customHeight="1" x14ac:dyDescent="0.2">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spans="1:26" ht="15.75" customHeight="1" x14ac:dyDescent="0.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spans="1:26" ht="15.75" customHeight="1" x14ac:dyDescent="0.2">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spans="1:26" ht="15.75" customHeight="1" x14ac:dyDescent="0.2">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spans="1:26" ht="15.75" customHeight="1" x14ac:dyDescent="0.2">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spans="1:26" ht="15.75" customHeight="1" x14ac:dyDescent="0.2">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spans="1:26" ht="15.75" customHeight="1" x14ac:dyDescent="0.2">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spans="1:26" ht="15.75" customHeight="1" x14ac:dyDescent="0.2">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spans="1:26" ht="15.75" customHeight="1" x14ac:dyDescent="0.2">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spans="1:26" ht="15.75" customHeight="1" x14ac:dyDescent="0.2">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spans="1:26" ht="15.75" customHeight="1" x14ac:dyDescent="0.2">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spans="1:26" ht="15.75" customHeight="1" x14ac:dyDescent="0.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spans="1:26" ht="15.75" customHeight="1" x14ac:dyDescent="0.2">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spans="1:26" ht="15.75" customHeight="1" x14ac:dyDescent="0.2">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spans="1:26" ht="15.75" customHeight="1" x14ac:dyDescent="0.2">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spans="1:26" ht="15.75" customHeight="1" x14ac:dyDescent="0.2">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spans="1:26" ht="15.75" customHeight="1" x14ac:dyDescent="0.2">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spans="1:26" ht="15.75" customHeight="1" x14ac:dyDescent="0.2">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spans="1:26" ht="15.75" customHeight="1" x14ac:dyDescent="0.2">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spans="1:26" ht="15.75" customHeight="1" x14ac:dyDescent="0.2">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spans="1:26" ht="15.75" customHeight="1" x14ac:dyDescent="0.2">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spans="1:26" ht="15.75" customHeight="1" x14ac:dyDescent="0.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spans="1:26" ht="15.75" customHeight="1" x14ac:dyDescent="0.2">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spans="1:26" ht="15.75" customHeight="1" x14ac:dyDescent="0.2">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spans="1:26" ht="15.75" customHeight="1" x14ac:dyDescent="0.2">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spans="1:26" ht="15.75" customHeight="1" x14ac:dyDescent="0.2">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spans="1:26" ht="15.75" customHeight="1" x14ac:dyDescent="0.2">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spans="1:26" ht="15.75" customHeight="1" x14ac:dyDescent="0.2">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spans="1:26" ht="15.75" customHeight="1" x14ac:dyDescent="0.2">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spans="1:26" ht="15.75" customHeight="1" x14ac:dyDescent="0.2">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spans="1:26" ht="15.75" customHeight="1" x14ac:dyDescent="0.2">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spans="1:26" ht="15.75" customHeight="1" x14ac:dyDescent="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spans="1:26" ht="15.75" customHeight="1" x14ac:dyDescent="0.2">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spans="1:26" ht="15.75" customHeight="1" x14ac:dyDescent="0.2">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spans="1:26" ht="15.75" customHeight="1" x14ac:dyDescent="0.2">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spans="1:26" ht="15.75" customHeight="1" x14ac:dyDescent="0.2">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spans="1:26" ht="15.75" customHeight="1" x14ac:dyDescent="0.2">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spans="1:26" ht="15.75" customHeight="1" x14ac:dyDescent="0.2">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spans="1:26" ht="15.75" customHeight="1" x14ac:dyDescent="0.2">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spans="1:26" ht="15.75" customHeight="1" x14ac:dyDescent="0.2">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spans="1:26" ht="15.75" customHeight="1" x14ac:dyDescent="0.2">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spans="1:26" ht="15.75" customHeight="1" x14ac:dyDescent="0.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spans="1:26" ht="15.75" customHeight="1" x14ac:dyDescent="0.2">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spans="1:26" ht="15.75" customHeight="1" x14ac:dyDescent="0.2">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spans="1:26" ht="15.75" customHeight="1" x14ac:dyDescent="0.2">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spans="1:26" ht="15.75" customHeight="1" x14ac:dyDescent="0.2">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spans="1:26" ht="15.75" customHeight="1" x14ac:dyDescent="0.2">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spans="1:26" ht="15.75" customHeight="1" x14ac:dyDescent="0.2">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spans="1:26" ht="15.75" customHeight="1" x14ac:dyDescent="0.2">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spans="1:26" ht="15.75" customHeight="1" x14ac:dyDescent="0.2">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spans="1:26" ht="15.75" customHeight="1" x14ac:dyDescent="0.2">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spans="1:26" ht="15.75" customHeight="1" x14ac:dyDescent="0.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spans="1:26" ht="15.75" customHeight="1" x14ac:dyDescent="0.2">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spans="1:26" ht="15.75" customHeight="1" x14ac:dyDescent="0.2">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spans="1:26" ht="15.75" customHeight="1" x14ac:dyDescent="0.2">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spans="1:26" ht="15.75" customHeight="1" x14ac:dyDescent="0.2">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spans="1:26" ht="15.75" customHeight="1" x14ac:dyDescent="0.2">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spans="1:26" ht="15.75" customHeight="1" x14ac:dyDescent="0.2">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spans="1:26" ht="15.75" customHeight="1" x14ac:dyDescent="0.2">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spans="1:26" ht="15.75" customHeight="1" x14ac:dyDescent="0.2">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spans="1:26" ht="15.75" customHeight="1" x14ac:dyDescent="0.2">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spans="1:26" ht="15.75" customHeight="1" x14ac:dyDescent="0.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spans="1:26" ht="15.75" customHeight="1" x14ac:dyDescent="0.2">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spans="1:26" ht="15.75" customHeight="1" x14ac:dyDescent="0.2">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spans="1:26" ht="15.75" customHeight="1" x14ac:dyDescent="0.2">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spans="1:26" ht="15.75" customHeight="1" x14ac:dyDescent="0.2">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spans="1:26" ht="15.75" customHeight="1" x14ac:dyDescent="0.2">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spans="1:26" ht="15.75" customHeight="1" x14ac:dyDescent="0.2">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spans="1:26" ht="15.75" customHeight="1" x14ac:dyDescent="0.2">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spans="1:26" ht="15.75" customHeight="1" x14ac:dyDescent="0.2">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spans="1:26" ht="15.75" customHeight="1" x14ac:dyDescent="0.2">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spans="1:26" ht="15.75" customHeight="1" x14ac:dyDescent="0.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spans="1:26" ht="15.75" customHeight="1" x14ac:dyDescent="0.2">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spans="1:26" ht="15.75" customHeight="1" x14ac:dyDescent="0.2">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spans="1:26" ht="15.75" customHeight="1" x14ac:dyDescent="0.2">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spans="1:26" ht="15.75" customHeight="1" x14ac:dyDescent="0.2">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spans="1:26" ht="15.75" customHeight="1" x14ac:dyDescent="0.2">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spans="1:26" ht="15.75" customHeight="1" x14ac:dyDescent="0.2">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spans="1:26" ht="15.75" customHeight="1" x14ac:dyDescent="0.2">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spans="1:26" ht="15.75" customHeight="1" x14ac:dyDescent="0.2">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spans="1:26" ht="15.75" customHeight="1" x14ac:dyDescent="0.2">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spans="1:26" ht="15.75" customHeight="1" x14ac:dyDescent="0.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spans="1:26" ht="15.75" customHeight="1" x14ac:dyDescent="0.2">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spans="1:26" ht="15.75" customHeight="1" x14ac:dyDescent="0.2">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spans="1:26" ht="15.75" customHeight="1" x14ac:dyDescent="0.2">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spans="1:26" ht="15.75" customHeight="1" x14ac:dyDescent="0.2">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spans="1:26" ht="15.75" customHeight="1" x14ac:dyDescent="0.2">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spans="1:26" ht="15.75" customHeight="1" x14ac:dyDescent="0.2">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spans="1:26" ht="15.75" customHeight="1" x14ac:dyDescent="0.2">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spans="1:26" ht="15.75" customHeight="1" x14ac:dyDescent="0.2">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spans="1:26" ht="15.75" customHeight="1" x14ac:dyDescent="0.2">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spans="1:26" ht="15.75" customHeight="1" x14ac:dyDescent="0.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spans="1:26" ht="15.75" customHeight="1" x14ac:dyDescent="0.2">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spans="1:26" ht="15.75" customHeight="1" x14ac:dyDescent="0.2">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spans="1:26" ht="15.75" customHeight="1" x14ac:dyDescent="0.2">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spans="1:26" ht="15.75" customHeight="1" x14ac:dyDescent="0.2">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spans="1:26" ht="15.75" customHeight="1" x14ac:dyDescent="0.2">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spans="1:26" ht="15.75" customHeight="1" x14ac:dyDescent="0.2">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spans="1:26" ht="15.75" customHeight="1" x14ac:dyDescent="0.2">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spans="1:26" ht="15.75" customHeight="1" x14ac:dyDescent="0.2">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spans="1:26" ht="15.75" customHeight="1" x14ac:dyDescent="0.2">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spans="1:26" ht="15.75" customHeight="1" x14ac:dyDescent="0.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spans="1:26" ht="15.75" customHeight="1" x14ac:dyDescent="0.2">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spans="1:26" ht="15.75" customHeight="1" x14ac:dyDescent="0.2">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spans="1:26" ht="15.75" customHeight="1" x14ac:dyDescent="0.2">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spans="1:26" ht="15.75" customHeight="1" x14ac:dyDescent="0.2">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spans="1:26" ht="15.75" customHeight="1" x14ac:dyDescent="0.2">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spans="1:26" ht="15.75" customHeight="1" x14ac:dyDescent="0.2">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spans="1:26" ht="15.75" customHeight="1" x14ac:dyDescent="0.2">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spans="1:26" ht="15.75" customHeight="1" x14ac:dyDescent="0.2">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spans="1:26" ht="15.75" customHeight="1" x14ac:dyDescent="0.2">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spans="1:26" ht="15.75" customHeight="1" x14ac:dyDescent="0.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spans="1:26" ht="15.75" customHeight="1" x14ac:dyDescent="0.2">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spans="1:26" ht="15.75" customHeight="1" x14ac:dyDescent="0.2">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spans="1:26" ht="15.75" customHeight="1" x14ac:dyDescent="0.2">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spans="1:26" ht="15.75" customHeight="1" x14ac:dyDescent="0.2">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spans="1:26" ht="15.75" customHeight="1" x14ac:dyDescent="0.2">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spans="1:26" ht="15.75" customHeight="1" x14ac:dyDescent="0.2">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spans="1:26" ht="15.75" customHeight="1" x14ac:dyDescent="0.2">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spans="1:26" ht="15.75" customHeight="1" x14ac:dyDescent="0.2">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spans="1:26" ht="15.75" customHeight="1" x14ac:dyDescent="0.2">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spans="1:26" ht="15.75" customHeight="1" x14ac:dyDescent="0.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spans="1:26" ht="15.75" customHeight="1" x14ac:dyDescent="0.2">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spans="1:26" ht="15.75" customHeight="1" x14ac:dyDescent="0.2">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spans="1:26" ht="15.75" customHeight="1" x14ac:dyDescent="0.2">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spans="1:26" ht="15.75" customHeight="1" x14ac:dyDescent="0.2">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spans="1:26" ht="15.75" customHeight="1" x14ac:dyDescent="0.2">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spans="1:26" ht="15.75" customHeight="1" x14ac:dyDescent="0.2">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spans="1:26" ht="15.75" customHeight="1" x14ac:dyDescent="0.2">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spans="1:26" ht="15.75" customHeight="1" x14ac:dyDescent="0.2">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spans="1:26" ht="15.75" customHeight="1" x14ac:dyDescent="0.2">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spans="1:26" ht="15.75" customHeight="1" x14ac:dyDescent="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spans="1:26" ht="15.75" customHeight="1" x14ac:dyDescent="0.2">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spans="1:26" ht="15.75" customHeight="1" x14ac:dyDescent="0.2">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spans="1:26" ht="15.75" customHeight="1" x14ac:dyDescent="0.2">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spans="1:26" ht="15.75" customHeight="1" x14ac:dyDescent="0.2">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spans="1:26" ht="15.75" customHeight="1" x14ac:dyDescent="0.2">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spans="1:26" ht="15.75" customHeight="1" x14ac:dyDescent="0.2">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spans="1:26" ht="15.75" customHeight="1" x14ac:dyDescent="0.2">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spans="1:26" ht="15.75" customHeight="1" x14ac:dyDescent="0.2">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spans="1:26" ht="15.75" customHeight="1" x14ac:dyDescent="0.2">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spans="1:26" ht="15.75" customHeight="1" x14ac:dyDescent="0.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spans="1:26" ht="15.75" customHeight="1" x14ac:dyDescent="0.2">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spans="1:26" ht="15.75" customHeight="1" x14ac:dyDescent="0.2">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spans="1:26" ht="15.75" customHeight="1" x14ac:dyDescent="0.2">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spans="1:26" ht="15.75" customHeight="1" x14ac:dyDescent="0.2">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spans="1:26" ht="15.75" customHeight="1" x14ac:dyDescent="0.2">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spans="1:26" ht="15.75" customHeight="1" x14ac:dyDescent="0.2">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spans="1:26" ht="15.75" customHeight="1" x14ac:dyDescent="0.2">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spans="1:26" ht="15.75" customHeight="1" x14ac:dyDescent="0.2">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spans="1:26" ht="15.75" customHeight="1" x14ac:dyDescent="0.2">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spans="1:26" ht="15.75" customHeight="1" x14ac:dyDescent="0.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spans="1:26" ht="15.75" customHeight="1" x14ac:dyDescent="0.2">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spans="1:26" ht="15.75" customHeight="1" x14ac:dyDescent="0.2">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spans="1:26" ht="15.75" customHeight="1" x14ac:dyDescent="0.2">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spans="1:26" ht="15.75" customHeight="1" x14ac:dyDescent="0.2">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spans="1:26" ht="15.75" customHeight="1" x14ac:dyDescent="0.2">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spans="1:26" ht="15.75" customHeight="1" x14ac:dyDescent="0.2">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spans="1:26" ht="15.75" customHeight="1" x14ac:dyDescent="0.2">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spans="1:26" ht="15.75" customHeight="1" x14ac:dyDescent="0.2">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spans="1:26" ht="15.75" customHeight="1" x14ac:dyDescent="0.2">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spans="1:26" ht="15.75" customHeight="1" x14ac:dyDescent="0.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spans="1:26" ht="15.75" customHeight="1" x14ac:dyDescent="0.2">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spans="1:26" ht="15.75" customHeight="1" x14ac:dyDescent="0.2">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spans="1:26" ht="15.75" customHeight="1" x14ac:dyDescent="0.2">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spans="1:26" ht="15.75" customHeight="1" x14ac:dyDescent="0.2">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spans="1:26" ht="15.75" customHeight="1" x14ac:dyDescent="0.2">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spans="1:26" ht="15.75" customHeight="1" x14ac:dyDescent="0.2">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spans="1:26" ht="15.75" customHeight="1" x14ac:dyDescent="0.2">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spans="1:26" ht="15.75" customHeight="1" x14ac:dyDescent="0.2">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spans="1:26" ht="15.75" customHeight="1" x14ac:dyDescent="0.2">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spans="1:26" ht="15.75" customHeight="1" x14ac:dyDescent="0.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spans="1:26" ht="15.75" customHeight="1" x14ac:dyDescent="0.2">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spans="1:26" ht="15.75" customHeight="1" x14ac:dyDescent="0.2">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spans="1:26" ht="15.75" customHeight="1" x14ac:dyDescent="0.2">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spans="1:26" ht="15.75" customHeight="1" x14ac:dyDescent="0.2">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spans="1:26" ht="15.75" customHeight="1" x14ac:dyDescent="0.2">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spans="1:26" ht="15.75" customHeight="1" x14ac:dyDescent="0.2">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spans="1:26" ht="15.75" customHeight="1" x14ac:dyDescent="0.2">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spans="1:26" ht="15.75" customHeight="1" x14ac:dyDescent="0.2">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spans="1:26" ht="15.75" customHeight="1" x14ac:dyDescent="0.2">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spans="1:26" ht="15.75" customHeight="1" x14ac:dyDescent="0.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spans="1:26" ht="15.75" customHeight="1" x14ac:dyDescent="0.2">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spans="1:26" ht="15.75" customHeight="1" x14ac:dyDescent="0.2">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spans="1:26" ht="15.75" customHeight="1" x14ac:dyDescent="0.2">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spans="1:26" ht="15.75" customHeight="1" x14ac:dyDescent="0.2">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spans="1:26" ht="15.75" customHeight="1" x14ac:dyDescent="0.2">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spans="1:26" ht="15.75" customHeight="1" x14ac:dyDescent="0.2">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spans="1:26" ht="15.75" customHeight="1" x14ac:dyDescent="0.2">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spans="1:26" ht="15.75" customHeight="1" x14ac:dyDescent="0.2">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spans="1:26" ht="15.75" customHeight="1" x14ac:dyDescent="0.2">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spans="1:26" ht="15.75" customHeight="1" x14ac:dyDescent="0.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spans="1:26" ht="15.75" customHeight="1" x14ac:dyDescent="0.2">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spans="1:26" ht="15.75" customHeight="1" x14ac:dyDescent="0.2">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spans="1:26" ht="15.75" customHeight="1" x14ac:dyDescent="0.2">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spans="1:26" ht="15.75" customHeight="1" x14ac:dyDescent="0.2">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spans="1:26" ht="15.75" customHeight="1" x14ac:dyDescent="0.2">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spans="1:26" ht="15.75" customHeight="1" x14ac:dyDescent="0.2">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spans="1:26" ht="15.75" customHeight="1" x14ac:dyDescent="0.2">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spans="1:26" ht="15.75" customHeight="1" x14ac:dyDescent="0.2">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spans="1:26" ht="15.75" customHeight="1" x14ac:dyDescent="0.2">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spans="1:26" ht="15.75" customHeight="1" x14ac:dyDescent="0.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spans="1:26" ht="15.75" customHeight="1" x14ac:dyDescent="0.2">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spans="1:26" ht="15.75" customHeight="1" x14ac:dyDescent="0.2">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spans="1:26" ht="15.75" customHeight="1" x14ac:dyDescent="0.2">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spans="1:26" ht="15.75" customHeight="1" x14ac:dyDescent="0.2">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spans="1:26" ht="15.75" customHeight="1" x14ac:dyDescent="0.2">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spans="1:26" ht="15.75" customHeight="1" x14ac:dyDescent="0.2">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spans="1:26" ht="15.75" customHeight="1" x14ac:dyDescent="0.2">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spans="1:26" ht="15.75" customHeight="1" x14ac:dyDescent="0.2">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spans="1:26" ht="15.75" customHeight="1" x14ac:dyDescent="0.2">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spans="1:26" ht="15.75" customHeight="1" x14ac:dyDescent="0.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spans="1:26" ht="15.75" customHeight="1" x14ac:dyDescent="0.2">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spans="1:26" ht="15.75" customHeight="1" x14ac:dyDescent="0.2">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spans="1:26" ht="15.75" customHeight="1" x14ac:dyDescent="0.2">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spans="1:26" ht="15.75" customHeight="1" x14ac:dyDescent="0.2">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spans="1:26" ht="15.75" customHeight="1" x14ac:dyDescent="0.2">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spans="1:26" ht="15.75" customHeight="1" x14ac:dyDescent="0.2">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spans="1:26" ht="15.75" customHeight="1" x14ac:dyDescent="0.2">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spans="1:26" ht="15.75" customHeight="1" x14ac:dyDescent="0.2">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spans="1:26" ht="15.75" customHeight="1" x14ac:dyDescent="0.2">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spans="1:26" ht="15.75" customHeight="1" x14ac:dyDescent="0.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spans="1:26" ht="15.75" customHeight="1" x14ac:dyDescent="0.2">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spans="1:26" ht="15.75" customHeight="1" x14ac:dyDescent="0.2">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spans="1:26" ht="15.75" customHeight="1" x14ac:dyDescent="0.2">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spans="1:26" ht="15.75" customHeight="1" x14ac:dyDescent="0.2">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spans="1:26" ht="15.75" customHeight="1" x14ac:dyDescent="0.2">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spans="1:26" ht="15.75" customHeight="1" x14ac:dyDescent="0.2">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spans="1:26" ht="15.75" customHeight="1" x14ac:dyDescent="0.2">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spans="1:26" ht="15.75" customHeight="1" x14ac:dyDescent="0.2">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spans="1:26" ht="15.75" customHeight="1" x14ac:dyDescent="0.2">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spans="1:26" ht="15.75" customHeight="1" x14ac:dyDescent="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spans="1:26" ht="15.75" customHeight="1" x14ac:dyDescent="0.2">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spans="1:26" ht="15.75" customHeight="1" x14ac:dyDescent="0.2">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spans="1:26" ht="15.75" customHeight="1" x14ac:dyDescent="0.2">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spans="1:26" ht="15.75" customHeight="1" x14ac:dyDescent="0.2">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spans="1:26" ht="15.75" customHeight="1" x14ac:dyDescent="0.2">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spans="1:26" ht="15.75" customHeight="1" x14ac:dyDescent="0.2">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spans="1:26" ht="15.75" customHeight="1" x14ac:dyDescent="0.2">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spans="1:26" ht="15.75" customHeight="1" x14ac:dyDescent="0.2">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spans="1:26" ht="15.75" customHeight="1" x14ac:dyDescent="0.2">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spans="1:26" ht="15.75" customHeight="1" x14ac:dyDescent="0.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spans="1:26" ht="15.75" customHeight="1" x14ac:dyDescent="0.2">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spans="1:26" ht="15.75" customHeight="1" x14ac:dyDescent="0.2">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spans="1:26" ht="15.75" customHeight="1" x14ac:dyDescent="0.2">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spans="1:26" ht="15.75" customHeight="1" x14ac:dyDescent="0.2">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spans="1:26" ht="15.75" customHeight="1" x14ac:dyDescent="0.2">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spans="1:26" ht="15.75" customHeight="1" x14ac:dyDescent="0.2">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spans="1:26" ht="15.75" customHeight="1" x14ac:dyDescent="0.2">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spans="1:26" ht="15.75" customHeight="1" x14ac:dyDescent="0.2">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spans="1:26" ht="15.75" customHeight="1" x14ac:dyDescent="0.2">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spans="1:26" ht="15.75" customHeight="1" x14ac:dyDescent="0.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spans="1:26" ht="15.75" customHeight="1" x14ac:dyDescent="0.2">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spans="1:26" ht="15.75" customHeight="1" x14ac:dyDescent="0.2">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spans="1:26" ht="15.75" customHeight="1" x14ac:dyDescent="0.2">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spans="1:26" ht="15.75" customHeight="1" x14ac:dyDescent="0.2">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spans="1:26" ht="15.75" customHeight="1" x14ac:dyDescent="0.2">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spans="1:26" ht="15.75" customHeight="1" x14ac:dyDescent="0.2">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spans="1:26" ht="15.75" customHeight="1" x14ac:dyDescent="0.2">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spans="1:26" ht="15.75" customHeight="1" x14ac:dyDescent="0.2">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spans="1:26" ht="15.75" customHeight="1" x14ac:dyDescent="0.2">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spans="1:26" ht="15.75" customHeight="1" x14ac:dyDescent="0.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spans="1:26" ht="15.75" customHeight="1" x14ac:dyDescent="0.2">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spans="1:26" ht="15.75" customHeight="1" x14ac:dyDescent="0.2">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spans="1:26" ht="15.75" customHeight="1" x14ac:dyDescent="0.2">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spans="1:26" ht="15.75" customHeight="1" x14ac:dyDescent="0.2">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spans="1:26" ht="15.75" customHeight="1" x14ac:dyDescent="0.2">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spans="1:26" ht="15.75" customHeight="1" x14ac:dyDescent="0.2">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spans="1:26" ht="15.75" customHeight="1" x14ac:dyDescent="0.2">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spans="1:26" ht="15.75" customHeight="1" x14ac:dyDescent="0.2">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spans="1:26" ht="15.75" customHeight="1" x14ac:dyDescent="0.2">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spans="1:26" ht="15.75" customHeight="1" x14ac:dyDescent="0.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spans="1:26" ht="15.75" customHeight="1" x14ac:dyDescent="0.2">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spans="1:26" ht="15.75" customHeight="1" x14ac:dyDescent="0.2">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spans="1:26" ht="15.75" customHeight="1" x14ac:dyDescent="0.2">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spans="1:26" ht="15.75" customHeight="1" x14ac:dyDescent="0.2">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spans="1:26" ht="15.75" customHeight="1" x14ac:dyDescent="0.2">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spans="1:26" ht="15.75" customHeight="1" x14ac:dyDescent="0.2">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spans="1:26" ht="15.75" customHeight="1" x14ac:dyDescent="0.2">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spans="1:26" ht="15.75" customHeight="1" x14ac:dyDescent="0.2">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spans="1:26" ht="15.75" customHeight="1" x14ac:dyDescent="0.2">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spans="1:26" ht="15.75" customHeight="1" x14ac:dyDescent="0.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spans="1:26" ht="15.75" customHeight="1" x14ac:dyDescent="0.2">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spans="1:26" ht="15.75" customHeight="1" x14ac:dyDescent="0.2">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spans="1:26" ht="15.75" customHeight="1" x14ac:dyDescent="0.2">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spans="1:26" ht="15.75" customHeight="1" x14ac:dyDescent="0.2">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spans="1:26" ht="15.75" customHeight="1" x14ac:dyDescent="0.2">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spans="1:26" ht="15.75" customHeight="1" x14ac:dyDescent="0.2">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spans="1:26" ht="15.75" customHeight="1" x14ac:dyDescent="0.2">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spans="1:26" ht="15.75" customHeight="1" x14ac:dyDescent="0.2">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spans="1:26" ht="15.75" customHeight="1" x14ac:dyDescent="0.2">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spans="1:26" ht="15.75" customHeight="1" x14ac:dyDescent="0.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spans="1:26" ht="15.75" customHeight="1" x14ac:dyDescent="0.2">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spans="1:26" ht="15.75" customHeight="1" x14ac:dyDescent="0.2">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spans="1:26" ht="15.75" customHeight="1" x14ac:dyDescent="0.2">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spans="1:26" ht="15.75" customHeight="1" x14ac:dyDescent="0.2">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spans="1:26" ht="15.75" customHeight="1" x14ac:dyDescent="0.2">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spans="1:26" ht="15.75" customHeight="1" x14ac:dyDescent="0.2">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spans="1:26" ht="15.75" customHeight="1" x14ac:dyDescent="0.2">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spans="1:26" ht="15.75" customHeight="1" x14ac:dyDescent="0.2">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spans="1:26" ht="15.75" customHeight="1" x14ac:dyDescent="0.2">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spans="1:26" ht="15.75" customHeight="1" x14ac:dyDescent="0.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spans="1:26" ht="15.75" customHeight="1" x14ac:dyDescent="0.2">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spans="1:26" ht="15.75" customHeight="1" x14ac:dyDescent="0.2">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spans="1:26" ht="15.75" customHeight="1" x14ac:dyDescent="0.2">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spans="1:26" ht="15.75" customHeight="1" x14ac:dyDescent="0.2">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spans="1:26" ht="15.75" customHeight="1" x14ac:dyDescent="0.2">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spans="1:26" ht="15.75" customHeight="1" x14ac:dyDescent="0.2">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spans="1:26" ht="15.75" customHeight="1" x14ac:dyDescent="0.2">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spans="1:26" ht="15.75" customHeight="1" x14ac:dyDescent="0.2">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spans="1:26" ht="15.75" customHeight="1" x14ac:dyDescent="0.2">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spans="1:26" ht="15.75" customHeight="1" x14ac:dyDescent="0.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spans="1:26" ht="15.75" customHeight="1" x14ac:dyDescent="0.2">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spans="1:26" ht="15.75" customHeight="1" x14ac:dyDescent="0.2">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spans="1:26" ht="15.75" customHeight="1" x14ac:dyDescent="0.2">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spans="1:26" ht="15.75" customHeight="1" x14ac:dyDescent="0.2">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spans="1:26" ht="15.75" customHeight="1" x14ac:dyDescent="0.2">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spans="1:26" ht="15.75" customHeight="1" x14ac:dyDescent="0.2">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spans="1:26" ht="15.75" customHeight="1" x14ac:dyDescent="0.2">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spans="1:26" ht="15.75" customHeight="1" x14ac:dyDescent="0.2">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spans="1:26" ht="15.75" customHeight="1" x14ac:dyDescent="0.2">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spans="1:26" ht="15.75" customHeight="1" x14ac:dyDescent="0.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spans="1:26" ht="15.75" customHeight="1" x14ac:dyDescent="0.2">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spans="1:26" ht="15.75" customHeight="1" x14ac:dyDescent="0.2">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spans="1:26" ht="15.75" customHeight="1" x14ac:dyDescent="0.2">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spans="1:26" ht="15.75" customHeight="1" x14ac:dyDescent="0.2">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spans="1:26" ht="15.75" customHeight="1" x14ac:dyDescent="0.2">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spans="1:26" ht="15.75" customHeight="1" x14ac:dyDescent="0.2">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spans="1:26" ht="15.75" customHeight="1" x14ac:dyDescent="0.2">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spans="1:26" ht="15.75" customHeight="1" x14ac:dyDescent="0.2">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spans="1:26" ht="15.75" customHeight="1" x14ac:dyDescent="0.2">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spans="1:26" ht="15.75" customHeight="1" x14ac:dyDescent="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spans="1:26" ht="15.75" customHeight="1" x14ac:dyDescent="0.2">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spans="1:26" ht="15.75" customHeight="1" x14ac:dyDescent="0.2">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spans="1:26" ht="15.75" customHeight="1" x14ac:dyDescent="0.2">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spans="1:26" ht="15.75" customHeight="1" x14ac:dyDescent="0.2">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spans="1:26" ht="15.75" customHeight="1" x14ac:dyDescent="0.2">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spans="1:26" ht="15.75" customHeight="1" x14ac:dyDescent="0.2">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spans="1:26" ht="15.75" customHeight="1" x14ac:dyDescent="0.2">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spans="1:26" ht="15.75" customHeight="1" x14ac:dyDescent="0.2">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spans="1:26" ht="15.75" customHeight="1" x14ac:dyDescent="0.2">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spans="1:26" ht="15.75" customHeight="1" x14ac:dyDescent="0.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spans="1:26" ht="15.75" customHeight="1" x14ac:dyDescent="0.2">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spans="1:26" ht="15.75" customHeight="1" x14ac:dyDescent="0.2">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spans="1:26" ht="15.75" customHeight="1" x14ac:dyDescent="0.2">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spans="1:26" ht="15.75" customHeight="1" x14ac:dyDescent="0.2">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spans="1:26" ht="15.75" customHeight="1" x14ac:dyDescent="0.2">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spans="1:26" ht="15.75" customHeight="1" x14ac:dyDescent="0.2">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spans="1:26" ht="15.75" customHeight="1" x14ac:dyDescent="0.2">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spans="1:26" ht="15.75" customHeight="1" x14ac:dyDescent="0.2">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spans="1:26" ht="15.75" customHeight="1" x14ac:dyDescent="0.2">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spans="1:26" ht="15.75" customHeight="1" x14ac:dyDescent="0.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spans="1:26" ht="15.75" customHeight="1" x14ac:dyDescent="0.2">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spans="1:26" ht="15.75" customHeight="1" x14ac:dyDescent="0.2">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spans="1:26" ht="15.75" customHeight="1" x14ac:dyDescent="0.2">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spans="1:26" ht="15.75" customHeight="1" x14ac:dyDescent="0.2">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spans="1:26" ht="15.75" customHeight="1" x14ac:dyDescent="0.2">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spans="1:26" ht="15.75" customHeight="1" x14ac:dyDescent="0.2">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spans="1:26" ht="15.75" customHeight="1" x14ac:dyDescent="0.2">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spans="1:26" ht="15.75" customHeight="1" x14ac:dyDescent="0.2">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spans="1:26" ht="15.75" customHeight="1" x14ac:dyDescent="0.2">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spans="1:26" ht="15.75" customHeight="1" x14ac:dyDescent="0.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spans="1:26" ht="15.75" customHeight="1" x14ac:dyDescent="0.2">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spans="1:26" ht="15.75" customHeight="1" x14ac:dyDescent="0.2">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spans="1:26" ht="15.75" customHeight="1" x14ac:dyDescent="0.2">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spans="1:26" ht="15.75" customHeight="1" x14ac:dyDescent="0.2">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spans="1:26" ht="15.75" customHeight="1" x14ac:dyDescent="0.2">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spans="1:26" ht="15.75" customHeight="1" x14ac:dyDescent="0.2">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spans="1:26" ht="15.75" customHeight="1" x14ac:dyDescent="0.2">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spans="1:26" ht="15.75" customHeight="1" x14ac:dyDescent="0.2">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spans="1:26" ht="15.75" customHeight="1" x14ac:dyDescent="0.2">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spans="1:26" ht="15.75" customHeight="1" x14ac:dyDescent="0.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spans="1:26" ht="15.75" customHeight="1" x14ac:dyDescent="0.2">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spans="1:26" ht="15.75" customHeight="1" x14ac:dyDescent="0.2">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spans="1:26" ht="15.75" customHeight="1" x14ac:dyDescent="0.2">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spans="1:26" ht="15.75" customHeight="1" x14ac:dyDescent="0.2">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spans="1:26" ht="15.75" customHeight="1" x14ac:dyDescent="0.2">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spans="1:26" ht="15.75" customHeight="1" x14ac:dyDescent="0.2">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spans="1:26" ht="15.75" customHeight="1" x14ac:dyDescent="0.2">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spans="1:26" ht="15.75" customHeight="1" x14ac:dyDescent="0.2">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spans="1:26" ht="15.75" customHeight="1" x14ac:dyDescent="0.2">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spans="1:26" ht="15.75" customHeight="1" x14ac:dyDescent="0.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spans="1:26" ht="15.75" customHeight="1" x14ac:dyDescent="0.2">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spans="1:26" ht="15.75" customHeight="1" x14ac:dyDescent="0.2">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spans="1:26" ht="15.75" customHeight="1" x14ac:dyDescent="0.2">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spans="1:26" ht="15.75" customHeight="1" x14ac:dyDescent="0.2">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spans="1:26" ht="15.75" customHeight="1" x14ac:dyDescent="0.2">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spans="1:26" ht="15.75" customHeight="1" x14ac:dyDescent="0.2">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spans="1:26" ht="15.75" customHeight="1" x14ac:dyDescent="0.2">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spans="1:26" ht="15.75" customHeight="1" x14ac:dyDescent="0.2">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spans="1:26" ht="15.75" customHeight="1" x14ac:dyDescent="0.2">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spans="1:26" ht="15.75" customHeight="1" x14ac:dyDescent="0.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spans="1:26" ht="15.75" customHeight="1" x14ac:dyDescent="0.2">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spans="1:26" ht="15.75" customHeight="1" x14ac:dyDescent="0.2">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spans="1:26" ht="15.75" customHeight="1" x14ac:dyDescent="0.2">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spans="1:26" ht="15.75" customHeight="1" x14ac:dyDescent="0.2">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spans="1:26" ht="15.75" customHeight="1" x14ac:dyDescent="0.2">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spans="1:26" ht="15.75" customHeight="1" x14ac:dyDescent="0.2">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spans="1:26" ht="15.75" customHeight="1" x14ac:dyDescent="0.2">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spans="1:26" ht="15.75" customHeight="1" x14ac:dyDescent="0.2">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spans="1:26" ht="15.75" customHeight="1" x14ac:dyDescent="0.2">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spans="1:26" ht="15.75" customHeight="1" x14ac:dyDescent="0.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spans="1:26" ht="15.75" customHeight="1" x14ac:dyDescent="0.2">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spans="1:26" ht="15.75" customHeight="1" x14ac:dyDescent="0.2">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spans="1:26" ht="15.75" customHeight="1" x14ac:dyDescent="0.2">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spans="1:26" ht="15.75" customHeight="1" x14ac:dyDescent="0.2">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spans="1:26" ht="15.75" customHeight="1" x14ac:dyDescent="0.2">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spans="1:26" ht="15.75" customHeight="1" x14ac:dyDescent="0.2">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spans="1:26" ht="15.75" customHeight="1" x14ac:dyDescent="0.2">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spans="1:26" ht="15.75" customHeight="1" x14ac:dyDescent="0.2">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spans="1:26" ht="15.75" customHeight="1" x14ac:dyDescent="0.2">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spans="1:26" ht="15.75" customHeight="1" x14ac:dyDescent="0.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spans="1:26" ht="15.75" customHeight="1" x14ac:dyDescent="0.2">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spans="1:26" ht="15.75" customHeight="1" x14ac:dyDescent="0.2">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spans="1:26" ht="15.75" customHeight="1" x14ac:dyDescent="0.2">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spans="1:26" ht="15.75" customHeight="1" x14ac:dyDescent="0.2">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spans="1:26" ht="15.75" customHeight="1" x14ac:dyDescent="0.2">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spans="1:26" ht="15.75" customHeight="1" x14ac:dyDescent="0.2">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spans="1:26" ht="15.75" customHeight="1" x14ac:dyDescent="0.2">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spans="1:26" ht="15.75" customHeight="1" x14ac:dyDescent="0.2">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spans="1:26" ht="15.75" customHeight="1" x14ac:dyDescent="0.2">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spans="1:26" ht="15.75" customHeight="1" x14ac:dyDescent="0.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spans="1:26" ht="15.75" customHeight="1" x14ac:dyDescent="0.2">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spans="1:26" ht="15.75" customHeight="1" x14ac:dyDescent="0.2">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spans="1:26" ht="15.75" customHeight="1" x14ac:dyDescent="0.2">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spans="1:26" ht="15.75" customHeight="1" x14ac:dyDescent="0.2">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spans="1:26" ht="15.75" customHeight="1" x14ac:dyDescent="0.2">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spans="1:26" ht="15.75" customHeight="1" x14ac:dyDescent="0.2">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spans="1:26" ht="15.75" customHeight="1" x14ac:dyDescent="0.2">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spans="1:26" ht="15.75" customHeight="1" x14ac:dyDescent="0.2">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spans="1:26" ht="15.75" customHeight="1" x14ac:dyDescent="0.2">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spans="1:26" ht="15.75" customHeight="1" x14ac:dyDescent="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spans="1:26" ht="15.75" customHeight="1" x14ac:dyDescent="0.2">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spans="1:26" ht="15.75" customHeight="1" x14ac:dyDescent="0.2">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spans="1:26" ht="15.75" customHeight="1" x14ac:dyDescent="0.2">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spans="1:26" ht="15.75" customHeight="1" x14ac:dyDescent="0.2">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spans="1:26" ht="15.75" customHeight="1" x14ac:dyDescent="0.2">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spans="1:26" ht="15.75" customHeight="1" x14ac:dyDescent="0.2">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spans="1:26" ht="15.75" customHeight="1" x14ac:dyDescent="0.2">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spans="1:26" ht="15.75" customHeight="1" x14ac:dyDescent="0.2">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spans="1:26" ht="15.75" customHeight="1" x14ac:dyDescent="0.2">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spans="1:26" ht="15.75" customHeight="1" x14ac:dyDescent="0.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spans="1:26" ht="15.75" customHeight="1" x14ac:dyDescent="0.2">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spans="1:26" ht="15.75" customHeight="1" x14ac:dyDescent="0.2">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spans="1:26" ht="15.75" customHeight="1" x14ac:dyDescent="0.2">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spans="1:26" ht="15.75" customHeight="1" x14ac:dyDescent="0.2">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spans="1:26" ht="15.75" customHeight="1" x14ac:dyDescent="0.2">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spans="1:26" ht="15.75" customHeight="1" x14ac:dyDescent="0.2">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spans="1:26" ht="15.75" customHeight="1" x14ac:dyDescent="0.2">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spans="1:26" ht="15.75" customHeight="1" x14ac:dyDescent="0.2">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spans="1:26" ht="15.75" customHeight="1" x14ac:dyDescent="0.2">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spans="1:26" ht="15.75" customHeight="1" x14ac:dyDescent="0.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spans="1:26" ht="15.75" customHeight="1" x14ac:dyDescent="0.2">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spans="1:26" ht="15.75" customHeight="1" x14ac:dyDescent="0.2">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spans="1:26" ht="15.75" customHeight="1" x14ac:dyDescent="0.2">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spans="1:26" ht="15.75" customHeight="1" x14ac:dyDescent="0.2">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spans="1:26" ht="15.75" customHeight="1" x14ac:dyDescent="0.2">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spans="1:26" ht="15.75" customHeight="1" x14ac:dyDescent="0.2">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spans="1:26" ht="15.75" customHeight="1" x14ac:dyDescent="0.2">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spans="1:26" ht="15.75" customHeight="1" x14ac:dyDescent="0.2">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spans="1:26" ht="15.75" customHeight="1" x14ac:dyDescent="0.2">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spans="1:26" ht="15.75" customHeight="1" x14ac:dyDescent="0.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spans="1:26" ht="15.75" customHeight="1" x14ac:dyDescent="0.2">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spans="1:26" ht="15.75" customHeight="1" x14ac:dyDescent="0.2">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spans="1:26" ht="15.75" customHeight="1" x14ac:dyDescent="0.2">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spans="1:26" ht="15.75" customHeight="1" x14ac:dyDescent="0.2">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spans="1:26" ht="15.75" customHeight="1" x14ac:dyDescent="0.2">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spans="1:26" ht="15.75" customHeight="1" x14ac:dyDescent="0.2">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spans="1:26" ht="15.75" customHeight="1" x14ac:dyDescent="0.2">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spans="1:26" ht="15.75" customHeight="1" x14ac:dyDescent="0.2">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spans="1:26" ht="15.75" customHeight="1" x14ac:dyDescent="0.2">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spans="1:26" ht="15.75" customHeight="1" x14ac:dyDescent="0.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spans="1:26" ht="15.75" customHeight="1" x14ac:dyDescent="0.2">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spans="1:26" ht="15.75" customHeight="1" x14ac:dyDescent="0.2">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spans="1:26" ht="15.75" customHeight="1" x14ac:dyDescent="0.2">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spans="1:26" ht="15.75" customHeight="1" x14ac:dyDescent="0.2">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spans="1:26" ht="15.75" customHeight="1" x14ac:dyDescent="0.2">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spans="1:26" ht="15.75" customHeight="1" x14ac:dyDescent="0.2">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spans="1:26" ht="15.75" customHeight="1" x14ac:dyDescent="0.2">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spans="1:26" ht="15.75" customHeight="1" x14ac:dyDescent="0.2">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spans="1:26" ht="15.75" customHeight="1" x14ac:dyDescent="0.2">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spans="1:26" ht="15.75" customHeight="1" x14ac:dyDescent="0.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spans="1:26" ht="15.75" customHeight="1" x14ac:dyDescent="0.2">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spans="1:26" ht="15.75" customHeight="1" x14ac:dyDescent="0.2">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spans="1:26" ht="15.75" customHeight="1" x14ac:dyDescent="0.2">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spans="1:26" ht="15.75" customHeight="1" x14ac:dyDescent="0.2">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spans="1:26" ht="15.75" customHeight="1" x14ac:dyDescent="0.2">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spans="1:26" ht="15.75" customHeight="1" x14ac:dyDescent="0.2">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spans="1:26" ht="15.75" customHeight="1" x14ac:dyDescent="0.2">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spans="1:26" ht="15.75" customHeight="1" x14ac:dyDescent="0.2">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spans="1:26" ht="15.75" customHeight="1" x14ac:dyDescent="0.2">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spans="1:26" ht="15.75" customHeight="1" x14ac:dyDescent="0.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spans="1:26" ht="15.75" customHeight="1" x14ac:dyDescent="0.2">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spans="1:26" ht="15.75" customHeight="1" x14ac:dyDescent="0.2">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spans="1:26" ht="15.75" customHeight="1" x14ac:dyDescent="0.2">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spans="1:26" ht="15.75" customHeight="1" x14ac:dyDescent="0.2">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spans="1:26" ht="15.75" customHeight="1" x14ac:dyDescent="0.2">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spans="1:26" ht="15.75" customHeight="1" x14ac:dyDescent="0.2">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spans="1:26" ht="15.75" customHeight="1" x14ac:dyDescent="0.2">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spans="1:26" ht="15.75" customHeight="1" x14ac:dyDescent="0.2">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spans="1:26" ht="15.75" customHeight="1" x14ac:dyDescent="0.2">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spans="1:26" ht="15.75" customHeight="1" x14ac:dyDescent="0.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spans="1:26" ht="15.75" customHeight="1" x14ac:dyDescent="0.2">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spans="1:26" ht="15.75" customHeight="1" x14ac:dyDescent="0.2">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spans="1:26" ht="15.75" customHeight="1" x14ac:dyDescent="0.2">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spans="1:26" ht="15.75" customHeight="1" x14ac:dyDescent="0.2">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spans="1:26" ht="15.75" customHeight="1" x14ac:dyDescent="0.2">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spans="1:26" ht="15.75" customHeight="1" x14ac:dyDescent="0.2">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spans="1:26" ht="15.75" customHeight="1" x14ac:dyDescent="0.2">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spans="1:26" ht="15.75" customHeight="1" x14ac:dyDescent="0.2">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spans="1:26" ht="15.75" customHeight="1" x14ac:dyDescent="0.2">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spans="1:26" ht="15.75" customHeight="1" x14ac:dyDescent="0.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spans="1:26" ht="15.75" customHeight="1" x14ac:dyDescent="0.2">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spans="1:26" ht="15.75" customHeight="1" x14ac:dyDescent="0.2">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spans="1:26" ht="15.75" customHeight="1" x14ac:dyDescent="0.2">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spans="1:26" ht="15.75" customHeight="1" x14ac:dyDescent="0.2">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spans="1:26" ht="15.75" customHeight="1" x14ac:dyDescent="0.2">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spans="1:26" ht="15.75" customHeight="1" x14ac:dyDescent="0.2">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spans="1:26" ht="15.75" customHeight="1" x14ac:dyDescent="0.2">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spans="1:26" ht="15.75" customHeight="1" x14ac:dyDescent="0.2">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spans="1:26" ht="15.75" customHeight="1" x14ac:dyDescent="0.2">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spans="1:26" ht="15.75" customHeight="1" x14ac:dyDescent="0.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spans="1:26" ht="15.75" customHeight="1" x14ac:dyDescent="0.2">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spans="1:26" ht="15.75" customHeight="1" x14ac:dyDescent="0.2">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spans="1:26" ht="15.75" customHeight="1" x14ac:dyDescent="0.2">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spans="1:26" ht="15.75" customHeight="1" x14ac:dyDescent="0.2">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spans="1:26" ht="15.75" customHeight="1" x14ac:dyDescent="0.2">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spans="1:26" ht="15.75" customHeight="1" x14ac:dyDescent="0.2">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spans="1:26" ht="15.75" customHeight="1" x14ac:dyDescent="0.2">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spans="1:26" ht="15.75" customHeight="1" x14ac:dyDescent="0.2">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spans="1:26" ht="15.75" customHeight="1" x14ac:dyDescent="0.2">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spans="1:26" ht="15.75" customHeight="1" x14ac:dyDescent="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spans="1:26" ht="15.75" customHeight="1" x14ac:dyDescent="0.2">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spans="1:26" ht="15.75" customHeight="1" x14ac:dyDescent="0.2">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spans="1:26" ht="15.75" customHeight="1" x14ac:dyDescent="0.2">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spans="1:26" ht="15.75" customHeight="1" x14ac:dyDescent="0.2">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spans="1:26" ht="15.75" customHeight="1" x14ac:dyDescent="0.2">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spans="1:26" ht="15.75" customHeight="1" x14ac:dyDescent="0.2">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spans="1:26" ht="15.75" customHeight="1" x14ac:dyDescent="0.2">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spans="1:26" ht="15.75" customHeight="1" x14ac:dyDescent="0.2">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spans="1:26" ht="15.75" customHeight="1" x14ac:dyDescent="0.2">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spans="1:26" ht="15.75" customHeight="1" x14ac:dyDescent="0.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spans="1:26" ht="15.75" customHeight="1" x14ac:dyDescent="0.2">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spans="1:26" ht="15.75" customHeight="1" x14ac:dyDescent="0.2">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spans="1:26" ht="15.75" customHeight="1" x14ac:dyDescent="0.2">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spans="1:26" ht="15.75" customHeight="1" x14ac:dyDescent="0.2">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spans="1:26" ht="15.75" customHeight="1" x14ac:dyDescent="0.2">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spans="1:26" ht="15.75" customHeight="1" x14ac:dyDescent="0.2">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spans="1:26" ht="15.75" customHeight="1" x14ac:dyDescent="0.2">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spans="1:26" ht="15.75" customHeight="1" x14ac:dyDescent="0.2">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spans="1:26" ht="15.75" customHeight="1" x14ac:dyDescent="0.2">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spans="1:26" ht="15.75" customHeight="1" x14ac:dyDescent="0.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spans="1:26" ht="15.75" customHeight="1" x14ac:dyDescent="0.2">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spans="1:26" ht="15.75" customHeight="1" x14ac:dyDescent="0.2">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spans="1:26" ht="15.75" customHeight="1" x14ac:dyDescent="0.2">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spans="1:26" ht="15.75" customHeight="1" x14ac:dyDescent="0.2">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spans="1:26" ht="15.75" customHeight="1" x14ac:dyDescent="0.2">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spans="1:26" ht="15.75" customHeight="1" x14ac:dyDescent="0.2">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spans="1:26" ht="15.75" customHeight="1" x14ac:dyDescent="0.2">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spans="1:26" ht="15.75" customHeight="1" x14ac:dyDescent="0.2">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spans="1:26" ht="15.75" customHeight="1" x14ac:dyDescent="0.2">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spans="1:26" ht="15.75" customHeight="1" x14ac:dyDescent="0.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spans="1:26" ht="15.75" customHeight="1" x14ac:dyDescent="0.2">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spans="1:26" ht="15.75" customHeight="1" x14ac:dyDescent="0.2">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spans="1:26" ht="15.75" customHeight="1" x14ac:dyDescent="0.2">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spans="1:26" ht="15.75" customHeight="1" x14ac:dyDescent="0.2">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spans="1:26" ht="15.75" customHeight="1" x14ac:dyDescent="0.2">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spans="1:26" ht="15.75" customHeight="1" x14ac:dyDescent="0.2">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spans="1:26" ht="15.75" customHeight="1" x14ac:dyDescent="0.2">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spans="1:26" ht="15.75" customHeight="1" x14ac:dyDescent="0.2">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spans="1:26" ht="15.75" customHeight="1" x14ac:dyDescent="0.2">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spans="1:26" ht="15.75" customHeight="1" x14ac:dyDescent="0.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spans="1:26" ht="15.75" customHeight="1" x14ac:dyDescent="0.2">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spans="1:26" ht="15.75" customHeight="1" x14ac:dyDescent="0.2">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spans="1:26" ht="15.75" customHeight="1" x14ac:dyDescent="0.2">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spans="1:26" ht="15.75" customHeight="1" x14ac:dyDescent="0.2">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spans="1:26" ht="15.75" customHeight="1" x14ac:dyDescent="0.2">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spans="1:26" ht="15.75" customHeight="1" x14ac:dyDescent="0.2">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spans="1:26" ht="15.75" customHeight="1" x14ac:dyDescent="0.2">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spans="1:26" ht="15.75" customHeight="1" x14ac:dyDescent="0.2">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spans="1:26" ht="15.75" customHeight="1" x14ac:dyDescent="0.2">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spans="1:26" ht="15.75" customHeight="1" x14ac:dyDescent="0.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spans="1:26" ht="15.75" customHeight="1" x14ac:dyDescent="0.2">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spans="1:26" ht="15.75" customHeight="1" x14ac:dyDescent="0.2">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spans="1:26" ht="15.75" customHeight="1" x14ac:dyDescent="0.2">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spans="1:26" ht="15.75" customHeight="1" x14ac:dyDescent="0.2">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spans="1:26" ht="15.75" customHeight="1" x14ac:dyDescent="0.2">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spans="1:26" ht="15.75" customHeight="1" x14ac:dyDescent="0.2">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spans="1:26" ht="15.75" customHeight="1" x14ac:dyDescent="0.2">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spans="1:26" ht="15.75" customHeight="1" x14ac:dyDescent="0.2">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spans="1:26" ht="15.75" customHeight="1" x14ac:dyDescent="0.2">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spans="1:26" ht="15.75" customHeight="1" x14ac:dyDescent="0.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spans="1:26" ht="15.75" customHeight="1" x14ac:dyDescent="0.2">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spans="1:26" ht="15.75" customHeight="1" x14ac:dyDescent="0.2">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spans="1:26" ht="15.75" customHeight="1" x14ac:dyDescent="0.2">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spans="1:26" ht="15.75" customHeight="1" x14ac:dyDescent="0.2">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spans="1:26" ht="15.75" customHeight="1" x14ac:dyDescent="0.2">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spans="1:26" ht="15.75" customHeight="1" x14ac:dyDescent="0.2">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spans="1:26" ht="15.75" customHeight="1" x14ac:dyDescent="0.2">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spans="1:26" ht="15.75" customHeight="1" x14ac:dyDescent="0.2">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spans="1:26" ht="15.75" customHeight="1" x14ac:dyDescent="0.2">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spans="1:26" ht="15.75" customHeight="1" x14ac:dyDescent="0.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spans="1:26" ht="15.75" customHeight="1" x14ac:dyDescent="0.2">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spans="1:26" ht="15.75" customHeight="1" x14ac:dyDescent="0.2">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spans="1:26" ht="15.75" customHeight="1" x14ac:dyDescent="0.2">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spans="1:26" ht="15.75" customHeight="1" x14ac:dyDescent="0.2">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spans="1:26" ht="15.75" customHeight="1" x14ac:dyDescent="0.2">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spans="1:26" ht="15.75" customHeight="1" x14ac:dyDescent="0.2">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spans="1:26" ht="15.75" customHeight="1" x14ac:dyDescent="0.2">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spans="1:26" ht="15.75" customHeight="1" x14ac:dyDescent="0.2">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spans="1:26" ht="15.75" customHeight="1" x14ac:dyDescent="0.2">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spans="1:26" ht="15.75" customHeight="1" x14ac:dyDescent="0.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spans="1:26" ht="15.75" customHeight="1" x14ac:dyDescent="0.2">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spans="1:26" ht="15.75" customHeight="1" x14ac:dyDescent="0.2">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spans="1:26" ht="15.75" customHeight="1" x14ac:dyDescent="0.2">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spans="1:26" ht="15.75" customHeight="1" x14ac:dyDescent="0.2">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spans="1:26" ht="15.75" customHeight="1" x14ac:dyDescent="0.2">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spans="1:26" ht="15.75" customHeight="1" x14ac:dyDescent="0.2">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spans="1:26" ht="15.75" customHeight="1" x14ac:dyDescent="0.2">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spans="1:26" ht="15.75" customHeight="1" x14ac:dyDescent="0.2">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spans="1:26" ht="15.75" customHeight="1" x14ac:dyDescent="0.2">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spans="1:26" ht="15.75" customHeight="1" x14ac:dyDescent="0.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spans="1:26" ht="15.75" customHeight="1" x14ac:dyDescent="0.2">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spans="1:26" ht="15.75" customHeight="1" x14ac:dyDescent="0.2">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spans="1:26" ht="15.75" customHeight="1" x14ac:dyDescent="0.2">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spans="1:26" ht="15.75" customHeight="1" x14ac:dyDescent="0.2">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spans="1:26" ht="15.75" customHeight="1" x14ac:dyDescent="0.2">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spans="1:26" ht="15.75" customHeight="1" x14ac:dyDescent="0.2">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spans="1:26" ht="15.75" customHeight="1" x14ac:dyDescent="0.2">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spans="1:26" ht="15.75" customHeight="1" x14ac:dyDescent="0.2">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spans="1:26" ht="15.75" customHeight="1" x14ac:dyDescent="0.2">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spans="1:26" ht="15.75" customHeight="1" x14ac:dyDescent="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spans="1:26" ht="15.75" customHeight="1" x14ac:dyDescent="0.2">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spans="1:26" ht="15.75" customHeight="1" x14ac:dyDescent="0.2">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spans="1:26" ht="15.75" customHeight="1" x14ac:dyDescent="0.2">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spans="1:26" ht="15.75" customHeight="1" x14ac:dyDescent="0.2">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spans="1:26" ht="15.75" customHeight="1" x14ac:dyDescent="0.2">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spans="1:26" ht="15.75" customHeight="1" x14ac:dyDescent="0.2">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spans="1:26" ht="15.75" customHeight="1" x14ac:dyDescent="0.2">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spans="1:26" ht="15.75" customHeight="1" x14ac:dyDescent="0.2">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spans="1:26" ht="15.75" customHeight="1" x14ac:dyDescent="0.2">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spans="1:26" ht="15.75" customHeight="1" x14ac:dyDescent="0.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spans="1:26" ht="15.75" customHeight="1" x14ac:dyDescent="0.2">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spans="1:26" ht="15.75" customHeight="1" x14ac:dyDescent="0.2">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spans="1:26" ht="15.75" customHeight="1" x14ac:dyDescent="0.2">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spans="1:26" ht="15.75" customHeight="1" x14ac:dyDescent="0.2">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spans="1:26" ht="15.75" customHeight="1" x14ac:dyDescent="0.2">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spans="1:26" ht="15.75" customHeight="1" x14ac:dyDescent="0.2">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spans="1:26" ht="15.75" customHeight="1" x14ac:dyDescent="0.2">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spans="1:26" ht="15.75" customHeight="1" x14ac:dyDescent="0.2">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spans="1:26" ht="15.75" customHeight="1" x14ac:dyDescent="0.2">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spans="1:26" ht="15.75" customHeight="1" x14ac:dyDescent="0.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spans="1:26" ht="15.75" customHeight="1" x14ac:dyDescent="0.2">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spans="1:26" ht="15.75" customHeight="1" x14ac:dyDescent="0.2">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spans="1:26" ht="15.75" customHeight="1" x14ac:dyDescent="0.2">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spans="1:26" ht="15.75" customHeight="1" x14ac:dyDescent="0.2">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spans="1:26" ht="15.75" customHeight="1" x14ac:dyDescent="0.2">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spans="1:26" ht="15.75" customHeight="1" x14ac:dyDescent="0.2">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spans="1:26" ht="15.75" customHeight="1" x14ac:dyDescent="0.2">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spans="1:26" ht="15.75" customHeight="1" x14ac:dyDescent="0.2">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spans="1:26" ht="15.75" customHeight="1" x14ac:dyDescent="0.2">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spans="1:26" ht="15.75" customHeight="1" x14ac:dyDescent="0.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spans="1:26" ht="15.75" customHeight="1" x14ac:dyDescent="0.2">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spans="1:26" ht="15.75" customHeight="1" x14ac:dyDescent="0.2">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spans="1:26" ht="15.75" customHeight="1" x14ac:dyDescent="0.2">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spans="1:26" ht="15.75" customHeight="1" x14ac:dyDescent="0.2">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spans="1:26" ht="15.75" customHeight="1" x14ac:dyDescent="0.2">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spans="1:26" ht="15.75" customHeight="1" x14ac:dyDescent="0.2">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spans="1:26" ht="15.75" customHeight="1" x14ac:dyDescent="0.2">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spans="1:26" ht="15.75" customHeight="1" x14ac:dyDescent="0.2">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spans="1:26" ht="15.75" customHeight="1" x14ac:dyDescent="0.2">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spans="1:26" ht="15.75" customHeight="1" x14ac:dyDescent="0.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spans="1:26" ht="15.75" customHeight="1" x14ac:dyDescent="0.2">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spans="1:26" ht="15.75" customHeight="1" x14ac:dyDescent="0.2">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spans="1:26" ht="15.75" customHeight="1" x14ac:dyDescent="0.2">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spans="1:26" ht="15.75" customHeight="1" x14ac:dyDescent="0.2">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spans="1:26" ht="15.75" customHeight="1" x14ac:dyDescent="0.2">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spans="1:26" ht="15.75" customHeight="1" x14ac:dyDescent="0.2">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spans="1:26" ht="15.75" customHeight="1" x14ac:dyDescent="0.2">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spans="1:26" ht="15.75" customHeight="1" x14ac:dyDescent="0.2">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spans="1:26" ht="15.75" customHeight="1" x14ac:dyDescent="0.2">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spans="1:26" ht="15.75" customHeight="1" x14ac:dyDescent="0.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spans="1:26" ht="15.75" customHeight="1" x14ac:dyDescent="0.2">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spans="1:26" ht="15.75" customHeight="1" x14ac:dyDescent="0.2">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spans="1:26" ht="15.75" customHeight="1" x14ac:dyDescent="0.2">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spans="1:26" ht="15.75" customHeight="1" x14ac:dyDescent="0.2">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spans="1:26" ht="15.75" customHeight="1" x14ac:dyDescent="0.2">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spans="1:26" ht="15.75" customHeight="1" x14ac:dyDescent="0.2">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spans="1:26" ht="15.75" customHeight="1" x14ac:dyDescent="0.2">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spans="1:26" ht="15.75" customHeight="1" x14ac:dyDescent="0.2">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spans="1:26" ht="15.75" customHeight="1" x14ac:dyDescent="0.2">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spans="1:26" ht="15.75" customHeight="1" x14ac:dyDescent="0.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spans="1:26" ht="15.75" customHeight="1" x14ac:dyDescent="0.2">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spans="1:26" ht="15.75" customHeight="1" x14ac:dyDescent="0.2">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spans="1:26" ht="15.75" customHeight="1" x14ac:dyDescent="0.2">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spans="1:26" ht="15.75" customHeight="1" x14ac:dyDescent="0.2">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spans="1:26" ht="15.75" customHeight="1" x14ac:dyDescent="0.2">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spans="1:26" ht="15.75" customHeight="1" x14ac:dyDescent="0.2">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spans="1:26" ht="15.75" customHeight="1" x14ac:dyDescent="0.2">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spans="1:26" ht="15.75" customHeight="1" x14ac:dyDescent="0.2">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spans="1:26" ht="15.75" customHeight="1" x14ac:dyDescent="0.2">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spans="1:26" ht="15.75" customHeight="1" x14ac:dyDescent="0.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spans="1:26" ht="15.75" customHeight="1" x14ac:dyDescent="0.2">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spans="1:26" ht="15.75" customHeight="1" x14ac:dyDescent="0.2">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spans="1:26" ht="15.75" customHeight="1" x14ac:dyDescent="0.2">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spans="1:26" ht="15.75" customHeight="1" x14ac:dyDescent="0.2">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spans="1:26" ht="15.75" customHeight="1" x14ac:dyDescent="0.2">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spans="1:26" ht="15.75" customHeight="1" x14ac:dyDescent="0.2">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spans="1:26" ht="15.75" customHeight="1" x14ac:dyDescent="0.2">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spans="1:26" ht="15.75" customHeight="1" x14ac:dyDescent="0.2">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spans="1:26" ht="15.75" customHeight="1" x14ac:dyDescent="0.2">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spans="1:26" ht="15.75" customHeight="1" x14ac:dyDescent="0.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spans="1:26" ht="15.75" customHeight="1" x14ac:dyDescent="0.2">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spans="1:26" ht="15.75" customHeight="1" x14ac:dyDescent="0.2">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spans="1:26" ht="15.75" customHeight="1" x14ac:dyDescent="0.2">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spans="1:26" ht="15.75" customHeight="1" x14ac:dyDescent="0.2">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spans="1:26" ht="15.75" customHeight="1" x14ac:dyDescent="0.2">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spans="1:26" ht="15.75" customHeight="1" x14ac:dyDescent="0.2">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spans="1:26" ht="15.75" customHeight="1" x14ac:dyDescent="0.2">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spans="1:26" ht="15.75" customHeight="1" x14ac:dyDescent="0.2">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spans="1:26" ht="15.75" customHeight="1" x14ac:dyDescent="0.2">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spans="1:26" ht="15.75" customHeight="1" x14ac:dyDescent="0.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spans="1:26" ht="15.75" customHeight="1" x14ac:dyDescent="0.2">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spans="1:26" ht="15.75" customHeight="1" x14ac:dyDescent="0.2">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spans="1:26" ht="15.75" customHeight="1" x14ac:dyDescent="0.2">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spans="1:26" ht="15.75" customHeight="1" x14ac:dyDescent="0.2">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spans="1:26" ht="15.75" customHeight="1" x14ac:dyDescent="0.2">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spans="1:26" ht="15.75" customHeight="1" x14ac:dyDescent="0.2">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spans="1:26" ht="15.75" customHeight="1" x14ac:dyDescent="0.2">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spans="1:26" ht="15.75" customHeight="1" x14ac:dyDescent="0.2">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mergeCells count="3">
    <mergeCell ref="A1:E1"/>
    <mergeCell ref="A8:E8"/>
    <mergeCell ref="A13:E1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76DCC"/>
  </sheetPr>
  <dimension ref="A1:J1000"/>
  <sheetViews>
    <sheetView workbookViewId="0"/>
  </sheetViews>
  <sheetFormatPr baseColWidth="10" defaultColWidth="12.6640625" defaultRowHeight="15" customHeight="1" x14ac:dyDescent="0.2"/>
  <cols>
    <col min="1" max="1" width="17.6640625" customWidth="1"/>
    <col min="2" max="3" width="14.6640625" customWidth="1"/>
    <col min="4" max="4" width="13.6640625" customWidth="1"/>
    <col min="5" max="5" width="12.1640625" customWidth="1"/>
    <col min="6" max="6" width="13.6640625" customWidth="1"/>
    <col min="7" max="7" width="14.6640625" customWidth="1"/>
    <col min="8" max="8" width="12.1640625" customWidth="1"/>
    <col min="9" max="9" width="13.6640625" customWidth="1"/>
    <col min="10" max="10" width="14.6640625" customWidth="1"/>
    <col min="11" max="26" width="10.6640625" customWidth="1"/>
  </cols>
  <sheetData>
    <row r="1" spans="1:10" x14ac:dyDescent="0.2">
      <c r="A1" s="43" t="s">
        <v>245</v>
      </c>
      <c r="B1" s="43" t="s">
        <v>246</v>
      </c>
      <c r="C1" s="43" t="s">
        <v>247</v>
      </c>
      <c r="D1" s="43" t="s">
        <v>248</v>
      </c>
      <c r="E1" s="43" t="s">
        <v>249</v>
      </c>
      <c r="F1" s="43" t="s">
        <v>250</v>
      </c>
      <c r="G1" s="43" t="s">
        <v>251</v>
      </c>
      <c r="H1" s="43" t="s">
        <v>252</v>
      </c>
      <c r="I1" s="43" t="s">
        <v>253</v>
      </c>
      <c r="J1" s="43" t="s">
        <v>254</v>
      </c>
    </row>
    <row r="2" spans="1:10" x14ac:dyDescent="0.2">
      <c r="A2" s="42">
        <v>0</v>
      </c>
      <c r="B2" s="42">
        <v>0</v>
      </c>
      <c r="C2" s="63">
        <v>20000000</v>
      </c>
      <c r="D2" s="42"/>
      <c r="E2" s="42"/>
      <c r="F2" s="42"/>
      <c r="G2" s="42"/>
      <c r="H2" s="42"/>
      <c r="I2" s="42"/>
      <c r="J2" s="42"/>
    </row>
    <row r="3" spans="1:10" x14ac:dyDescent="0.2">
      <c r="A3" s="42">
        <v>1</v>
      </c>
      <c r="B3" s="63">
        <f>C2</f>
        <v>20000000</v>
      </c>
      <c r="C3" s="63">
        <v>15000000</v>
      </c>
      <c r="D3" s="63">
        <f t="shared" ref="D3:D38" si="0">IF(A3&lt;=$B$45, E3, IF(B3&gt;0, B3*(($B$40/12)/(1-(1+($B$40/12))^(-($B$44-A3+1)))), 0))</f>
        <v>350000</v>
      </c>
      <c r="E3" s="63">
        <f t="shared" ref="E3:E38" si="1">B3*$B$40/12</f>
        <v>350000</v>
      </c>
      <c r="F3" s="63">
        <f t="shared" ref="F3:F38" si="2">IF(A3&lt;=$B$45, 0, D3-E3)</f>
        <v>0</v>
      </c>
      <c r="G3" s="63">
        <f t="shared" ref="G3:G38" si="3">B3-F3</f>
        <v>20000000</v>
      </c>
      <c r="H3" s="63">
        <f t="shared" ref="H3:H38" si="4">C2*$B$47</f>
        <v>400000</v>
      </c>
      <c r="I3" s="63">
        <f t="shared" ref="I3:I38" si="5">($B$42*$B$48/12)</f>
        <v>20833.333333333332</v>
      </c>
      <c r="J3" s="63">
        <f t="shared" ref="J3:J38" si="6">H3+I3</f>
        <v>420833.33333333331</v>
      </c>
    </row>
    <row r="4" spans="1:10" x14ac:dyDescent="0.2">
      <c r="A4" s="42">
        <v>2</v>
      </c>
      <c r="B4" s="63">
        <f t="shared" ref="B4:B38" si="7">G3+C3</f>
        <v>35000000</v>
      </c>
      <c r="C4" s="63">
        <v>15000000</v>
      </c>
      <c r="D4" s="63">
        <f t="shared" si="0"/>
        <v>612500</v>
      </c>
      <c r="E4" s="63">
        <f t="shared" si="1"/>
        <v>612500</v>
      </c>
      <c r="F4" s="63">
        <f t="shared" si="2"/>
        <v>0</v>
      </c>
      <c r="G4" s="63">
        <f t="shared" si="3"/>
        <v>35000000</v>
      </c>
      <c r="H4" s="63">
        <f t="shared" si="4"/>
        <v>300000</v>
      </c>
      <c r="I4" s="63">
        <f t="shared" si="5"/>
        <v>20833.333333333332</v>
      </c>
      <c r="J4" s="63">
        <f t="shared" si="6"/>
        <v>320833.33333333331</v>
      </c>
    </row>
    <row r="5" spans="1:10" x14ac:dyDescent="0.2">
      <c r="A5" s="42">
        <v>3</v>
      </c>
      <c r="B5" s="63">
        <f t="shared" si="7"/>
        <v>50000000</v>
      </c>
      <c r="C5" s="63">
        <v>0</v>
      </c>
      <c r="D5" s="63">
        <f t="shared" si="0"/>
        <v>875000</v>
      </c>
      <c r="E5" s="63">
        <f t="shared" si="1"/>
        <v>875000</v>
      </c>
      <c r="F5" s="63">
        <f t="shared" si="2"/>
        <v>0</v>
      </c>
      <c r="G5" s="63">
        <f t="shared" si="3"/>
        <v>50000000</v>
      </c>
      <c r="H5" s="63">
        <f t="shared" si="4"/>
        <v>300000</v>
      </c>
      <c r="I5" s="63">
        <f t="shared" si="5"/>
        <v>20833.333333333332</v>
      </c>
      <c r="J5" s="63">
        <f t="shared" si="6"/>
        <v>320833.33333333331</v>
      </c>
    </row>
    <row r="6" spans="1:10" x14ac:dyDescent="0.2">
      <c r="A6" s="42">
        <v>4</v>
      </c>
      <c r="B6" s="63">
        <f t="shared" si="7"/>
        <v>50000000</v>
      </c>
      <c r="C6" s="63">
        <v>0</v>
      </c>
      <c r="D6" s="63">
        <f t="shared" si="0"/>
        <v>875000</v>
      </c>
      <c r="E6" s="63">
        <f t="shared" si="1"/>
        <v>875000</v>
      </c>
      <c r="F6" s="63">
        <f t="shared" si="2"/>
        <v>0</v>
      </c>
      <c r="G6" s="63">
        <f t="shared" si="3"/>
        <v>50000000</v>
      </c>
      <c r="H6" s="63">
        <f t="shared" si="4"/>
        <v>0</v>
      </c>
      <c r="I6" s="63">
        <f t="shared" si="5"/>
        <v>20833.333333333332</v>
      </c>
      <c r="J6" s="63">
        <f t="shared" si="6"/>
        <v>20833.333333333332</v>
      </c>
    </row>
    <row r="7" spans="1:10" x14ac:dyDescent="0.2">
      <c r="A7" s="42">
        <v>5</v>
      </c>
      <c r="B7" s="63">
        <f t="shared" si="7"/>
        <v>50000000</v>
      </c>
      <c r="C7" s="63">
        <v>0</v>
      </c>
      <c r="D7" s="63">
        <f t="shared" si="0"/>
        <v>875000</v>
      </c>
      <c r="E7" s="63">
        <f t="shared" si="1"/>
        <v>875000</v>
      </c>
      <c r="F7" s="63">
        <f t="shared" si="2"/>
        <v>0</v>
      </c>
      <c r="G7" s="63">
        <f t="shared" si="3"/>
        <v>50000000</v>
      </c>
      <c r="H7" s="63">
        <f t="shared" si="4"/>
        <v>0</v>
      </c>
      <c r="I7" s="63">
        <f t="shared" si="5"/>
        <v>20833.333333333332</v>
      </c>
      <c r="J7" s="63">
        <f t="shared" si="6"/>
        <v>20833.333333333332</v>
      </c>
    </row>
    <row r="8" spans="1:10" x14ac:dyDescent="0.2">
      <c r="A8" s="42">
        <v>6</v>
      </c>
      <c r="B8" s="63">
        <f t="shared" si="7"/>
        <v>50000000</v>
      </c>
      <c r="C8" s="63">
        <v>0</v>
      </c>
      <c r="D8" s="63">
        <f t="shared" si="0"/>
        <v>875000</v>
      </c>
      <c r="E8" s="63">
        <f t="shared" si="1"/>
        <v>875000</v>
      </c>
      <c r="F8" s="63">
        <f t="shared" si="2"/>
        <v>0</v>
      </c>
      <c r="G8" s="63">
        <f t="shared" si="3"/>
        <v>50000000</v>
      </c>
      <c r="H8" s="63">
        <f t="shared" si="4"/>
        <v>0</v>
      </c>
      <c r="I8" s="63">
        <f t="shared" si="5"/>
        <v>20833.333333333332</v>
      </c>
      <c r="J8" s="63">
        <f t="shared" si="6"/>
        <v>20833.333333333332</v>
      </c>
    </row>
    <row r="9" spans="1:10" x14ac:dyDescent="0.2">
      <c r="A9" s="42">
        <v>7</v>
      </c>
      <c r="B9" s="63">
        <f t="shared" si="7"/>
        <v>50000000</v>
      </c>
      <c r="C9" s="63">
        <v>0</v>
      </c>
      <c r="D9" s="63">
        <f t="shared" si="0"/>
        <v>2156487.7464770428</v>
      </c>
      <c r="E9" s="63">
        <f t="shared" si="1"/>
        <v>875000</v>
      </c>
      <c r="F9" s="63">
        <f t="shared" si="2"/>
        <v>1281487.7464770428</v>
      </c>
      <c r="G9" s="63">
        <f t="shared" si="3"/>
        <v>48718512.253522955</v>
      </c>
      <c r="H9" s="63">
        <f t="shared" si="4"/>
        <v>0</v>
      </c>
      <c r="I9" s="63">
        <f t="shared" si="5"/>
        <v>20833.333333333332</v>
      </c>
      <c r="J9" s="63">
        <f t="shared" si="6"/>
        <v>20833.333333333332</v>
      </c>
    </row>
    <row r="10" spans="1:10" x14ac:dyDescent="0.2">
      <c r="A10" s="42">
        <v>8</v>
      </c>
      <c r="B10" s="63">
        <f t="shared" si="7"/>
        <v>48718512.253522955</v>
      </c>
      <c r="C10" s="63">
        <v>0</v>
      </c>
      <c r="D10" s="63">
        <f t="shared" si="0"/>
        <v>2156487.7464770433</v>
      </c>
      <c r="E10" s="63">
        <f t="shared" si="1"/>
        <v>852573.96443665167</v>
      </c>
      <c r="F10" s="63">
        <f t="shared" si="2"/>
        <v>1303913.7820403916</v>
      </c>
      <c r="G10" s="63">
        <f t="shared" si="3"/>
        <v>47414598.47148256</v>
      </c>
      <c r="H10" s="63">
        <f t="shared" si="4"/>
        <v>0</v>
      </c>
      <c r="I10" s="63">
        <f t="shared" si="5"/>
        <v>20833.333333333332</v>
      </c>
      <c r="J10" s="63">
        <f t="shared" si="6"/>
        <v>20833.333333333332</v>
      </c>
    </row>
    <row r="11" spans="1:10" x14ac:dyDescent="0.2">
      <c r="A11" s="42">
        <v>9</v>
      </c>
      <c r="B11" s="63">
        <f t="shared" si="7"/>
        <v>47414598.47148256</v>
      </c>
      <c r="C11" s="63">
        <v>0</v>
      </c>
      <c r="D11" s="63">
        <f t="shared" si="0"/>
        <v>2156487.7464770437</v>
      </c>
      <c r="E11" s="63">
        <f t="shared" si="1"/>
        <v>829755.47325094475</v>
      </c>
      <c r="F11" s="63">
        <f t="shared" si="2"/>
        <v>1326732.2732260991</v>
      </c>
      <c r="G11" s="63">
        <f t="shared" si="3"/>
        <v>46087866.198256463</v>
      </c>
      <c r="H11" s="63">
        <f t="shared" si="4"/>
        <v>0</v>
      </c>
      <c r="I11" s="63">
        <f t="shared" si="5"/>
        <v>20833.333333333332</v>
      </c>
      <c r="J11" s="63">
        <f t="shared" si="6"/>
        <v>20833.333333333332</v>
      </c>
    </row>
    <row r="12" spans="1:10" x14ac:dyDescent="0.2">
      <c r="A12" s="42">
        <v>10</v>
      </c>
      <c r="B12" s="63">
        <f t="shared" si="7"/>
        <v>46087866.198256463</v>
      </c>
      <c r="C12" s="63"/>
      <c r="D12" s="63">
        <f t="shared" si="0"/>
        <v>2156487.7464770442</v>
      </c>
      <c r="E12" s="63">
        <f t="shared" si="1"/>
        <v>806537.65846948803</v>
      </c>
      <c r="F12" s="63">
        <f t="shared" si="2"/>
        <v>1349950.0880075563</v>
      </c>
      <c r="G12" s="63">
        <f t="shared" si="3"/>
        <v>44737916.110248908</v>
      </c>
      <c r="H12" s="63">
        <f t="shared" si="4"/>
        <v>0</v>
      </c>
      <c r="I12" s="63">
        <f t="shared" si="5"/>
        <v>20833.333333333332</v>
      </c>
      <c r="J12" s="63">
        <f t="shared" si="6"/>
        <v>20833.333333333332</v>
      </c>
    </row>
    <row r="13" spans="1:10" x14ac:dyDescent="0.2">
      <c r="A13" s="42">
        <v>11</v>
      </c>
      <c r="B13" s="63">
        <f t="shared" si="7"/>
        <v>44737916.110248908</v>
      </c>
      <c r="C13" s="63"/>
      <c r="D13" s="63">
        <f t="shared" si="0"/>
        <v>2156487.7464770442</v>
      </c>
      <c r="E13" s="63">
        <f t="shared" si="1"/>
        <v>782913.53192935593</v>
      </c>
      <c r="F13" s="63">
        <f t="shared" si="2"/>
        <v>1373574.2145476881</v>
      </c>
      <c r="G13" s="63">
        <f t="shared" si="3"/>
        <v>43364341.895701222</v>
      </c>
      <c r="H13" s="63">
        <f t="shared" si="4"/>
        <v>0</v>
      </c>
      <c r="I13" s="63">
        <f t="shared" si="5"/>
        <v>20833.333333333332</v>
      </c>
      <c r="J13" s="63">
        <f t="shared" si="6"/>
        <v>20833.333333333332</v>
      </c>
    </row>
    <row r="14" spans="1:10" x14ac:dyDescent="0.2">
      <c r="A14" s="42">
        <v>12</v>
      </c>
      <c r="B14" s="63">
        <f t="shared" si="7"/>
        <v>43364341.895701222</v>
      </c>
      <c r="C14" s="63"/>
      <c r="D14" s="63">
        <f t="shared" si="0"/>
        <v>2156487.7464770442</v>
      </c>
      <c r="E14" s="63">
        <f t="shared" si="1"/>
        <v>758875.98317477142</v>
      </c>
      <c r="F14" s="63">
        <f t="shared" si="2"/>
        <v>1397611.7633022727</v>
      </c>
      <c r="G14" s="63">
        <f t="shared" si="3"/>
        <v>41966730.132398948</v>
      </c>
      <c r="H14" s="63">
        <f t="shared" si="4"/>
        <v>0</v>
      </c>
      <c r="I14" s="63">
        <f t="shared" si="5"/>
        <v>20833.333333333332</v>
      </c>
      <c r="J14" s="63">
        <f t="shared" si="6"/>
        <v>20833.333333333332</v>
      </c>
    </row>
    <row r="15" spans="1:10" x14ac:dyDescent="0.2">
      <c r="A15" s="42">
        <v>13</v>
      </c>
      <c r="B15" s="63">
        <f t="shared" si="7"/>
        <v>41966730.132398948</v>
      </c>
      <c r="C15" s="63"/>
      <c r="D15" s="63">
        <f t="shared" si="0"/>
        <v>2156487.7464770447</v>
      </c>
      <c r="E15" s="63">
        <f t="shared" si="1"/>
        <v>734417.77731698158</v>
      </c>
      <c r="F15" s="63">
        <f t="shared" si="2"/>
        <v>1422069.9691600632</v>
      </c>
      <c r="G15" s="63">
        <f t="shared" si="3"/>
        <v>40544660.163238883</v>
      </c>
      <c r="H15" s="63">
        <f t="shared" si="4"/>
        <v>0</v>
      </c>
      <c r="I15" s="63">
        <f t="shared" si="5"/>
        <v>20833.333333333332</v>
      </c>
      <c r="J15" s="63">
        <f t="shared" si="6"/>
        <v>20833.333333333332</v>
      </c>
    </row>
    <row r="16" spans="1:10" x14ac:dyDescent="0.2">
      <c r="A16" s="42">
        <v>14</v>
      </c>
      <c r="B16" s="63">
        <f t="shared" si="7"/>
        <v>40544660.163238883</v>
      </c>
      <c r="C16" s="63"/>
      <c r="D16" s="63">
        <f t="shared" si="0"/>
        <v>2156487.7464770456</v>
      </c>
      <c r="E16" s="63">
        <f t="shared" si="1"/>
        <v>709531.55285668047</v>
      </c>
      <c r="F16" s="63">
        <f t="shared" si="2"/>
        <v>1446956.1936203651</v>
      </c>
      <c r="G16" s="63">
        <f t="shared" si="3"/>
        <v>39097703.969618514</v>
      </c>
      <c r="H16" s="63">
        <f t="shared" si="4"/>
        <v>0</v>
      </c>
      <c r="I16" s="63">
        <f t="shared" si="5"/>
        <v>20833.333333333332</v>
      </c>
      <c r="J16" s="63">
        <f t="shared" si="6"/>
        <v>20833.333333333332</v>
      </c>
    </row>
    <row r="17" spans="1:10" x14ac:dyDescent="0.2">
      <c r="A17" s="42">
        <v>15</v>
      </c>
      <c r="B17" s="63">
        <f t="shared" si="7"/>
        <v>39097703.969618514</v>
      </c>
      <c r="C17" s="63"/>
      <c r="D17" s="63">
        <f t="shared" si="0"/>
        <v>2156487.7464770451</v>
      </c>
      <c r="E17" s="63">
        <f t="shared" si="1"/>
        <v>684209.81946832396</v>
      </c>
      <c r="F17" s="63">
        <f t="shared" si="2"/>
        <v>1472277.927008721</v>
      </c>
      <c r="G17" s="63">
        <f t="shared" si="3"/>
        <v>37625426.042609796</v>
      </c>
      <c r="H17" s="63">
        <f t="shared" si="4"/>
        <v>0</v>
      </c>
      <c r="I17" s="63">
        <f t="shared" si="5"/>
        <v>20833.333333333332</v>
      </c>
      <c r="J17" s="63">
        <f t="shared" si="6"/>
        <v>20833.333333333332</v>
      </c>
    </row>
    <row r="18" spans="1:10" x14ac:dyDescent="0.2">
      <c r="A18" s="42">
        <v>16</v>
      </c>
      <c r="B18" s="63">
        <f t="shared" si="7"/>
        <v>37625426.042609796</v>
      </c>
      <c r="C18" s="63"/>
      <c r="D18" s="63">
        <f t="shared" si="0"/>
        <v>2156487.7464770465</v>
      </c>
      <c r="E18" s="63">
        <f t="shared" si="1"/>
        <v>658444.95574567141</v>
      </c>
      <c r="F18" s="63">
        <f t="shared" si="2"/>
        <v>1498042.7907313751</v>
      </c>
      <c r="G18" s="63">
        <f t="shared" si="3"/>
        <v>36127383.251878418</v>
      </c>
      <c r="H18" s="63">
        <f t="shared" si="4"/>
        <v>0</v>
      </c>
      <c r="I18" s="63">
        <f t="shared" si="5"/>
        <v>20833.333333333332</v>
      </c>
      <c r="J18" s="63">
        <f t="shared" si="6"/>
        <v>20833.333333333332</v>
      </c>
    </row>
    <row r="19" spans="1:10" x14ac:dyDescent="0.2">
      <c r="A19" s="42">
        <v>17</v>
      </c>
      <c r="B19" s="63">
        <f t="shared" si="7"/>
        <v>36127383.251878418</v>
      </c>
      <c r="C19" s="63"/>
      <c r="D19" s="63">
        <f t="shared" si="0"/>
        <v>2156487.7464770456</v>
      </c>
      <c r="E19" s="63">
        <f t="shared" si="1"/>
        <v>632229.20690787223</v>
      </c>
      <c r="F19" s="63">
        <f t="shared" si="2"/>
        <v>1524258.5395691735</v>
      </c>
      <c r="G19" s="63">
        <f t="shared" si="3"/>
        <v>34603124.712309241</v>
      </c>
      <c r="H19" s="63">
        <f t="shared" si="4"/>
        <v>0</v>
      </c>
      <c r="I19" s="63">
        <f t="shared" si="5"/>
        <v>20833.333333333332</v>
      </c>
      <c r="J19" s="63">
        <f t="shared" si="6"/>
        <v>20833.333333333332</v>
      </c>
    </row>
    <row r="20" spans="1:10" x14ac:dyDescent="0.2">
      <c r="A20" s="42">
        <v>18</v>
      </c>
      <c r="B20" s="63">
        <f t="shared" si="7"/>
        <v>34603124.712309241</v>
      </c>
      <c r="C20" s="63"/>
      <c r="D20" s="63">
        <f t="shared" si="0"/>
        <v>2156487.7464770465</v>
      </c>
      <c r="E20" s="63">
        <f t="shared" si="1"/>
        <v>605554.68246541172</v>
      </c>
      <c r="F20" s="63">
        <f t="shared" si="2"/>
        <v>1550933.0640116348</v>
      </c>
      <c r="G20" s="63">
        <f t="shared" si="3"/>
        <v>33052191.648297608</v>
      </c>
      <c r="H20" s="63">
        <f t="shared" si="4"/>
        <v>0</v>
      </c>
      <c r="I20" s="63">
        <f t="shared" si="5"/>
        <v>20833.333333333332</v>
      </c>
      <c r="J20" s="63">
        <f t="shared" si="6"/>
        <v>20833.333333333332</v>
      </c>
    </row>
    <row r="21" spans="1:10" ht="15.75" customHeight="1" x14ac:dyDescent="0.2">
      <c r="A21" s="42">
        <v>19</v>
      </c>
      <c r="B21" s="63">
        <f t="shared" si="7"/>
        <v>33052191.648297608</v>
      </c>
      <c r="C21" s="63"/>
      <c r="D21" s="63">
        <f t="shared" si="0"/>
        <v>2156487.7464770465</v>
      </c>
      <c r="E21" s="63">
        <f t="shared" si="1"/>
        <v>578413.35384520807</v>
      </c>
      <c r="F21" s="63">
        <f t="shared" si="2"/>
        <v>1578074.3926318386</v>
      </c>
      <c r="G21" s="63">
        <f t="shared" si="3"/>
        <v>31474117.255665768</v>
      </c>
      <c r="H21" s="63">
        <f t="shared" si="4"/>
        <v>0</v>
      </c>
      <c r="I21" s="63">
        <f t="shared" si="5"/>
        <v>20833.333333333332</v>
      </c>
      <c r="J21" s="63">
        <f t="shared" si="6"/>
        <v>20833.333333333332</v>
      </c>
    </row>
    <row r="22" spans="1:10" ht="15.75" customHeight="1" x14ac:dyDescent="0.2">
      <c r="A22" s="42">
        <v>20</v>
      </c>
      <c r="B22" s="63">
        <f t="shared" si="7"/>
        <v>31474117.255665768</v>
      </c>
      <c r="C22" s="63"/>
      <c r="D22" s="63">
        <f t="shared" si="0"/>
        <v>2156487.7464770474</v>
      </c>
      <c r="E22" s="63">
        <f t="shared" si="1"/>
        <v>550797.05197415093</v>
      </c>
      <c r="F22" s="63">
        <f t="shared" si="2"/>
        <v>1605690.6945028966</v>
      </c>
      <c r="G22" s="63">
        <f t="shared" si="3"/>
        <v>29868426.56116287</v>
      </c>
      <c r="H22" s="63">
        <f t="shared" si="4"/>
        <v>0</v>
      </c>
      <c r="I22" s="63">
        <f t="shared" si="5"/>
        <v>20833.333333333332</v>
      </c>
      <c r="J22" s="63">
        <f t="shared" si="6"/>
        <v>20833.333333333332</v>
      </c>
    </row>
    <row r="23" spans="1:10" ht="15.75" customHeight="1" x14ac:dyDescent="0.2">
      <c r="A23" s="42">
        <v>21</v>
      </c>
      <c r="B23" s="63">
        <f t="shared" si="7"/>
        <v>29868426.56116287</v>
      </c>
      <c r="C23" s="63"/>
      <c r="D23" s="63">
        <f t="shared" si="0"/>
        <v>2156487.746477047</v>
      </c>
      <c r="E23" s="63">
        <f t="shared" si="1"/>
        <v>522697.46482035023</v>
      </c>
      <c r="F23" s="63">
        <f t="shared" si="2"/>
        <v>1633790.2816566967</v>
      </c>
      <c r="G23" s="63">
        <f t="shared" si="3"/>
        <v>28234636.279506173</v>
      </c>
      <c r="H23" s="63">
        <f t="shared" si="4"/>
        <v>0</v>
      </c>
      <c r="I23" s="63">
        <f t="shared" si="5"/>
        <v>20833.333333333332</v>
      </c>
      <c r="J23" s="63">
        <f t="shared" si="6"/>
        <v>20833.333333333332</v>
      </c>
    </row>
    <row r="24" spans="1:10" ht="15.75" customHeight="1" x14ac:dyDescent="0.2">
      <c r="A24" s="42">
        <v>22</v>
      </c>
      <c r="B24" s="63">
        <f t="shared" si="7"/>
        <v>28234636.279506173</v>
      </c>
      <c r="C24" s="63"/>
      <c r="D24" s="63">
        <f t="shared" si="0"/>
        <v>2156487.7464770498</v>
      </c>
      <c r="E24" s="63">
        <f t="shared" si="1"/>
        <v>494106.13489135797</v>
      </c>
      <c r="F24" s="63">
        <f t="shared" si="2"/>
        <v>1662381.6115856918</v>
      </c>
      <c r="G24" s="63">
        <f t="shared" si="3"/>
        <v>26572254.667920481</v>
      </c>
      <c r="H24" s="63">
        <f t="shared" si="4"/>
        <v>0</v>
      </c>
      <c r="I24" s="63">
        <f t="shared" si="5"/>
        <v>20833.333333333332</v>
      </c>
      <c r="J24" s="63">
        <f t="shared" si="6"/>
        <v>20833.333333333332</v>
      </c>
    </row>
    <row r="25" spans="1:10" ht="15.75" customHeight="1" x14ac:dyDescent="0.2">
      <c r="A25" s="42">
        <v>23</v>
      </c>
      <c r="B25" s="63">
        <f t="shared" si="7"/>
        <v>26572254.667920481</v>
      </c>
      <c r="C25" s="63"/>
      <c r="D25" s="63">
        <f t="shared" si="0"/>
        <v>2156487.7464770484</v>
      </c>
      <c r="E25" s="63">
        <f t="shared" si="1"/>
        <v>465014.45668860845</v>
      </c>
      <c r="F25" s="63">
        <f t="shared" si="2"/>
        <v>1691473.2897884399</v>
      </c>
      <c r="G25" s="63">
        <f t="shared" si="3"/>
        <v>24880781.378132042</v>
      </c>
      <c r="H25" s="63">
        <f t="shared" si="4"/>
        <v>0</v>
      </c>
      <c r="I25" s="63">
        <f t="shared" si="5"/>
        <v>20833.333333333332</v>
      </c>
      <c r="J25" s="63">
        <f t="shared" si="6"/>
        <v>20833.333333333332</v>
      </c>
    </row>
    <row r="26" spans="1:10" ht="15.75" customHeight="1" x14ac:dyDescent="0.2">
      <c r="A26" s="42">
        <v>24</v>
      </c>
      <c r="B26" s="63">
        <f t="shared" si="7"/>
        <v>24880781.378132042</v>
      </c>
      <c r="C26" s="63"/>
      <c r="D26" s="63">
        <f t="shared" si="0"/>
        <v>2156487.7464770498</v>
      </c>
      <c r="E26" s="63">
        <f t="shared" si="1"/>
        <v>435413.67411731073</v>
      </c>
      <c r="F26" s="63">
        <f t="shared" si="2"/>
        <v>1721074.0723597391</v>
      </c>
      <c r="G26" s="63">
        <f t="shared" si="3"/>
        <v>23159707.305772301</v>
      </c>
      <c r="H26" s="63">
        <f t="shared" si="4"/>
        <v>0</v>
      </c>
      <c r="I26" s="63">
        <f t="shared" si="5"/>
        <v>20833.333333333332</v>
      </c>
      <c r="J26" s="63">
        <f t="shared" si="6"/>
        <v>20833.333333333332</v>
      </c>
    </row>
    <row r="27" spans="1:10" ht="15.75" customHeight="1" x14ac:dyDescent="0.2">
      <c r="A27" s="42">
        <v>25</v>
      </c>
      <c r="B27" s="63">
        <f t="shared" si="7"/>
        <v>23159707.305772301</v>
      </c>
      <c r="C27" s="63"/>
      <c r="D27" s="63">
        <f t="shared" si="0"/>
        <v>2156487.7464770493</v>
      </c>
      <c r="E27" s="63">
        <f t="shared" si="1"/>
        <v>405294.87785101525</v>
      </c>
      <c r="F27" s="63">
        <f t="shared" si="2"/>
        <v>1751192.8686260341</v>
      </c>
      <c r="G27" s="63">
        <f t="shared" si="3"/>
        <v>21408514.437146265</v>
      </c>
      <c r="H27" s="63">
        <f t="shared" si="4"/>
        <v>0</v>
      </c>
      <c r="I27" s="63">
        <f t="shared" si="5"/>
        <v>20833.333333333332</v>
      </c>
      <c r="J27" s="63">
        <f t="shared" si="6"/>
        <v>20833.333333333332</v>
      </c>
    </row>
    <row r="28" spans="1:10" ht="15.75" customHeight="1" x14ac:dyDescent="0.2">
      <c r="A28" s="42">
        <v>26</v>
      </c>
      <c r="B28" s="63">
        <f t="shared" si="7"/>
        <v>21408514.437146265</v>
      </c>
      <c r="C28" s="63"/>
      <c r="D28" s="63">
        <f t="shared" si="0"/>
        <v>2156487.7464770516</v>
      </c>
      <c r="E28" s="63">
        <f t="shared" si="1"/>
        <v>374649.00265005958</v>
      </c>
      <c r="F28" s="63">
        <f t="shared" si="2"/>
        <v>1781838.7438269921</v>
      </c>
      <c r="G28" s="63">
        <f t="shared" si="3"/>
        <v>19626675.693319272</v>
      </c>
      <c r="H28" s="63">
        <f t="shared" si="4"/>
        <v>0</v>
      </c>
      <c r="I28" s="63">
        <f t="shared" si="5"/>
        <v>20833.333333333332</v>
      </c>
      <c r="J28" s="63">
        <f t="shared" si="6"/>
        <v>20833.333333333332</v>
      </c>
    </row>
    <row r="29" spans="1:10" ht="15.75" customHeight="1" x14ac:dyDescent="0.2">
      <c r="A29" s="42">
        <v>27</v>
      </c>
      <c r="B29" s="63">
        <f t="shared" si="7"/>
        <v>19626675.693319272</v>
      </c>
      <c r="C29" s="63"/>
      <c r="D29" s="63">
        <f t="shared" si="0"/>
        <v>2156487.7464770507</v>
      </c>
      <c r="E29" s="63">
        <f t="shared" si="1"/>
        <v>343466.82463308726</v>
      </c>
      <c r="F29" s="63">
        <f t="shared" si="2"/>
        <v>1813020.9218439634</v>
      </c>
      <c r="G29" s="63">
        <f t="shared" si="3"/>
        <v>17813654.771475308</v>
      </c>
      <c r="H29" s="63">
        <f t="shared" si="4"/>
        <v>0</v>
      </c>
      <c r="I29" s="63">
        <f t="shared" si="5"/>
        <v>20833.333333333332</v>
      </c>
      <c r="J29" s="63">
        <f t="shared" si="6"/>
        <v>20833.333333333332</v>
      </c>
    </row>
    <row r="30" spans="1:10" ht="15.75" customHeight="1" x14ac:dyDescent="0.2">
      <c r="A30" s="42">
        <v>28</v>
      </c>
      <c r="B30" s="63">
        <f t="shared" si="7"/>
        <v>17813654.771475308</v>
      </c>
      <c r="C30" s="63"/>
      <c r="D30" s="63">
        <f t="shared" si="0"/>
        <v>2156487.7464770521</v>
      </c>
      <c r="E30" s="63">
        <f t="shared" si="1"/>
        <v>311738.95850081788</v>
      </c>
      <c r="F30" s="63">
        <f t="shared" si="2"/>
        <v>1844748.7879762342</v>
      </c>
      <c r="G30" s="63">
        <f t="shared" si="3"/>
        <v>15968905.983499072</v>
      </c>
      <c r="H30" s="63">
        <f t="shared" si="4"/>
        <v>0</v>
      </c>
      <c r="I30" s="63">
        <f t="shared" si="5"/>
        <v>20833.333333333332</v>
      </c>
      <c r="J30" s="63">
        <f t="shared" si="6"/>
        <v>20833.333333333332</v>
      </c>
    </row>
    <row r="31" spans="1:10" ht="15.75" customHeight="1" x14ac:dyDescent="0.2">
      <c r="A31" s="42">
        <v>29</v>
      </c>
      <c r="B31" s="63">
        <f t="shared" si="7"/>
        <v>15968905.983499072</v>
      </c>
      <c r="C31" s="63"/>
      <c r="D31" s="63">
        <f t="shared" si="0"/>
        <v>2156487.7464770526</v>
      </c>
      <c r="E31" s="63">
        <f t="shared" si="1"/>
        <v>279455.85471123375</v>
      </c>
      <c r="F31" s="63">
        <f t="shared" si="2"/>
        <v>1877031.8917658189</v>
      </c>
      <c r="G31" s="63">
        <f t="shared" si="3"/>
        <v>14091874.091733254</v>
      </c>
      <c r="H31" s="63">
        <f t="shared" si="4"/>
        <v>0</v>
      </c>
      <c r="I31" s="63">
        <f t="shared" si="5"/>
        <v>20833.333333333332</v>
      </c>
      <c r="J31" s="63">
        <f t="shared" si="6"/>
        <v>20833.333333333332</v>
      </c>
    </row>
    <row r="32" spans="1:10" ht="15.75" customHeight="1" x14ac:dyDescent="0.2">
      <c r="A32" s="42">
        <v>30</v>
      </c>
      <c r="B32" s="63">
        <f t="shared" si="7"/>
        <v>14091874.091733254</v>
      </c>
      <c r="C32" s="63"/>
      <c r="D32" s="63">
        <f t="shared" si="0"/>
        <v>2156487.7464770568</v>
      </c>
      <c r="E32" s="63">
        <f t="shared" si="1"/>
        <v>246607.79660533194</v>
      </c>
      <c r="F32" s="63">
        <f t="shared" si="2"/>
        <v>1909879.9498717249</v>
      </c>
      <c r="G32" s="63">
        <f t="shared" si="3"/>
        <v>12181994.14186153</v>
      </c>
      <c r="H32" s="63">
        <f t="shared" si="4"/>
        <v>0</v>
      </c>
      <c r="I32" s="63">
        <f t="shared" si="5"/>
        <v>20833.333333333332</v>
      </c>
      <c r="J32" s="63">
        <f t="shared" si="6"/>
        <v>20833.333333333332</v>
      </c>
    </row>
    <row r="33" spans="1:10" ht="15.75" customHeight="1" x14ac:dyDescent="0.2">
      <c r="A33" s="42">
        <v>31</v>
      </c>
      <c r="B33" s="63">
        <f t="shared" si="7"/>
        <v>12181994.14186153</v>
      </c>
      <c r="C33" s="63"/>
      <c r="D33" s="63">
        <f t="shared" si="0"/>
        <v>2156487.7464770554</v>
      </c>
      <c r="E33" s="63">
        <f t="shared" si="1"/>
        <v>213184.89748257678</v>
      </c>
      <c r="F33" s="63">
        <f t="shared" si="2"/>
        <v>1943302.8489944786</v>
      </c>
      <c r="G33" s="63">
        <f t="shared" si="3"/>
        <v>10238691.292867051</v>
      </c>
      <c r="H33" s="63">
        <f t="shared" si="4"/>
        <v>0</v>
      </c>
      <c r="I33" s="63">
        <f t="shared" si="5"/>
        <v>20833.333333333332</v>
      </c>
      <c r="J33" s="63">
        <f t="shared" si="6"/>
        <v>20833.333333333332</v>
      </c>
    </row>
    <row r="34" spans="1:10" ht="15.75" customHeight="1" x14ac:dyDescent="0.2">
      <c r="A34" s="42">
        <v>32</v>
      </c>
      <c r="B34" s="63">
        <f t="shared" si="7"/>
        <v>10238691.292867051</v>
      </c>
      <c r="C34" s="63"/>
      <c r="D34" s="63">
        <f t="shared" si="0"/>
        <v>2156487.7464770549</v>
      </c>
      <c r="E34" s="63">
        <f t="shared" si="1"/>
        <v>179177.0976251734</v>
      </c>
      <c r="F34" s="63">
        <f t="shared" si="2"/>
        <v>1977310.6488518815</v>
      </c>
      <c r="G34" s="63">
        <f t="shared" si="3"/>
        <v>8261380.6440151697</v>
      </c>
      <c r="H34" s="63">
        <f t="shared" si="4"/>
        <v>0</v>
      </c>
      <c r="I34" s="63">
        <f t="shared" si="5"/>
        <v>20833.333333333332</v>
      </c>
      <c r="J34" s="63">
        <f t="shared" si="6"/>
        <v>20833.333333333332</v>
      </c>
    </row>
    <row r="35" spans="1:10" ht="15.75" customHeight="1" x14ac:dyDescent="0.2">
      <c r="A35" s="42">
        <v>33</v>
      </c>
      <c r="B35" s="63">
        <f t="shared" si="7"/>
        <v>8261380.6440151697</v>
      </c>
      <c r="C35" s="63"/>
      <c r="D35" s="63">
        <f t="shared" si="0"/>
        <v>2156487.7464770596</v>
      </c>
      <c r="E35" s="63">
        <f t="shared" si="1"/>
        <v>144574.16127026547</v>
      </c>
      <c r="F35" s="63">
        <f t="shared" si="2"/>
        <v>2011913.5852067941</v>
      </c>
      <c r="G35" s="63">
        <f t="shared" si="3"/>
        <v>6249467.0588083751</v>
      </c>
      <c r="H35" s="63">
        <f t="shared" si="4"/>
        <v>0</v>
      </c>
      <c r="I35" s="63">
        <f t="shared" si="5"/>
        <v>20833.333333333332</v>
      </c>
      <c r="J35" s="63">
        <f t="shared" si="6"/>
        <v>20833.333333333332</v>
      </c>
    </row>
    <row r="36" spans="1:10" ht="15.75" customHeight="1" x14ac:dyDescent="0.2">
      <c r="A36" s="42">
        <v>34</v>
      </c>
      <c r="B36" s="63">
        <f t="shared" si="7"/>
        <v>6249467.0588083751</v>
      </c>
      <c r="C36" s="63"/>
      <c r="D36" s="63">
        <f t="shared" si="0"/>
        <v>2156487.746477067</v>
      </c>
      <c r="E36" s="63">
        <f t="shared" si="1"/>
        <v>109365.67352914657</v>
      </c>
      <c r="F36" s="63">
        <f t="shared" si="2"/>
        <v>2047122.0729479205</v>
      </c>
      <c r="G36" s="63">
        <f t="shared" si="3"/>
        <v>4202344.9858604548</v>
      </c>
      <c r="H36" s="63">
        <f t="shared" si="4"/>
        <v>0</v>
      </c>
      <c r="I36" s="63">
        <f t="shared" si="5"/>
        <v>20833.333333333332</v>
      </c>
      <c r="J36" s="63">
        <f t="shared" si="6"/>
        <v>20833.333333333332</v>
      </c>
    </row>
    <row r="37" spans="1:10" ht="15.75" customHeight="1" x14ac:dyDescent="0.2">
      <c r="A37" s="42">
        <v>35</v>
      </c>
      <c r="B37" s="63">
        <f t="shared" si="7"/>
        <v>4202344.9858604548</v>
      </c>
      <c r="C37" s="63"/>
      <c r="D37" s="63">
        <f t="shared" si="0"/>
        <v>2156487.7464770642</v>
      </c>
      <c r="E37" s="63">
        <f t="shared" si="1"/>
        <v>73541.037252557959</v>
      </c>
      <c r="F37" s="63">
        <f t="shared" si="2"/>
        <v>2082946.7092245063</v>
      </c>
      <c r="G37" s="63">
        <f t="shared" si="3"/>
        <v>2119398.2766359486</v>
      </c>
      <c r="H37" s="63">
        <f t="shared" si="4"/>
        <v>0</v>
      </c>
      <c r="I37" s="63">
        <f t="shared" si="5"/>
        <v>20833.333333333332</v>
      </c>
      <c r="J37" s="63">
        <f t="shared" si="6"/>
        <v>20833.333333333332</v>
      </c>
    </row>
    <row r="38" spans="1:10" ht="15.75" customHeight="1" x14ac:dyDescent="0.2">
      <c r="A38" s="42">
        <v>36</v>
      </c>
      <c r="B38" s="63">
        <f t="shared" si="7"/>
        <v>2119398.2766359486</v>
      </c>
      <c r="C38" s="63"/>
      <c r="D38" s="63">
        <f t="shared" si="0"/>
        <v>2156487.7464770665</v>
      </c>
      <c r="E38" s="63">
        <f t="shared" si="1"/>
        <v>37089.469841129096</v>
      </c>
      <c r="F38" s="63">
        <f t="shared" si="2"/>
        <v>2119398.2766359374</v>
      </c>
      <c r="G38" s="63">
        <f t="shared" si="3"/>
        <v>1.1175870895385742E-8</v>
      </c>
      <c r="H38" s="63">
        <f t="shared" si="4"/>
        <v>0</v>
      </c>
      <c r="I38" s="63">
        <f t="shared" si="5"/>
        <v>20833.333333333332</v>
      </c>
      <c r="J38" s="63">
        <f t="shared" si="6"/>
        <v>20833.333333333332</v>
      </c>
    </row>
    <row r="39" spans="1:10" ht="15.75" customHeight="1" x14ac:dyDescent="0.2">
      <c r="A39" s="42"/>
      <c r="B39" s="42"/>
      <c r="C39" s="42"/>
      <c r="D39" s="42"/>
      <c r="E39" s="42"/>
      <c r="F39" s="42"/>
      <c r="G39" s="42"/>
      <c r="H39" s="42"/>
      <c r="I39" s="42"/>
      <c r="J39" s="42"/>
    </row>
    <row r="40" spans="1:10" ht="15.75" customHeight="1" x14ac:dyDescent="0.2">
      <c r="A40" s="43" t="s">
        <v>255</v>
      </c>
      <c r="B40" s="47">
        <v>0.21</v>
      </c>
      <c r="C40" s="42"/>
      <c r="D40" s="42"/>
      <c r="E40" s="42"/>
      <c r="F40" s="42"/>
      <c r="G40" s="42"/>
      <c r="H40" s="42"/>
      <c r="I40" s="42"/>
      <c r="J40" s="42"/>
    </row>
    <row r="41" spans="1:10" ht="15.75" customHeight="1" x14ac:dyDescent="0.2">
      <c r="A41" s="43" t="s">
        <v>256</v>
      </c>
      <c r="B41" s="63">
        <v>10000000</v>
      </c>
      <c r="C41" s="42"/>
      <c r="D41" s="42"/>
      <c r="E41" s="42"/>
      <c r="F41" s="42"/>
      <c r="G41" s="42"/>
      <c r="H41" s="42"/>
      <c r="I41" s="42"/>
      <c r="J41" s="42"/>
    </row>
    <row r="42" spans="1:10" ht="15.75" customHeight="1" x14ac:dyDescent="0.2">
      <c r="A42" s="43" t="s">
        <v>257</v>
      </c>
      <c r="B42" s="63">
        <v>50000000</v>
      </c>
      <c r="C42" s="42"/>
      <c r="D42" s="42"/>
      <c r="E42" s="42"/>
      <c r="F42" s="42"/>
      <c r="G42" s="42"/>
      <c r="H42" s="42"/>
      <c r="I42" s="42"/>
      <c r="J42" s="42"/>
    </row>
    <row r="43" spans="1:10" ht="15.75" customHeight="1" x14ac:dyDescent="0.2">
      <c r="A43" s="43" t="s">
        <v>258</v>
      </c>
      <c r="B43" s="42">
        <v>2</v>
      </c>
      <c r="C43" s="42"/>
      <c r="D43" s="42"/>
      <c r="E43" s="42"/>
      <c r="F43" s="42"/>
      <c r="G43" s="42"/>
      <c r="H43" s="42"/>
      <c r="I43" s="42"/>
      <c r="J43" s="42"/>
    </row>
    <row r="44" spans="1:10" ht="15.75" customHeight="1" x14ac:dyDescent="0.2">
      <c r="A44" s="43" t="s">
        <v>259</v>
      </c>
      <c r="B44" s="42">
        <v>36</v>
      </c>
      <c r="C44" s="42"/>
      <c r="D44" s="42"/>
      <c r="E44" s="42"/>
      <c r="F44" s="42"/>
      <c r="G44" s="42"/>
      <c r="H44" s="42"/>
      <c r="I44" s="42"/>
      <c r="J44" s="42"/>
    </row>
    <row r="45" spans="1:10" ht="15.75" customHeight="1" x14ac:dyDescent="0.2">
      <c r="A45" s="43" t="s">
        <v>260</v>
      </c>
      <c r="B45" s="42">
        <v>6</v>
      </c>
      <c r="C45" s="42"/>
      <c r="D45" s="42"/>
      <c r="E45" s="42"/>
      <c r="F45" s="42"/>
      <c r="G45" s="42"/>
      <c r="H45" s="42"/>
      <c r="I45" s="42"/>
      <c r="J45" s="42"/>
    </row>
    <row r="46" spans="1:10" ht="15.75" customHeight="1" x14ac:dyDescent="0.2">
      <c r="A46" s="43" t="s">
        <v>261</v>
      </c>
      <c r="B46" s="64">
        <v>550000</v>
      </c>
      <c r="C46" s="42"/>
      <c r="D46" s="42"/>
      <c r="E46" s="42"/>
      <c r="F46" s="42"/>
      <c r="G46" s="42"/>
      <c r="H46" s="42"/>
      <c r="I46" s="42"/>
      <c r="J46" s="42"/>
    </row>
    <row r="47" spans="1:10" ht="15.75" customHeight="1" x14ac:dyDescent="0.2">
      <c r="A47" s="43" t="s">
        <v>262</v>
      </c>
      <c r="B47" s="47">
        <v>0.02</v>
      </c>
      <c r="C47" s="42"/>
      <c r="D47" s="42"/>
      <c r="E47" s="42"/>
      <c r="F47" s="42"/>
      <c r="G47" s="42"/>
      <c r="H47" s="42"/>
      <c r="I47" s="42"/>
      <c r="J47" s="42"/>
    </row>
    <row r="48" spans="1:10" ht="15.75" customHeight="1" x14ac:dyDescent="0.2">
      <c r="A48" s="43" t="s">
        <v>263</v>
      </c>
      <c r="B48" s="48">
        <v>5.0000000000000001E-3</v>
      </c>
      <c r="C48" s="42"/>
      <c r="D48" s="42"/>
      <c r="E48" s="42"/>
      <c r="F48" s="42"/>
      <c r="G48" s="42"/>
      <c r="H48" s="42"/>
      <c r="I48" s="42"/>
      <c r="J48" s="42"/>
    </row>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X1000"/>
  <sheetViews>
    <sheetView topLeftCell="A11" workbookViewId="0">
      <pane xSplit="4" topLeftCell="K1" activePane="topRight" state="frozen"/>
      <selection pane="topRight" activeCell="O52" sqref="O52"/>
    </sheetView>
  </sheetViews>
  <sheetFormatPr baseColWidth="10" defaultColWidth="12.6640625" defaultRowHeight="15" customHeight="1" x14ac:dyDescent="0.2"/>
  <cols>
    <col min="1" max="1" width="20.83203125" customWidth="1"/>
    <col min="2" max="4" width="10.6640625" customWidth="1"/>
    <col min="5" max="11" width="14.6640625" customWidth="1"/>
    <col min="12" max="76" width="10.6640625" customWidth="1"/>
  </cols>
  <sheetData>
    <row r="1" spans="1:76" x14ac:dyDescent="0.2">
      <c r="A1" s="65"/>
    </row>
    <row r="2" spans="1:76" x14ac:dyDescent="0.2">
      <c r="A2" s="65"/>
      <c r="B2" s="33" t="s">
        <v>52</v>
      </c>
      <c r="F2" s="66"/>
      <c r="G2" s="66"/>
    </row>
    <row r="3" spans="1:76" x14ac:dyDescent="0.2">
      <c r="B3" s="67">
        <v>45657</v>
      </c>
      <c r="C3" s="67">
        <f t="shared" ref="C3:BJ3" si="0">EOMONTH(B3,1)</f>
        <v>45688</v>
      </c>
      <c r="D3" s="68">
        <f t="shared" si="0"/>
        <v>45716</v>
      </c>
      <c r="E3" s="68">
        <f t="shared" si="0"/>
        <v>45747</v>
      </c>
      <c r="F3" s="68">
        <f t="shared" si="0"/>
        <v>45777</v>
      </c>
      <c r="G3" s="68">
        <f t="shared" si="0"/>
        <v>45808</v>
      </c>
      <c r="H3" s="68">
        <f t="shared" si="0"/>
        <v>45838</v>
      </c>
      <c r="I3" s="68">
        <f t="shared" si="0"/>
        <v>45869</v>
      </c>
      <c r="J3" s="68">
        <f t="shared" si="0"/>
        <v>45900</v>
      </c>
      <c r="K3" s="68">
        <f t="shared" si="0"/>
        <v>45930</v>
      </c>
      <c r="L3" s="68">
        <f t="shared" si="0"/>
        <v>45961</v>
      </c>
      <c r="M3" s="68">
        <f t="shared" si="0"/>
        <v>45991</v>
      </c>
      <c r="N3" s="68">
        <f t="shared" si="0"/>
        <v>46022</v>
      </c>
      <c r="O3" s="68">
        <f t="shared" si="0"/>
        <v>46053</v>
      </c>
      <c r="P3" s="68">
        <f t="shared" si="0"/>
        <v>46081</v>
      </c>
      <c r="Q3" s="68">
        <f t="shared" si="0"/>
        <v>46112</v>
      </c>
      <c r="R3" s="68">
        <f t="shared" si="0"/>
        <v>46142</v>
      </c>
      <c r="S3" s="68">
        <f t="shared" si="0"/>
        <v>46173</v>
      </c>
      <c r="T3" s="68">
        <f t="shared" si="0"/>
        <v>46203</v>
      </c>
      <c r="U3" s="68">
        <f t="shared" si="0"/>
        <v>46234</v>
      </c>
      <c r="V3" s="68">
        <f t="shared" si="0"/>
        <v>46265</v>
      </c>
      <c r="W3" s="68">
        <f t="shared" si="0"/>
        <v>46295</v>
      </c>
      <c r="X3" s="68">
        <f t="shared" si="0"/>
        <v>46326</v>
      </c>
      <c r="Y3" s="68">
        <f t="shared" si="0"/>
        <v>46356</v>
      </c>
      <c r="Z3" s="68">
        <f t="shared" si="0"/>
        <v>46387</v>
      </c>
      <c r="AA3" s="68">
        <f t="shared" si="0"/>
        <v>46418</v>
      </c>
      <c r="AB3" s="68">
        <f t="shared" si="0"/>
        <v>46446</v>
      </c>
      <c r="AC3" s="68">
        <f t="shared" si="0"/>
        <v>46477</v>
      </c>
      <c r="AD3" s="68">
        <f t="shared" si="0"/>
        <v>46507</v>
      </c>
      <c r="AE3" s="68">
        <f t="shared" si="0"/>
        <v>46538</v>
      </c>
      <c r="AF3" s="68">
        <f t="shared" si="0"/>
        <v>46568</v>
      </c>
      <c r="AG3" s="68">
        <f t="shared" si="0"/>
        <v>46599</v>
      </c>
      <c r="AH3" s="68">
        <f t="shared" si="0"/>
        <v>46630</v>
      </c>
      <c r="AI3" s="68">
        <f t="shared" si="0"/>
        <v>46660</v>
      </c>
      <c r="AJ3" s="68">
        <f t="shared" si="0"/>
        <v>46691</v>
      </c>
      <c r="AK3" s="68">
        <f t="shared" si="0"/>
        <v>46721</v>
      </c>
      <c r="AL3" s="68">
        <f t="shared" si="0"/>
        <v>46752</v>
      </c>
      <c r="AM3" s="68">
        <f t="shared" si="0"/>
        <v>46783</v>
      </c>
      <c r="AN3" s="68">
        <f t="shared" si="0"/>
        <v>46812</v>
      </c>
      <c r="AO3" s="68">
        <f t="shared" si="0"/>
        <v>46843</v>
      </c>
      <c r="AP3" s="68">
        <f t="shared" si="0"/>
        <v>46873</v>
      </c>
      <c r="AQ3" s="68">
        <f t="shared" si="0"/>
        <v>46904</v>
      </c>
      <c r="AR3" s="68">
        <f t="shared" si="0"/>
        <v>46934</v>
      </c>
      <c r="AS3" s="68">
        <f t="shared" si="0"/>
        <v>46965</v>
      </c>
      <c r="AT3" s="68">
        <f t="shared" si="0"/>
        <v>46996</v>
      </c>
      <c r="AU3" s="68">
        <f t="shared" si="0"/>
        <v>47026</v>
      </c>
      <c r="AV3" s="68">
        <f t="shared" si="0"/>
        <v>47057</v>
      </c>
      <c r="AW3" s="68">
        <f t="shared" si="0"/>
        <v>47087</v>
      </c>
      <c r="AX3" s="68">
        <f t="shared" si="0"/>
        <v>47118</v>
      </c>
      <c r="AY3" s="68">
        <f t="shared" si="0"/>
        <v>47149</v>
      </c>
      <c r="AZ3" s="68">
        <f t="shared" si="0"/>
        <v>47177</v>
      </c>
      <c r="BA3" s="68">
        <f t="shared" si="0"/>
        <v>47208</v>
      </c>
      <c r="BB3" s="68">
        <f t="shared" si="0"/>
        <v>47238</v>
      </c>
      <c r="BC3" s="68">
        <f t="shared" si="0"/>
        <v>47269</v>
      </c>
      <c r="BD3" s="68">
        <f t="shared" si="0"/>
        <v>47299</v>
      </c>
      <c r="BE3" s="68">
        <f t="shared" si="0"/>
        <v>47330</v>
      </c>
      <c r="BF3" s="68">
        <f t="shared" si="0"/>
        <v>47361</v>
      </c>
      <c r="BG3" s="68">
        <f t="shared" si="0"/>
        <v>47391</v>
      </c>
      <c r="BH3" s="68">
        <f t="shared" si="0"/>
        <v>47422</v>
      </c>
      <c r="BI3" s="68">
        <f t="shared" si="0"/>
        <v>47452</v>
      </c>
      <c r="BJ3" s="68">
        <f t="shared" si="0"/>
        <v>47483</v>
      </c>
      <c r="BM3" s="69"/>
      <c r="BN3" s="69"/>
      <c r="BO3" s="69"/>
      <c r="BP3" s="69"/>
      <c r="BQ3" s="69"/>
      <c r="BR3" s="69"/>
      <c r="BS3" s="69"/>
      <c r="BT3" s="69"/>
      <c r="BU3" s="69"/>
      <c r="BV3" s="69"/>
      <c r="BW3" s="69"/>
      <c r="BX3" s="69"/>
    </row>
    <row r="4" spans="1:76" x14ac:dyDescent="0.2">
      <c r="A4" s="33" t="s">
        <v>264</v>
      </c>
      <c r="B4" s="70">
        <f>'Efs Real'!L69</f>
        <v>5.1749425900626901E-2</v>
      </c>
      <c r="C4" s="70"/>
      <c r="D4" s="70">
        <f>'Efs Real'!N69</f>
        <v>3.8760461485424891E-2</v>
      </c>
      <c r="E4" s="70">
        <f>'Efs Real'!O69</f>
        <v>3.7997795339011348E-2</v>
      </c>
      <c r="F4" s="70">
        <f>'Efs Real'!P69</f>
        <v>2.4646229687134175E-2</v>
      </c>
      <c r="G4" s="70">
        <f>'Efs Real'!Q69</f>
        <v>7.1112877096389068E-2</v>
      </c>
      <c r="H4" s="70">
        <f>'Efs Real'!R69</f>
        <v>7.4020122102406716E-2</v>
      </c>
      <c r="I4" s="70">
        <f>'Efs Real'!S69</f>
        <v>9.8921488596477591E-2</v>
      </c>
      <c r="J4" s="70">
        <f>'Efs Real'!T69</f>
        <v>0.11188498752783917</v>
      </c>
      <c r="K4" s="70">
        <f>'Efs Real'!U69</f>
        <v>0.13215844452339962</v>
      </c>
      <c r="L4" s="70">
        <f>'Efs Real'!V69</f>
        <v>0.11651676459481995</v>
      </c>
      <c r="M4" s="70">
        <f>'Efs Real'!W69</f>
        <v>0.10914943119632835</v>
      </c>
      <c r="N4" s="70">
        <f>'Efs Real'!X69</f>
        <v>7.6144905856400949E-2</v>
      </c>
      <c r="O4" s="70">
        <f>'Efs Real'!Y69</f>
        <v>6.7766140129845789E-2</v>
      </c>
      <c r="P4" s="70">
        <f>'Efs Real'!Z69</f>
        <v>6.7340333492078505E-2</v>
      </c>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6"/>
      <c r="BL4" s="66"/>
    </row>
    <row r="5" spans="1:76" x14ac:dyDescent="0.2">
      <c r="A5" s="33" t="s">
        <v>265</v>
      </c>
      <c r="B5" s="70">
        <v>7.4999999999999997E-2</v>
      </c>
      <c r="C5" s="70">
        <v>7.4999999999999997E-2</v>
      </c>
      <c r="D5" s="70">
        <v>7.4999999999999997E-2</v>
      </c>
      <c r="E5" s="70">
        <v>7.4999999999999997E-2</v>
      </c>
      <c r="F5" s="70">
        <v>7.4999999999999997E-2</v>
      </c>
      <c r="G5" s="70">
        <v>7.4999999999999997E-2</v>
      </c>
      <c r="H5" s="70">
        <v>7.4999999999999997E-2</v>
      </c>
      <c r="I5" s="70">
        <v>7.4999999999999997E-2</v>
      </c>
      <c r="J5" s="70">
        <v>7.4999999999999997E-2</v>
      </c>
      <c r="K5" s="70">
        <v>7.4999999999999997E-2</v>
      </c>
      <c r="L5" s="70">
        <v>7.4999999999999997E-2</v>
      </c>
      <c r="M5" s="70">
        <v>7.4999999999999997E-2</v>
      </c>
      <c r="N5" s="70">
        <v>7.4999999999999997E-2</v>
      </c>
      <c r="O5" s="70">
        <v>7.4999999999999997E-2</v>
      </c>
      <c r="P5" s="70">
        <v>7.4999999999999997E-2</v>
      </c>
      <c r="Q5" s="70">
        <v>7.4999999999999997E-2</v>
      </c>
      <c r="R5" s="70">
        <v>7.4999999999999997E-2</v>
      </c>
      <c r="S5" s="70">
        <v>7.4999999999999997E-2</v>
      </c>
      <c r="T5" s="70">
        <v>7.4999999999999997E-2</v>
      </c>
      <c r="U5" s="70">
        <v>7.4999999999999997E-2</v>
      </c>
      <c r="V5" s="70">
        <v>7.4999999999999997E-2</v>
      </c>
      <c r="W5" s="70">
        <v>7.4999999999999997E-2</v>
      </c>
      <c r="X5" s="70">
        <v>7.4999999999999997E-2</v>
      </c>
      <c r="Y5" s="70">
        <v>7.4999999999999997E-2</v>
      </c>
      <c r="Z5" s="70">
        <v>7.4999999999999997E-2</v>
      </c>
      <c r="AA5" s="70">
        <v>7.4999999999999997E-2</v>
      </c>
      <c r="AB5" s="70">
        <v>7.4999999999999997E-2</v>
      </c>
      <c r="AC5" s="70">
        <v>7.4999999999999997E-2</v>
      </c>
      <c r="AD5" s="70">
        <v>7.4999999999999997E-2</v>
      </c>
      <c r="AE5" s="70">
        <v>7.4999999999999997E-2</v>
      </c>
      <c r="AF5" s="70">
        <v>7.4999999999999997E-2</v>
      </c>
      <c r="AG5" s="70">
        <v>7.4999999999999997E-2</v>
      </c>
      <c r="AH5" s="70">
        <v>7.4999999999999997E-2</v>
      </c>
      <c r="AI5" s="70">
        <v>7.4999999999999997E-2</v>
      </c>
      <c r="AJ5" s="70">
        <v>7.4999999999999997E-2</v>
      </c>
      <c r="AK5" s="70">
        <v>7.4999999999999997E-2</v>
      </c>
      <c r="AL5" s="70">
        <v>7.4999999999999997E-2</v>
      </c>
      <c r="AM5" s="70">
        <v>7.4999999999999997E-2</v>
      </c>
      <c r="AN5" s="70">
        <v>7.4999999999999997E-2</v>
      </c>
      <c r="AO5" s="70">
        <v>7.4999999999999997E-2</v>
      </c>
      <c r="AP5" s="70">
        <v>7.4999999999999997E-2</v>
      </c>
      <c r="AQ5" s="70">
        <v>7.4999999999999997E-2</v>
      </c>
      <c r="AR5" s="70">
        <v>7.4999999999999997E-2</v>
      </c>
      <c r="AS5" s="70">
        <v>7.4999999999999997E-2</v>
      </c>
      <c r="AT5" s="70">
        <v>7.4999999999999997E-2</v>
      </c>
      <c r="AU5" s="70">
        <v>7.4999999999999997E-2</v>
      </c>
      <c r="AV5" s="70">
        <v>7.4999999999999997E-2</v>
      </c>
      <c r="AW5" s="70">
        <v>7.4999999999999997E-2</v>
      </c>
      <c r="AX5" s="70">
        <v>7.4999999999999997E-2</v>
      </c>
      <c r="AY5" s="70">
        <v>7.4999999999999997E-2</v>
      </c>
      <c r="AZ5" s="70">
        <v>7.4999999999999997E-2</v>
      </c>
      <c r="BA5" s="70">
        <v>7.4999999999999997E-2</v>
      </c>
      <c r="BB5" s="70">
        <v>7.4999999999999997E-2</v>
      </c>
      <c r="BC5" s="70">
        <v>7.4999999999999997E-2</v>
      </c>
      <c r="BD5" s="70">
        <v>7.4999999999999997E-2</v>
      </c>
      <c r="BE5" s="70">
        <v>7.4999999999999997E-2</v>
      </c>
      <c r="BF5" s="70">
        <v>7.4999999999999997E-2</v>
      </c>
      <c r="BG5" s="70">
        <v>7.4999999999999997E-2</v>
      </c>
      <c r="BH5" s="70">
        <v>7.4999999999999997E-2</v>
      </c>
      <c r="BI5" s="70">
        <v>7.4999999999999997E-2</v>
      </c>
      <c r="BJ5" s="70">
        <v>7.4999999999999997E-2</v>
      </c>
    </row>
    <row r="7" spans="1:76" x14ac:dyDescent="0.2">
      <c r="B7" s="33" t="s">
        <v>266</v>
      </c>
    </row>
    <row r="8" spans="1:76" x14ac:dyDescent="0.2">
      <c r="B8" s="67">
        <v>45657</v>
      </c>
      <c r="C8" s="67">
        <f t="shared" ref="C8:BJ8" si="1">EOMONTH(B8,1)</f>
        <v>45688</v>
      </c>
      <c r="D8" s="68">
        <f t="shared" si="1"/>
        <v>45716</v>
      </c>
      <c r="E8" s="68">
        <f t="shared" si="1"/>
        <v>45747</v>
      </c>
      <c r="F8" s="68">
        <f t="shared" si="1"/>
        <v>45777</v>
      </c>
      <c r="G8" s="68">
        <f t="shared" si="1"/>
        <v>45808</v>
      </c>
      <c r="H8" s="68">
        <f t="shared" si="1"/>
        <v>45838</v>
      </c>
      <c r="I8" s="68">
        <f t="shared" si="1"/>
        <v>45869</v>
      </c>
      <c r="J8" s="68">
        <f t="shared" si="1"/>
        <v>45900</v>
      </c>
      <c r="K8" s="68">
        <f t="shared" si="1"/>
        <v>45930</v>
      </c>
      <c r="L8" s="68">
        <f t="shared" si="1"/>
        <v>45961</v>
      </c>
      <c r="M8" s="68">
        <f t="shared" si="1"/>
        <v>45991</v>
      </c>
      <c r="N8" s="68">
        <f t="shared" si="1"/>
        <v>46022</v>
      </c>
      <c r="O8" s="68">
        <f t="shared" si="1"/>
        <v>46053</v>
      </c>
      <c r="P8" s="68">
        <f t="shared" si="1"/>
        <v>46081</v>
      </c>
      <c r="Q8" s="68">
        <f t="shared" si="1"/>
        <v>46112</v>
      </c>
      <c r="R8" s="68">
        <f t="shared" si="1"/>
        <v>46142</v>
      </c>
      <c r="S8" s="68">
        <f t="shared" si="1"/>
        <v>46173</v>
      </c>
      <c r="T8" s="68">
        <f t="shared" si="1"/>
        <v>46203</v>
      </c>
      <c r="U8" s="68">
        <f t="shared" si="1"/>
        <v>46234</v>
      </c>
      <c r="V8" s="68">
        <f t="shared" si="1"/>
        <v>46265</v>
      </c>
      <c r="W8" s="68">
        <f t="shared" si="1"/>
        <v>46295</v>
      </c>
      <c r="X8" s="68">
        <f t="shared" si="1"/>
        <v>46326</v>
      </c>
      <c r="Y8" s="68">
        <f t="shared" si="1"/>
        <v>46356</v>
      </c>
      <c r="Z8" s="68">
        <f t="shared" si="1"/>
        <v>46387</v>
      </c>
      <c r="AA8" s="68">
        <f t="shared" si="1"/>
        <v>46418</v>
      </c>
      <c r="AB8" s="68">
        <f t="shared" si="1"/>
        <v>46446</v>
      </c>
      <c r="AC8" s="68">
        <f t="shared" si="1"/>
        <v>46477</v>
      </c>
      <c r="AD8" s="68">
        <f t="shared" si="1"/>
        <v>46507</v>
      </c>
      <c r="AE8" s="68">
        <f t="shared" si="1"/>
        <v>46538</v>
      </c>
      <c r="AF8" s="68">
        <f t="shared" si="1"/>
        <v>46568</v>
      </c>
      <c r="AG8" s="68">
        <f t="shared" si="1"/>
        <v>46599</v>
      </c>
      <c r="AH8" s="68">
        <f t="shared" si="1"/>
        <v>46630</v>
      </c>
      <c r="AI8" s="68">
        <f t="shared" si="1"/>
        <v>46660</v>
      </c>
      <c r="AJ8" s="68">
        <f t="shared" si="1"/>
        <v>46691</v>
      </c>
      <c r="AK8" s="68">
        <f t="shared" si="1"/>
        <v>46721</v>
      </c>
      <c r="AL8" s="68">
        <f t="shared" si="1"/>
        <v>46752</v>
      </c>
      <c r="AM8" s="68">
        <f t="shared" si="1"/>
        <v>46783</v>
      </c>
      <c r="AN8" s="68">
        <f t="shared" si="1"/>
        <v>46812</v>
      </c>
      <c r="AO8" s="68">
        <f t="shared" si="1"/>
        <v>46843</v>
      </c>
      <c r="AP8" s="68">
        <f t="shared" si="1"/>
        <v>46873</v>
      </c>
      <c r="AQ8" s="68">
        <f t="shared" si="1"/>
        <v>46904</v>
      </c>
      <c r="AR8" s="68">
        <f t="shared" si="1"/>
        <v>46934</v>
      </c>
      <c r="AS8" s="68">
        <f t="shared" si="1"/>
        <v>46965</v>
      </c>
      <c r="AT8" s="68">
        <f t="shared" si="1"/>
        <v>46996</v>
      </c>
      <c r="AU8" s="68">
        <f t="shared" si="1"/>
        <v>47026</v>
      </c>
      <c r="AV8" s="68">
        <f t="shared" si="1"/>
        <v>47057</v>
      </c>
      <c r="AW8" s="68">
        <f t="shared" si="1"/>
        <v>47087</v>
      </c>
      <c r="AX8" s="68">
        <f t="shared" si="1"/>
        <v>47118</v>
      </c>
      <c r="AY8" s="68">
        <f t="shared" si="1"/>
        <v>47149</v>
      </c>
      <c r="AZ8" s="68">
        <f t="shared" si="1"/>
        <v>47177</v>
      </c>
      <c r="BA8" s="68">
        <f t="shared" si="1"/>
        <v>47208</v>
      </c>
      <c r="BB8" s="68">
        <f t="shared" si="1"/>
        <v>47238</v>
      </c>
      <c r="BC8" s="68">
        <f t="shared" si="1"/>
        <v>47269</v>
      </c>
      <c r="BD8" s="68">
        <f t="shared" si="1"/>
        <v>47299</v>
      </c>
      <c r="BE8" s="68">
        <f t="shared" si="1"/>
        <v>47330</v>
      </c>
      <c r="BF8" s="68">
        <f t="shared" si="1"/>
        <v>47361</v>
      </c>
      <c r="BG8" s="68">
        <f t="shared" si="1"/>
        <v>47391</v>
      </c>
      <c r="BH8" s="68">
        <f t="shared" si="1"/>
        <v>47422</v>
      </c>
      <c r="BI8" s="68">
        <f t="shared" si="1"/>
        <v>47452</v>
      </c>
      <c r="BJ8" s="68">
        <f t="shared" si="1"/>
        <v>47483</v>
      </c>
    </row>
    <row r="9" spans="1:76" x14ac:dyDescent="0.2">
      <c r="A9" s="33" t="s">
        <v>267</v>
      </c>
      <c r="B9" s="71">
        <f>'Efs OG'!CS84</f>
        <v>0.79734676643686309</v>
      </c>
      <c r="C9" s="71">
        <f>'Efs OG'!CT84</f>
        <v>0.79016043680382875</v>
      </c>
      <c r="D9" s="71">
        <f>'Efs OG'!CU84</f>
        <v>2.0580309926328004</v>
      </c>
      <c r="E9" s="71">
        <f>'Efs OG'!CV84</f>
        <v>2.9822117002719231</v>
      </c>
      <c r="F9" s="71">
        <f>'Efs OG'!CW84</f>
        <v>4.9712842075347581</v>
      </c>
      <c r="G9" s="71">
        <f>'Efs OG'!CX84</f>
        <v>5.5084033278450439</v>
      </c>
      <c r="H9" s="71">
        <f>'Efs OG'!CY84</f>
        <v>5.8675784233999213</v>
      </c>
      <c r="I9" s="71">
        <f>'Efs OG'!CZ84</f>
        <v>5.4374108207687497</v>
      </c>
      <c r="J9" s="71">
        <f>'Efs OG'!DA84</f>
        <v>5.0600933042636322</v>
      </c>
      <c r="K9" s="71">
        <f>'Efs OG'!DB84</f>
        <v>4.6694509257622938</v>
      </c>
      <c r="L9" s="71">
        <f>'Efs OG'!DC84</f>
        <v>4.3191163969752688</v>
      </c>
      <c r="M9" s="71">
        <f>'Efs OG'!DD84</f>
        <v>3.9547158001709573</v>
      </c>
      <c r="N9" s="71">
        <f>'Efs OG'!DE84</f>
        <v>3.6246798620701854</v>
      </c>
      <c r="O9" s="71">
        <f>'Efs OG'!DF84</f>
        <v>3.3252768345170476</v>
      </c>
      <c r="P9" s="71">
        <f>'Efs OG'!DG84</f>
        <v>3.0524607254836438</v>
      </c>
      <c r="Q9" s="71">
        <f>'Efs OG'!DH84</f>
        <v>2.8030714967028576</v>
      </c>
      <c r="R9" s="71">
        <f>'Efs OG'!DI84</f>
        <v>2.5742035768573062</v>
      </c>
      <c r="S9" s="71">
        <f>'Efs OG'!DJ84</f>
        <v>2.3639874502680813</v>
      </c>
      <c r="T9" s="71">
        <f>'Efs OG'!DK84</f>
        <v>2.1703564165082727</v>
      </c>
      <c r="U9" s="71">
        <f>'Efs OG'!DL84</f>
        <v>1.991606018274948</v>
      </c>
      <c r="V9" s="71">
        <f>'Efs OG'!DM84</f>
        <v>1.8261806824528264</v>
      </c>
      <c r="W9" s="71">
        <f>'Efs OG'!DN84</f>
        <v>1.6730627609078066</v>
      </c>
      <c r="X9" s="71">
        <f>'Efs OG'!DO84</f>
        <v>1.5309750541045104</v>
      </c>
      <c r="Y9" s="71">
        <f>'Efs OG'!DP84</f>
        <v>1.3985365032816002</v>
      </c>
      <c r="Z9" s="71">
        <f>'Efs OG'!DQ84</f>
        <v>1.2747948848991026</v>
      </c>
      <c r="AA9" s="71">
        <f>'Efs OG'!DR84</f>
        <v>1.1588762862451041</v>
      </c>
      <c r="AB9" s="71">
        <f>'Efs OG'!DS84</f>
        <v>1.0502147853361488</v>
      </c>
      <c r="AC9" s="71">
        <f>'Efs OG'!DT84</f>
        <v>0.94818672594458397</v>
      </c>
      <c r="AD9" s="71">
        <f>'Efs OG'!DU84</f>
        <v>0.85234427342178343</v>
      </c>
      <c r="AE9" s="71">
        <f>'Efs OG'!DV84</f>
        <v>0.76216706958481817</v>
      </c>
      <c r="AF9" s="71">
        <f>'Efs OG'!DW84</f>
        <v>0.67709590667501041</v>
      </c>
      <c r="AG9" s="71">
        <f>'Efs OG'!DX84</f>
        <v>0.59674305184408782</v>
      </c>
      <c r="AH9" s="71">
        <f>'Efs OG'!DY84</f>
        <v>0.52074529588692975</v>
      </c>
      <c r="AI9" s="71">
        <f>'Efs OG'!DZ84</f>
        <v>0.44875219457183219</v>
      </c>
      <c r="AJ9" s="71">
        <f>'Efs OG'!EA84</f>
        <v>0.38047341818835084</v>
      </c>
      <c r="AK9" s="71">
        <f>'Efs OG'!EB84</f>
        <v>0.31566258019168209</v>
      </c>
      <c r="AL9" s="71">
        <f>'Efs OG'!EC84</f>
        <v>0.25408611637827777</v>
      </c>
      <c r="AM9" s="71">
        <f>'Efs OG'!ED84</f>
        <v>0.19554754003173419</v>
      </c>
      <c r="AN9" s="71">
        <f>'Efs OG'!EE84</f>
        <v>0.13981177642133896</v>
      </c>
      <c r="AO9" s="71">
        <f>'Efs OG'!EF84</f>
        <v>0.11096493444650765</v>
      </c>
      <c r="AP9" s="71">
        <f>'Efs OG'!EG84</f>
        <v>8.353025656674623E-2</v>
      </c>
      <c r="AQ9" s="71">
        <f>'Efs OG'!EH84</f>
        <v>8.0039495588744888E-2</v>
      </c>
      <c r="AR9" s="71">
        <f>'Efs OG'!EI84</f>
        <v>7.6737417511449899E-2</v>
      </c>
      <c r="AS9" s="71">
        <f>'Efs OG'!EJ84</f>
        <v>7.3626308421858466E-2</v>
      </c>
      <c r="AT9" s="71">
        <f>'Efs OG'!EK84</f>
        <v>7.0707209506817109E-2</v>
      </c>
      <c r="AU9" s="71">
        <f>'Efs OG'!EL84</f>
        <v>6.7938782661602942E-2</v>
      </c>
      <c r="AV9" s="71">
        <f>'Efs OG'!EM84</f>
        <v>6.5318122904151343E-2</v>
      </c>
      <c r="AW9" s="71">
        <f>'Efs OG'!EN84</f>
        <v>6.282452366531277E-2</v>
      </c>
      <c r="AX9" s="71">
        <f>'Efs OG'!EO84</f>
        <v>6.0484175951107118E-2</v>
      </c>
      <c r="AY9" s="71">
        <f>'Efs OG'!EP84</f>
        <v>5.8248765963992824E-2</v>
      </c>
      <c r="AZ9" s="71">
        <f>'Efs OG'!EQ84</f>
        <v>5.6140854683198627E-2</v>
      </c>
      <c r="BA9" s="71">
        <f>'Efs OG'!ER84</f>
        <v>5.4112237634610184E-2</v>
      </c>
      <c r="BB9" s="71">
        <f>'Efs OG'!ES84</f>
        <v>5.2154660492119524E-2</v>
      </c>
      <c r="BC9" s="71">
        <f>'Efs OG'!ET84</f>
        <v>5.0247356496700361E-2</v>
      </c>
      <c r="BD9" s="71">
        <f>'Efs OG'!EU84</f>
        <v>4.8408809465520973E-2</v>
      </c>
      <c r="BE9" s="71">
        <f>'Efs OG'!EV84</f>
        <v>4.6493149270198306E-2</v>
      </c>
      <c r="BF9" s="71">
        <f>'Efs OG'!EW84</f>
        <v>4.461642413881986E-2</v>
      </c>
      <c r="BG9" s="71">
        <f>'Efs OG'!EX84</f>
        <v>4.2780045050361988E-2</v>
      </c>
      <c r="BH9" s="71">
        <f>'Efs OG'!EY84</f>
        <v>4.2117685314118858E-2</v>
      </c>
      <c r="BI9" s="71">
        <f>'Efs OG'!EZ84</f>
        <v>4.1466432830127964E-2</v>
      </c>
      <c r="BJ9" s="71">
        <f>'Efs OG'!FA84</f>
        <v>4.0826052649541117E-2</v>
      </c>
    </row>
    <row r="10" spans="1:76" x14ac:dyDescent="0.2">
      <c r="A10" s="33" t="s">
        <v>264</v>
      </c>
      <c r="B10" s="71">
        <f>'Efs Real'!L57</f>
        <v>1.0218305184748138</v>
      </c>
      <c r="C10" s="71">
        <f>'Efs Real'!M57</f>
        <v>1.1200473559589581</v>
      </c>
      <c r="D10" s="71">
        <f>'Efs Real'!N57</f>
        <v>1.5228593568384348</v>
      </c>
      <c r="E10" s="71">
        <f>'Efs Real'!O57</f>
        <v>3.1426380368098159</v>
      </c>
      <c r="F10" s="71">
        <f>'Efs Real'!P57</f>
        <v>3.2542372445522809</v>
      </c>
      <c r="G10" s="71">
        <f>'Efs Real'!Q57</f>
        <v>4.3216202312720382</v>
      </c>
      <c r="H10" s="71">
        <f>'Efs Real'!R57</f>
        <v>4.0454955632425929</v>
      </c>
      <c r="I10" s="71">
        <f>'Efs Real'!S57</f>
        <v>5.2496794929794888</v>
      </c>
      <c r="J10" s="71">
        <f>'Efs Real'!T57</f>
        <v>6.5992078955638034</v>
      </c>
      <c r="K10" s="71">
        <f>'Efs Real'!U57</f>
        <v>7.8936354631005452</v>
      </c>
      <c r="L10" s="71">
        <f>'Efs Real'!V57</f>
        <v>8.9212746135726153</v>
      </c>
      <c r="M10" s="71">
        <f>'Efs Real'!W57</f>
        <v>8.5685906424831444</v>
      </c>
      <c r="N10" s="71">
        <f>'Efs Real'!X57</f>
        <v>9.2171374192619044</v>
      </c>
      <c r="O10" s="71">
        <f>'Efs Real'!Y57</f>
        <v>11.591329068941009</v>
      </c>
      <c r="P10" s="71">
        <f>'Efs Real'!Z57</f>
        <v>14.334916864608076</v>
      </c>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row>
    <row r="11" spans="1:76" x14ac:dyDescent="0.2">
      <c r="A11" s="33" t="s">
        <v>265</v>
      </c>
      <c r="B11" s="72">
        <v>6</v>
      </c>
      <c r="C11" s="72">
        <v>6</v>
      </c>
      <c r="D11" s="72">
        <v>6</v>
      </c>
      <c r="E11" s="72">
        <v>6</v>
      </c>
      <c r="F11" s="72">
        <v>6</v>
      </c>
      <c r="G11" s="72">
        <v>6</v>
      </c>
      <c r="H11" s="72">
        <v>6</v>
      </c>
      <c r="I11" s="72">
        <v>6</v>
      </c>
      <c r="J11" s="72">
        <v>5</v>
      </c>
      <c r="K11" s="72">
        <v>5</v>
      </c>
      <c r="L11" s="72">
        <v>5</v>
      </c>
      <c r="M11" s="72">
        <v>5</v>
      </c>
      <c r="N11" s="72">
        <v>5</v>
      </c>
      <c r="O11" s="72">
        <v>5</v>
      </c>
      <c r="P11" s="72">
        <v>5</v>
      </c>
      <c r="Q11" s="72">
        <v>5</v>
      </c>
      <c r="R11" s="72">
        <v>5</v>
      </c>
      <c r="S11" s="72">
        <v>5</v>
      </c>
      <c r="T11" s="72">
        <v>5</v>
      </c>
      <c r="U11" s="72">
        <v>5</v>
      </c>
      <c r="V11" s="72">
        <v>5</v>
      </c>
      <c r="W11" s="72">
        <v>5</v>
      </c>
      <c r="X11" s="72">
        <v>5</v>
      </c>
      <c r="Y11" s="72">
        <v>5</v>
      </c>
      <c r="Z11" s="72">
        <v>5</v>
      </c>
      <c r="AA11" s="72">
        <v>5</v>
      </c>
      <c r="AB11" s="72">
        <v>5</v>
      </c>
      <c r="AC11" s="72">
        <v>5</v>
      </c>
      <c r="AD11" s="72">
        <v>5</v>
      </c>
      <c r="AE11" s="72">
        <v>5</v>
      </c>
      <c r="AF11" s="72">
        <v>5</v>
      </c>
      <c r="AG11" s="72">
        <v>5</v>
      </c>
      <c r="AH11" s="72">
        <v>5</v>
      </c>
      <c r="AI11" s="72">
        <v>5</v>
      </c>
      <c r="AJ11" s="72">
        <v>5</v>
      </c>
      <c r="AK11" s="72">
        <v>5</v>
      </c>
      <c r="AL11" s="72">
        <v>5</v>
      </c>
      <c r="AM11" s="72">
        <v>5</v>
      </c>
      <c r="AN11" s="72">
        <v>5</v>
      </c>
      <c r="AO11" s="72">
        <v>5</v>
      </c>
      <c r="AP11" s="72">
        <v>5</v>
      </c>
      <c r="AQ11" s="72">
        <v>5</v>
      </c>
      <c r="AR11" s="72">
        <v>5</v>
      </c>
      <c r="AS11" s="72">
        <v>5</v>
      </c>
      <c r="AT11" s="72">
        <v>5</v>
      </c>
      <c r="AU11" s="72">
        <v>5</v>
      </c>
      <c r="AV11" s="72">
        <v>5</v>
      </c>
      <c r="AW11" s="72">
        <v>5</v>
      </c>
      <c r="AX11" s="72">
        <v>5</v>
      </c>
      <c r="AY11" s="72">
        <v>5</v>
      </c>
      <c r="AZ11" s="72">
        <v>5</v>
      </c>
      <c r="BA11" s="72">
        <v>5</v>
      </c>
      <c r="BB11" s="72">
        <v>5</v>
      </c>
      <c r="BC11" s="72">
        <v>5</v>
      </c>
      <c r="BD11" s="72">
        <v>5</v>
      </c>
      <c r="BE11" s="72">
        <v>5</v>
      </c>
      <c r="BF11" s="72">
        <v>5</v>
      </c>
      <c r="BG11" s="72">
        <v>5</v>
      </c>
      <c r="BH11" s="72">
        <v>5</v>
      </c>
      <c r="BI11" s="72">
        <v>5</v>
      </c>
      <c r="BJ11" s="72">
        <v>5</v>
      </c>
    </row>
    <row r="13" spans="1:76" x14ac:dyDescent="0.2">
      <c r="A13" s="33" t="str">
        <f ca="1">IFERROR(__xludf.DUMMYFUNCTION("IMPORTRANGE(""https://docs.google.com/spreadsheets/d/1RNG9c9ku9IgXbqzh4Ng5a6f84xmyVPd-/edit?usp=sharing&amp;ouid=116612639875179195240&amp;rtpof=true&amp;sd=true"",""Efs Real!B1"")"),"#REF!")</f>
        <v>#REF!</v>
      </c>
      <c r="B13" s="33" t="s">
        <v>268</v>
      </c>
    </row>
    <row r="14" spans="1:76" x14ac:dyDescent="0.2">
      <c r="A14" s="33" t="str">
        <f ca="1">IFERROR(__xludf.DUMMYFUNCTION("IMPORTRANGE(""https://docs.google.com/spreadsheets/d/1RNG9c9ku9IgXbqzh4Ng5a6f84xmyVPd-/edit?gid=1965519997#gid=1965519997"",""Efs Real!B:B"")"),"#REF!")</f>
        <v>#REF!</v>
      </c>
      <c r="B14" s="67">
        <v>45657</v>
      </c>
      <c r="C14" s="67">
        <f t="shared" ref="C14:BJ14" si="2">EOMONTH(B14,1)</f>
        <v>45688</v>
      </c>
      <c r="D14" s="68">
        <f t="shared" si="2"/>
        <v>45716</v>
      </c>
      <c r="E14" s="68">
        <f t="shared" si="2"/>
        <v>45747</v>
      </c>
      <c r="F14" s="68">
        <f t="shared" si="2"/>
        <v>45777</v>
      </c>
      <c r="G14" s="68">
        <f t="shared" si="2"/>
        <v>45808</v>
      </c>
      <c r="H14" s="68">
        <f t="shared" si="2"/>
        <v>45838</v>
      </c>
      <c r="I14" s="68">
        <f t="shared" si="2"/>
        <v>45869</v>
      </c>
      <c r="J14" s="68">
        <f t="shared" si="2"/>
        <v>45900</v>
      </c>
      <c r="K14" s="68">
        <f t="shared" si="2"/>
        <v>45930</v>
      </c>
      <c r="L14" s="68">
        <f t="shared" si="2"/>
        <v>45961</v>
      </c>
      <c r="M14" s="68">
        <f t="shared" si="2"/>
        <v>45991</v>
      </c>
      <c r="N14" s="68">
        <f t="shared" si="2"/>
        <v>46022</v>
      </c>
      <c r="O14" s="68">
        <f t="shared" si="2"/>
        <v>46053</v>
      </c>
      <c r="P14" s="68">
        <f t="shared" si="2"/>
        <v>46081</v>
      </c>
      <c r="Q14" s="68">
        <f t="shared" si="2"/>
        <v>46112</v>
      </c>
      <c r="R14" s="68">
        <f t="shared" si="2"/>
        <v>46142</v>
      </c>
      <c r="S14" s="68">
        <f t="shared" si="2"/>
        <v>46173</v>
      </c>
      <c r="T14" s="68">
        <f t="shared" si="2"/>
        <v>46203</v>
      </c>
      <c r="U14" s="68">
        <f t="shared" si="2"/>
        <v>46234</v>
      </c>
      <c r="V14" s="68">
        <f t="shared" si="2"/>
        <v>46265</v>
      </c>
      <c r="W14" s="68">
        <f t="shared" si="2"/>
        <v>46295</v>
      </c>
      <c r="X14" s="68">
        <f t="shared" si="2"/>
        <v>46326</v>
      </c>
      <c r="Y14" s="68">
        <f t="shared" si="2"/>
        <v>46356</v>
      </c>
      <c r="Z14" s="68">
        <f t="shared" si="2"/>
        <v>46387</v>
      </c>
      <c r="AA14" s="68">
        <f t="shared" si="2"/>
        <v>46418</v>
      </c>
      <c r="AB14" s="68">
        <f t="shared" si="2"/>
        <v>46446</v>
      </c>
      <c r="AC14" s="68">
        <f t="shared" si="2"/>
        <v>46477</v>
      </c>
      <c r="AD14" s="68">
        <f t="shared" si="2"/>
        <v>46507</v>
      </c>
      <c r="AE14" s="68">
        <f t="shared" si="2"/>
        <v>46538</v>
      </c>
      <c r="AF14" s="68">
        <f t="shared" si="2"/>
        <v>46568</v>
      </c>
      <c r="AG14" s="68">
        <f t="shared" si="2"/>
        <v>46599</v>
      </c>
      <c r="AH14" s="68">
        <f t="shared" si="2"/>
        <v>46630</v>
      </c>
      <c r="AI14" s="68">
        <f t="shared" si="2"/>
        <v>46660</v>
      </c>
      <c r="AJ14" s="68">
        <f t="shared" si="2"/>
        <v>46691</v>
      </c>
      <c r="AK14" s="68">
        <f t="shared" si="2"/>
        <v>46721</v>
      </c>
      <c r="AL14" s="68">
        <f t="shared" si="2"/>
        <v>46752</v>
      </c>
      <c r="AM14" s="68">
        <f t="shared" si="2"/>
        <v>46783</v>
      </c>
      <c r="AN14" s="68">
        <f t="shared" si="2"/>
        <v>46812</v>
      </c>
      <c r="AO14" s="68">
        <f t="shared" si="2"/>
        <v>46843</v>
      </c>
      <c r="AP14" s="68">
        <f t="shared" si="2"/>
        <v>46873</v>
      </c>
      <c r="AQ14" s="68">
        <f t="shared" si="2"/>
        <v>46904</v>
      </c>
      <c r="AR14" s="68">
        <f t="shared" si="2"/>
        <v>46934</v>
      </c>
      <c r="AS14" s="68">
        <f t="shared" si="2"/>
        <v>46965</v>
      </c>
      <c r="AT14" s="68">
        <f t="shared" si="2"/>
        <v>46996</v>
      </c>
      <c r="AU14" s="68">
        <f t="shared" si="2"/>
        <v>47026</v>
      </c>
      <c r="AV14" s="68">
        <f t="shared" si="2"/>
        <v>47057</v>
      </c>
      <c r="AW14" s="68">
        <f t="shared" si="2"/>
        <v>47087</v>
      </c>
      <c r="AX14" s="68">
        <f t="shared" si="2"/>
        <v>47118</v>
      </c>
      <c r="AY14" s="68">
        <f t="shared" si="2"/>
        <v>47149</v>
      </c>
      <c r="AZ14" s="68">
        <f t="shared" si="2"/>
        <v>47177</v>
      </c>
      <c r="BA14" s="68">
        <f t="shared" si="2"/>
        <v>47208</v>
      </c>
      <c r="BB14" s="68">
        <f t="shared" si="2"/>
        <v>47238</v>
      </c>
      <c r="BC14" s="68">
        <f t="shared" si="2"/>
        <v>47269</v>
      </c>
      <c r="BD14" s="68">
        <f t="shared" si="2"/>
        <v>47299</v>
      </c>
      <c r="BE14" s="68">
        <f t="shared" si="2"/>
        <v>47330</v>
      </c>
      <c r="BF14" s="68">
        <f t="shared" si="2"/>
        <v>47361</v>
      </c>
      <c r="BG14" s="68">
        <f t="shared" si="2"/>
        <v>47391</v>
      </c>
      <c r="BH14" s="68">
        <f t="shared" si="2"/>
        <v>47422</v>
      </c>
      <c r="BI14" s="68">
        <f t="shared" si="2"/>
        <v>47452</v>
      </c>
      <c r="BJ14" s="68">
        <f t="shared" si="2"/>
        <v>47483</v>
      </c>
    </row>
    <row r="15" spans="1:76" x14ac:dyDescent="0.2">
      <c r="A15" s="33" t="s">
        <v>267</v>
      </c>
      <c r="B15" s="66">
        <f>'Efs OG'!CS85</f>
        <v>0.47790809228319298</v>
      </c>
      <c r="C15" s="66">
        <f>'Efs OG'!CT85</f>
        <v>0.47263306770473212</v>
      </c>
      <c r="D15" s="66">
        <f>'Efs OG'!CU85</f>
        <v>0.69852674596891851</v>
      </c>
      <c r="E15" s="66">
        <f>'Efs OG'!CV85</f>
        <v>0.77055709125375305</v>
      </c>
      <c r="F15" s="66">
        <f>'Efs OG'!CW85</f>
        <v>0.85295858114586254</v>
      </c>
      <c r="G15" s="66">
        <f>'Efs OG'!CX85</f>
        <v>0.87179624860311467</v>
      </c>
      <c r="H15" s="66">
        <f>'Efs OG'!CY85</f>
        <v>0.8861586017425771</v>
      </c>
      <c r="I15" s="66">
        <f>'Efs OG'!CZ85</f>
        <v>0.88527086037097458</v>
      </c>
      <c r="J15" s="66">
        <f>'Efs OG'!DA85</f>
        <v>0.88439869619974298</v>
      </c>
      <c r="K15" s="66">
        <f>'Efs OG'!DB85</f>
        <v>0.87335969956438375</v>
      </c>
      <c r="L15" s="66">
        <f>'Efs OG'!DC85</f>
        <v>0.86213249938956105</v>
      </c>
      <c r="M15" s="66">
        <f>'Efs OG'!DD85</f>
        <v>0.84054166376990658</v>
      </c>
      <c r="N15" s="66">
        <f>'Efs OG'!DE85</f>
        <v>0.81859255990533153</v>
      </c>
      <c r="O15" s="66">
        <f>'Efs OG'!DF85</f>
        <v>0.79627540972637434</v>
      </c>
      <c r="P15" s="66">
        <f>'Efs OG'!DG85</f>
        <v>0.77357862583224357</v>
      </c>
      <c r="Q15" s="66">
        <f>'Efs OG'!DH85</f>
        <v>0.75050163113032142</v>
      </c>
      <c r="R15" s="66">
        <f>'Efs OG'!DI85</f>
        <v>0.72703485617598507</v>
      </c>
      <c r="S15" s="66">
        <f>'Efs OG'!DJ85</f>
        <v>0.70317577229869066</v>
      </c>
      <c r="T15" s="66">
        <f>'Efs OG'!DK85</f>
        <v>0.67890616848335383</v>
      </c>
      <c r="U15" s="66">
        <f>'Efs OG'!DL85</f>
        <v>0.65422423357736381</v>
      </c>
      <c r="V15" s="66">
        <f>'Efs OG'!DM85</f>
        <v>0.62912030259129548</v>
      </c>
      <c r="W15" s="66">
        <f>'Efs OG'!DN85</f>
        <v>0.60358731166892232</v>
      </c>
      <c r="X15" s="66">
        <f>'Efs OG'!DO85</f>
        <v>0.57761163238640434</v>
      </c>
      <c r="Y15" s="66">
        <f>'Efs OG'!DP85</f>
        <v>0.5511897971266797</v>
      </c>
      <c r="Z15" s="66">
        <f>'Efs OG'!DQ85</f>
        <v>0.52432013947590783</v>
      </c>
      <c r="AA15" s="66">
        <f>'Efs OG'!DR85</f>
        <v>0.49699607270792212</v>
      </c>
      <c r="AB15" s="66">
        <f>'Efs OG'!DS85</f>
        <v>0.46921218662971775</v>
      </c>
      <c r="AC15" s="66">
        <f>'Efs OG'!DT85</f>
        <v>0.44095603071121109</v>
      </c>
      <c r="AD15" s="66">
        <f>'Efs OG'!DU85</f>
        <v>0.41222062383841834</v>
      </c>
      <c r="AE15" s="66">
        <f>'Efs OG'!DV85</f>
        <v>0.38299441230685244</v>
      </c>
      <c r="AF15" s="66">
        <f>'Efs OG'!DW85</f>
        <v>0.35327019165110102</v>
      </c>
      <c r="AG15" s="66">
        <f>'Efs OG'!DX85</f>
        <v>0.32304255880636584</v>
      </c>
      <c r="AH15" s="66">
        <f>'Efs OG'!DY85</f>
        <v>0.29230174826183897</v>
      </c>
      <c r="AI15" s="66">
        <f>'Efs OG'!DZ85</f>
        <v>0.26103888684445758</v>
      </c>
      <c r="AJ15" s="66">
        <f>'Efs OG'!EA85</f>
        <v>0.22924548043832649</v>
      </c>
      <c r="AK15" s="66">
        <f>'Efs OG'!EB85</f>
        <v>0.19691209489691644</v>
      </c>
      <c r="AL15" s="66">
        <f>'Efs OG'!EC85</f>
        <v>0.16402866226234511</v>
      </c>
      <c r="AM15" s="66">
        <f>'Efs OG'!ED85</f>
        <v>0.1305855778822613</v>
      </c>
      <c r="AN15" s="66">
        <f>'Efs OG'!EE85</f>
        <v>9.6572339171060326E-2</v>
      </c>
      <c r="AO15" s="66">
        <f>'Efs OG'!EF85</f>
        <v>7.921520725949148E-2</v>
      </c>
      <c r="AP15" s="66">
        <f>'Efs OG'!EG85</f>
        <v>6.1572911743200266E-2</v>
      </c>
      <c r="AQ15" s="66">
        <f>'Efs OG'!EH85</f>
        <v>6.0879868667509177E-2</v>
      </c>
      <c r="AR15" s="66">
        <f>'Efs OG'!EI85</f>
        <v>6.0196686704970297E-2</v>
      </c>
      <c r="AS15" s="66">
        <f>'Efs OG'!EJ85</f>
        <v>5.9523299783203677E-2</v>
      </c>
      <c r="AT15" s="66">
        <f>'Efs OG'!EK85</f>
        <v>5.8859089768699184E-2</v>
      </c>
      <c r="AU15" s="66">
        <f>'Efs OG'!EL85</f>
        <v>5.8203668926372805E-2</v>
      </c>
      <c r="AV15" s="66">
        <f>'Efs OG'!EM85</f>
        <v>5.7557498438418397E-2</v>
      </c>
      <c r="AW15" s="66">
        <f>'Efs OG'!EN85</f>
        <v>5.6920266948278793E-2</v>
      </c>
      <c r="AX15" s="66">
        <f>'Efs OG'!EO85</f>
        <v>5.6292026655970093E-2</v>
      </c>
      <c r="AY15" s="66">
        <f>'Efs OG'!EP85</f>
        <v>5.5672289890532557E-2</v>
      </c>
      <c r="AZ15" s="66">
        <f>'Efs OG'!EQ85</f>
        <v>5.5061388454185199E-2</v>
      </c>
      <c r="BA15" s="66">
        <f>'Efs OG'!ER85</f>
        <v>5.4458981590219939E-2</v>
      </c>
      <c r="BB15" s="66">
        <f>'Efs OG'!ES85</f>
        <v>5.3865254379527737E-2</v>
      </c>
      <c r="BC15" s="66">
        <f>'Efs OG'!ET85</f>
        <v>5.3280038185439714E-2</v>
      </c>
      <c r="BD15" s="66">
        <f>'Efs OG'!EU85</f>
        <v>5.2703203092925706E-2</v>
      </c>
      <c r="BE15" s="66">
        <f>'Efs OG'!EV85</f>
        <v>5.2134530477668119E-2</v>
      </c>
      <c r="BF15" s="66">
        <f>'Efs OG'!EW85</f>
        <v>5.1574112419452423E-2</v>
      </c>
      <c r="BG15" s="66">
        <f>'Efs OG'!EX85</f>
        <v>5.1021567510834191E-2</v>
      </c>
      <c r="BH15" s="66">
        <f>'Efs OG'!EY85</f>
        <v>5.0477002099976617E-2</v>
      </c>
      <c r="BI15" s="66">
        <f>'Efs OG'!EZ85</f>
        <v>4.9940374905436347E-2</v>
      </c>
      <c r="BJ15" s="66">
        <f>'Efs OG'!FA85</f>
        <v>4.9411607763013177E-2</v>
      </c>
    </row>
    <row r="16" spans="1:76" x14ac:dyDescent="0.2">
      <c r="A16" s="33" t="s">
        <v>264</v>
      </c>
      <c r="B16" s="66">
        <f>'Efs Real'!L58</f>
        <v>0.54297135243171224</v>
      </c>
      <c r="C16" s="66">
        <f>'Efs Real'!M58</f>
        <v>0.58188453337707069</v>
      </c>
      <c r="D16" s="66">
        <f>'Efs Real'!N58</f>
        <v>0.64550829364427653</v>
      </c>
      <c r="E16" s="66">
        <f>'Efs Real'!O58</f>
        <v>0.79824948705295695</v>
      </c>
      <c r="F16" s="66">
        <f>'Efs Real'!P58</f>
        <v>0.82088827610498893</v>
      </c>
      <c r="G16" s="66">
        <f>'Efs Real'!Q58</f>
        <v>0.91499578292124217</v>
      </c>
      <c r="H16" s="66">
        <f>'Efs Real'!R58</f>
        <v>0.86940431171013932</v>
      </c>
      <c r="I16" s="66">
        <f>'Efs Real'!S58</f>
        <v>0.87028632648649629</v>
      </c>
      <c r="J16" s="66">
        <f>'Efs Real'!T58</f>
        <v>0.88806006625188372</v>
      </c>
      <c r="K16" s="66">
        <f>'Efs Real'!U58</f>
        <v>0.92124163643983292</v>
      </c>
      <c r="L16" s="66">
        <f>'Efs Real'!V58</f>
        <v>0.95092783874715869</v>
      </c>
      <c r="M16" s="66">
        <f>'Efs Real'!W58</f>
        <v>0.94898118537321241</v>
      </c>
      <c r="N16" s="66">
        <f>'Efs Real'!X58</f>
        <v>0.986396139323374</v>
      </c>
      <c r="O16" s="66">
        <f>'Efs Real'!Y58</f>
        <v>1.0295273415923618</v>
      </c>
      <c r="P16" s="66">
        <f>'Efs Real'!Z58</f>
        <v>1.0810480719124544</v>
      </c>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row>
    <row r="17" spans="1:62" x14ac:dyDescent="0.2">
      <c r="A17" s="33" t="s">
        <v>265</v>
      </c>
      <c r="B17" s="66">
        <v>0.9</v>
      </c>
      <c r="C17" s="66">
        <v>0.9</v>
      </c>
      <c r="D17" s="66">
        <v>0.9</v>
      </c>
      <c r="E17" s="66">
        <v>0.9</v>
      </c>
      <c r="F17" s="66">
        <v>0.9</v>
      </c>
      <c r="G17" s="66">
        <v>0.9</v>
      </c>
      <c r="H17" s="66">
        <v>0.9</v>
      </c>
      <c r="I17" s="66">
        <v>0.9</v>
      </c>
      <c r="J17" s="66">
        <v>0.85</v>
      </c>
      <c r="K17" s="66">
        <v>0.85</v>
      </c>
      <c r="L17" s="66">
        <v>0.85</v>
      </c>
      <c r="M17" s="66">
        <v>0.85</v>
      </c>
      <c r="N17" s="66">
        <v>0.85</v>
      </c>
      <c r="O17" s="66">
        <v>0.85</v>
      </c>
      <c r="P17" s="66">
        <v>0.85</v>
      </c>
      <c r="Q17" s="66">
        <v>0.85</v>
      </c>
      <c r="R17" s="66">
        <v>0.85</v>
      </c>
      <c r="S17" s="66">
        <v>0.85</v>
      </c>
      <c r="T17" s="66">
        <v>0.85</v>
      </c>
      <c r="U17" s="66">
        <v>0.85</v>
      </c>
      <c r="V17" s="66">
        <v>0.85</v>
      </c>
      <c r="W17" s="66">
        <v>0.85</v>
      </c>
      <c r="X17" s="66">
        <v>0.85</v>
      </c>
      <c r="Y17" s="66">
        <v>0.85</v>
      </c>
      <c r="Z17" s="66">
        <v>0.85</v>
      </c>
      <c r="AA17" s="66">
        <v>0.85</v>
      </c>
      <c r="AB17" s="66">
        <v>0.85</v>
      </c>
      <c r="AC17" s="66">
        <v>0.85</v>
      </c>
      <c r="AD17" s="66">
        <v>0.85</v>
      </c>
      <c r="AE17" s="66">
        <v>0.85</v>
      </c>
      <c r="AF17" s="66">
        <v>0.85</v>
      </c>
      <c r="AG17" s="66">
        <v>0.85</v>
      </c>
      <c r="AH17" s="66">
        <v>0.85</v>
      </c>
      <c r="AI17" s="66">
        <v>0.85</v>
      </c>
      <c r="AJ17" s="66">
        <v>0.85</v>
      </c>
      <c r="AK17" s="66">
        <v>0.85</v>
      </c>
      <c r="AL17" s="66">
        <v>0.85</v>
      </c>
      <c r="AM17" s="66">
        <v>0.85</v>
      </c>
      <c r="AN17" s="66">
        <v>0.85</v>
      </c>
      <c r="AO17" s="66">
        <v>0.85</v>
      </c>
      <c r="AP17" s="66">
        <v>0.85</v>
      </c>
      <c r="AQ17" s="66">
        <v>0.85</v>
      </c>
      <c r="AR17" s="66">
        <v>0.85</v>
      </c>
      <c r="AS17" s="66">
        <v>0.85</v>
      </c>
      <c r="AT17" s="66">
        <v>0.85</v>
      </c>
      <c r="AU17" s="66">
        <v>0.85</v>
      </c>
      <c r="AV17" s="66">
        <v>0.85</v>
      </c>
      <c r="AW17" s="66">
        <v>0.85</v>
      </c>
      <c r="AX17" s="66">
        <v>0.85</v>
      </c>
      <c r="AY17" s="66">
        <v>0.85</v>
      </c>
      <c r="AZ17" s="66">
        <v>0.85</v>
      </c>
      <c r="BA17" s="66">
        <v>0.85</v>
      </c>
      <c r="BB17" s="66">
        <v>0.85</v>
      </c>
      <c r="BC17" s="66">
        <v>0.85</v>
      </c>
      <c r="BD17" s="66">
        <v>0.85</v>
      </c>
      <c r="BE17" s="66">
        <v>0.85</v>
      </c>
      <c r="BF17" s="66">
        <v>0.85</v>
      </c>
      <c r="BG17" s="66">
        <v>0.85</v>
      </c>
      <c r="BH17" s="66">
        <v>0.85</v>
      </c>
      <c r="BI17" s="66">
        <v>0.85</v>
      </c>
      <c r="BJ17" s="66">
        <v>0.85</v>
      </c>
    </row>
    <row r="19" spans="1:62" x14ac:dyDescent="0.2">
      <c r="B19" s="33" t="s">
        <v>269</v>
      </c>
    </row>
    <row r="20" spans="1:62" x14ac:dyDescent="0.2">
      <c r="B20" s="67">
        <v>45657</v>
      </c>
      <c r="C20" s="67">
        <f t="shared" ref="C20:BJ20" si="3">EOMONTH(B20,1)</f>
        <v>45688</v>
      </c>
      <c r="D20" s="68">
        <f t="shared" si="3"/>
        <v>45716</v>
      </c>
      <c r="E20" s="68">
        <f t="shared" si="3"/>
        <v>45747</v>
      </c>
      <c r="F20" s="68">
        <f t="shared" si="3"/>
        <v>45777</v>
      </c>
      <c r="G20" s="68">
        <f t="shared" si="3"/>
        <v>45808</v>
      </c>
      <c r="H20" s="68">
        <f t="shared" si="3"/>
        <v>45838</v>
      </c>
      <c r="I20" s="68">
        <f t="shared" si="3"/>
        <v>45869</v>
      </c>
      <c r="J20" s="68">
        <f t="shared" si="3"/>
        <v>45900</v>
      </c>
      <c r="K20" s="68">
        <f t="shared" si="3"/>
        <v>45930</v>
      </c>
      <c r="L20" s="68">
        <f t="shared" si="3"/>
        <v>45961</v>
      </c>
      <c r="M20" s="68">
        <f t="shared" si="3"/>
        <v>45991</v>
      </c>
      <c r="N20" s="68">
        <f t="shared" si="3"/>
        <v>46022</v>
      </c>
      <c r="O20" s="68">
        <f t="shared" si="3"/>
        <v>46053</v>
      </c>
      <c r="P20" s="68">
        <f t="shared" si="3"/>
        <v>46081</v>
      </c>
      <c r="Q20" s="68">
        <f t="shared" si="3"/>
        <v>46112</v>
      </c>
      <c r="R20" s="68">
        <f t="shared" si="3"/>
        <v>46142</v>
      </c>
      <c r="S20" s="68">
        <f t="shared" si="3"/>
        <v>46173</v>
      </c>
      <c r="T20" s="68">
        <f t="shared" si="3"/>
        <v>46203</v>
      </c>
      <c r="U20" s="68">
        <f t="shared" si="3"/>
        <v>46234</v>
      </c>
      <c r="V20" s="68">
        <f t="shared" si="3"/>
        <v>46265</v>
      </c>
      <c r="W20" s="68">
        <f t="shared" si="3"/>
        <v>46295</v>
      </c>
      <c r="X20" s="68">
        <f t="shared" si="3"/>
        <v>46326</v>
      </c>
      <c r="Y20" s="68">
        <f t="shared" si="3"/>
        <v>46356</v>
      </c>
      <c r="Z20" s="68">
        <f t="shared" si="3"/>
        <v>46387</v>
      </c>
      <c r="AA20" s="68">
        <f t="shared" si="3"/>
        <v>46418</v>
      </c>
      <c r="AB20" s="68">
        <f t="shared" si="3"/>
        <v>46446</v>
      </c>
      <c r="AC20" s="68">
        <f t="shared" si="3"/>
        <v>46477</v>
      </c>
      <c r="AD20" s="68">
        <f t="shared" si="3"/>
        <v>46507</v>
      </c>
      <c r="AE20" s="68">
        <f t="shared" si="3"/>
        <v>46538</v>
      </c>
      <c r="AF20" s="68">
        <f t="shared" si="3"/>
        <v>46568</v>
      </c>
      <c r="AG20" s="68">
        <f t="shared" si="3"/>
        <v>46599</v>
      </c>
      <c r="AH20" s="68">
        <f t="shared" si="3"/>
        <v>46630</v>
      </c>
      <c r="AI20" s="68">
        <f t="shared" si="3"/>
        <v>46660</v>
      </c>
      <c r="AJ20" s="68">
        <f t="shared" si="3"/>
        <v>46691</v>
      </c>
      <c r="AK20" s="68">
        <f t="shared" si="3"/>
        <v>46721</v>
      </c>
      <c r="AL20" s="68">
        <f t="shared" si="3"/>
        <v>46752</v>
      </c>
      <c r="AM20" s="68">
        <f t="shared" si="3"/>
        <v>46783</v>
      </c>
      <c r="AN20" s="68">
        <f t="shared" si="3"/>
        <v>46812</v>
      </c>
      <c r="AO20" s="68">
        <f t="shared" si="3"/>
        <v>46843</v>
      </c>
      <c r="AP20" s="68">
        <f t="shared" si="3"/>
        <v>46873</v>
      </c>
      <c r="AQ20" s="68">
        <f t="shared" si="3"/>
        <v>46904</v>
      </c>
      <c r="AR20" s="68">
        <f t="shared" si="3"/>
        <v>46934</v>
      </c>
      <c r="AS20" s="68">
        <f t="shared" si="3"/>
        <v>46965</v>
      </c>
      <c r="AT20" s="68">
        <f t="shared" si="3"/>
        <v>46996</v>
      </c>
      <c r="AU20" s="68">
        <f t="shared" si="3"/>
        <v>47026</v>
      </c>
      <c r="AV20" s="68">
        <f t="shared" si="3"/>
        <v>47057</v>
      </c>
      <c r="AW20" s="68">
        <f t="shared" si="3"/>
        <v>47087</v>
      </c>
      <c r="AX20" s="68">
        <f t="shared" si="3"/>
        <v>47118</v>
      </c>
      <c r="AY20" s="68">
        <f t="shared" si="3"/>
        <v>47149</v>
      </c>
      <c r="AZ20" s="68">
        <f t="shared" si="3"/>
        <v>47177</v>
      </c>
      <c r="BA20" s="68">
        <f t="shared" si="3"/>
        <v>47208</v>
      </c>
      <c r="BB20" s="68">
        <f t="shared" si="3"/>
        <v>47238</v>
      </c>
      <c r="BC20" s="68">
        <f t="shared" si="3"/>
        <v>47269</v>
      </c>
      <c r="BD20" s="68">
        <f t="shared" si="3"/>
        <v>47299</v>
      </c>
      <c r="BE20" s="68">
        <f t="shared" si="3"/>
        <v>47330</v>
      </c>
      <c r="BF20" s="68">
        <f t="shared" si="3"/>
        <v>47361</v>
      </c>
      <c r="BG20" s="68">
        <f t="shared" si="3"/>
        <v>47391</v>
      </c>
      <c r="BH20" s="68">
        <f t="shared" si="3"/>
        <v>47422</v>
      </c>
      <c r="BI20" s="68">
        <f t="shared" si="3"/>
        <v>47452</v>
      </c>
      <c r="BJ20" s="68">
        <f t="shared" si="3"/>
        <v>47483</v>
      </c>
    </row>
    <row r="21" spans="1:62" ht="15.75" customHeight="1" x14ac:dyDescent="0.2">
      <c r="A21" s="33" t="s">
        <v>267</v>
      </c>
      <c r="B21" s="66">
        <f>'Efs OG'!CS83</f>
        <v>0.56988345446624</v>
      </c>
      <c r="C21" s="66">
        <f>'Efs OG'!CT83</f>
        <v>0.56780841967473505</v>
      </c>
      <c r="D21" s="66">
        <f>'Efs OG'!CU83</f>
        <v>0.32915346129125533</v>
      </c>
      <c r="E21" s="66">
        <f>'Efs OG'!CV83</f>
        <v>0.25227849635238181</v>
      </c>
      <c r="F21" s="66">
        <f>'Efs OG'!CW83</f>
        <v>0.16890551663957176</v>
      </c>
      <c r="G21" s="66">
        <f>'Efs OG'!CX83</f>
        <v>0.15607544310476767</v>
      </c>
      <c r="H21" s="66">
        <f>'Efs OG'!CY83</f>
        <v>0.14913754128161638</v>
      </c>
      <c r="I21" s="66">
        <f>'Efs OG'!CZ83</f>
        <v>0.16072783314392802</v>
      </c>
      <c r="J21" s="66">
        <f>'Efs OG'!DA83</f>
        <v>0.14943664769952139</v>
      </c>
      <c r="K21" s="66">
        <f>'Efs OG'!DB83</f>
        <v>0.15986989666681281</v>
      </c>
      <c r="L21" s="66">
        <f>'Efs OG'!DC83</f>
        <v>0.17056903161288497</v>
      </c>
      <c r="M21" s="66">
        <f>'Efs OG'!DD83</f>
        <v>0.18157141493102141</v>
      </c>
      <c r="N21" s="66">
        <f>'Efs OG'!DE83</f>
        <v>0.19287845669131665</v>
      </c>
      <c r="O21" s="66">
        <f>'Efs OG'!DF83</f>
        <v>0.20445811073832881</v>
      </c>
      <c r="P21" s="66">
        <f>'Efs OG'!DG83</f>
        <v>0.21632681640016513</v>
      </c>
      <c r="Q21" s="66">
        <f>'Efs OG'!DH83</f>
        <v>0.22848675918895781</v>
      </c>
      <c r="R21" s="66">
        <f>'Efs OG'!DI83</f>
        <v>0.24096025349406291</v>
      </c>
      <c r="S21" s="66">
        <f>'Efs OG'!DJ83</f>
        <v>0.25371166014124358</v>
      </c>
      <c r="T21" s="66">
        <f>'Efs OG'!DK83</f>
        <v>0.26674417046916166</v>
      </c>
      <c r="U21" s="66">
        <f>'Efs OG'!DL83</f>
        <v>0.28005075405005697</v>
      </c>
      <c r="V21" s="66">
        <f>'Efs OG'!DM83</f>
        <v>0.29363327262300348</v>
      </c>
      <c r="W21" s="66">
        <f>'Efs OG'!DN83</f>
        <v>0.30743224477802572</v>
      </c>
      <c r="X21" s="66">
        <f>'Efs OG'!DO83</f>
        <v>0.32144373534943832</v>
      </c>
      <c r="Y21" s="66">
        <f>'Efs OG'!DP83</f>
        <v>0.33572772897561487</v>
      </c>
      <c r="Z21" s="66">
        <f>'Efs OG'!DQ83</f>
        <v>0.35030116723433236</v>
      </c>
      <c r="AA21" s="66">
        <f>'Efs OG'!DR83</f>
        <v>0.36519812566642018</v>
      </c>
      <c r="AB21" s="66">
        <f>'Efs OG'!DS83</f>
        <v>0.38039119328462695</v>
      </c>
      <c r="AC21" s="66">
        <f>'Efs OG'!DT83</f>
        <v>0.39588624219791924</v>
      </c>
      <c r="AD21" s="66">
        <f>'Efs OG'!DU83</f>
        <v>0.41163780116271581</v>
      </c>
      <c r="AE21" s="66">
        <f>'Efs OG'!DV83</f>
        <v>0.42764149396272233</v>
      </c>
      <c r="AF21" s="66">
        <f>'Efs OG'!DW83</f>
        <v>0.44395197166419792</v>
      </c>
      <c r="AG21" s="66">
        <f>'Efs OG'!DX83</f>
        <v>0.46056832936376979</v>
      </c>
      <c r="AH21" s="66">
        <f>'Efs OG'!DY83</f>
        <v>0.47749875835595773</v>
      </c>
      <c r="AI21" s="66">
        <f>'Efs OG'!DZ83</f>
        <v>0.49477882401929735</v>
      </c>
      <c r="AJ21" s="66">
        <f>'Efs OG'!EA83</f>
        <v>0.51243145171209792</v>
      </c>
      <c r="AK21" s="66">
        <f>'Efs OG'!EB83</f>
        <v>0.53046366518235699</v>
      </c>
      <c r="AL21" s="66">
        <f>'Efs OG'!EC83</f>
        <v>0.5488997434894537</v>
      </c>
      <c r="AM21" s="66">
        <f>'Efs OG'!ED83</f>
        <v>0.56773407847359902</v>
      </c>
      <c r="AN21" s="66">
        <f>'Efs OG'!EE83</f>
        <v>0.58716523199770709</v>
      </c>
      <c r="AO21" s="66">
        <f>'Efs OG'!EF83</f>
        <v>0.60676859354245094</v>
      </c>
      <c r="AP21" s="66">
        <f>'Efs OG'!EG83</f>
        <v>0.62646513198081066</v>
      </c>
      <c r="AQ21" s="66">
        <f>'Efs OG'!EH83</f>
        <v>0.64636176773069609</v>
      </c>
      <c r="AR21" s="66">
        <f>'Efs OG'!EI83</f>
        <v>0.66654382312906613</v>
      </c>
      <c r="AS21" s="66">
        <f>'Efs OG'!EJ83</f>
        <v>0.68687147498631351</v>
      </c>
      <c r="AT21" s="66">
        <f>'Efs OG'!EK83</f>
        <v>0.70718704391274945</v>
      </c>
      <c r="AU21" s="66">
        <f>'Efs OG'!EL83</f>
        <v>0.7277575508923837</v>
      </c>
      <c r="AV21" s="66">
        <f>'Efs OG'!EM83</f>
        <v>0.74850448426028982</v>
      </c>
      <c r="AW21" s="66">
        <f>'Efs OG'!EN83</f>
        <v>0.76955521358063972</v>
      </c>
      <c r="AX21" s="66">
        <f>'Efs OG'!EO83</f>
        <v>0.79047020781996291</v>
      </c>
      <c r="AY21" s="66">
        <f>'Efs OG'!EP83</f>
        <v>0.81173890351348732</v>
      </c>
      <c r="AZ21" s="66">
        <f>'Efs OG'!EQ83</f>
        <v>0.83294734005409476</v>
      </c>
      <c r="BA21" s="66">
        <f>'Efs OG'!ER83</f>
        <v>0.85469731678809036</v>
      </c>
      <c r="BB21" s="66">
        <f>'Efs OG'!ES83</f>
        <v>0.87708947846699747</v>
      </c>
      <c r="BC21" s="66">
        <f>'Efs OG'!ET83</f>
        <v>0.90047373025559985</v>
      </c>
      <c r="BD21" s="66">
        <f>'Efs OG'!EU83</f>
        <v>0.92453910996630628</v>
      </c>
      <c r="BE21" s="66">
        <f>'Efs OG'!EV83</f>
        <v>0.95223569675046671</v>
      </c>
      <c r="BF21" s="66">
        <f>'Efs OG'!EW83</f>
        <v>0.98161420262867805</v>
      </c>
      <c r="BG21" s="66">
        <f>'Efs OG'!EX83</f>
        <v>1.0127799422782151</v>
      </c>
      <c r="BH21" s="66">
        <f>'Efs OG'!EY83</f>
        <v>1.0177269176907537</v>
      </c>
      <c r="BI21" s="66">
        <f>'Efs OG'!EZ83</f>
        <v>1.0227213558784158</v>
      </c>
      <c r="BJ21" s="66">
        <f>'Efs OG'!FA83</f>
        <v>1.0277649361982124</v>
      </c>
    </row>
    <row r="22" spans="1:62" ht="15.75" customHeight="1" x14ac:dyDescent="0.2">
      <c r="A22" s="33" t="s">
        <v>264</v>
      </c>
      <c r="B22" s="66">
        <f>'Efs Real'!L60</f>
        <v>0.49460129860655139</v>
      </c>
      <c r="C22" s="66">
        <f>'Efs Real'!M60</f>
        <v>0.47168757678418527</v>
      </c>
      <c r="D22" s="66">
        <f>'Efs Real'!N60</f>
        <v>0.39637564309298934</v>
      </c>
      <c r="E22" s="66">
        <f>'Efs Real'!O60</f>
        <v>0.24139207700851537</v>
      </c>
      <c r="F22" s="66">
        <f>'Efs Real'!P60</f>
        <v>0.23505975905887438</v>
      </c>
      <c r="G22" s="66">
        <f>'Efs Real'!Q60</f>
        <v>0.18791269537033237</v>
      </c>
      <c r="H22" s="66">
        <f>'Efs Real'!R60</f>
        <v>0.19819363300345774</v>
      </c>
      <c r="I22" s="66">
        <f>'Efs Real'!S60</f>
        <v>0.16000820571974916</v>
      </c>
      <c r="J22" s="66">
        <f>'Efs Real'!T60</f>
        <v>0.13159266251733562</v>
      </c>
      <c r="K22" s="66">
        <f>'Efs Real'!U60</f>
        <v>0.11243995823181344</v>
      </c>
      <c r="L22" s="66">
        <f>'Efs Real'!V60</f>
        <v>0.10079350072942934</v>
      </c>
      <c r="M22" s="66">
        <f>'Efs Real'!W60</f>
        <v>0.10450859874390969</v>
      </c>
      <c r="N22" s="66">
        <f>'Efs Real'!X60</f>
        <v>9.7874772449937988E-2</v>
      </c>
      <c r="O22" s="66">
        <f>'Efs Real'!Y60</f>
        <v>7.9418612855429338E-2</v>
      </c>
      <c r="P22" s="66">
        <f>'Efs Real'!Z60</f>
        <v>6.521249331117808E-2</v>
      </c>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row>
    <row r="23" spans="1:62" ht="15.75" customHeight="1" x14ac:dyDescent="0.2">
      <c r="A23" s="33" t="s">
        <v>270</v>
      </c>
      <c r="B23" s="66">
        <v>0.13</v>
      </c>
      <c r="C23" s="66">
        <v>0.13</v>
      </c>
      <c r="D23" s="66">
        <v>0.13</v>
      </c>
      <c r="E23" s="66">
        <v>0.13</v>
      </c>
      <c r="F23" s="66">
        <v>0.13</v>
      </c>
      <c r="G23" s="66">
        <v>0.13</v>
      </c>
      <c r="H23" s="66">
        <v>0.13</v>
      </c>
      <c r="I23" s="66">
        <v>0.13</v>
      </c>
      <c r="J23" s="66">
        <v>0.15</v>
      </c>
      <c r="K23" s="66">
        <v>0.15</v>
      </c>
      <c r="L23" s="66">
        <v>0.15</v>
      </c>
      <c r="M23" s="66">
        <v>0.15</v>
      </c>
      <c r="N23" s="66">
        <v>0.15</v>
      </c>
      <c r="O23" s="66">
        <v>0.15</v>
      </c>
      <c r="P23" s="66">
        <v>0.15</v>
      </c>
      <c r="Q23" s="66">
        <v>0.15</v>
      </c>
      <c r="R23" s="66">
        <v>0.15</v>
      </c>
      <c r="S23" s="66">
        <v>0.15</v>
      </c>
      <c r="T23" s="66">
        <v>0.15</v>
      </c>
      <c r="U23" s="66">
        <v>0.15</v>
      </c>
      <c r="V23" s="66">
        <v>0.15</v>
      </c>
      <c r="W23" s="66">
        <v>0.15</v>
      </c>
      <c r="X23" s="66">
        <v>0.15</v>
      </c>
      <c r="Y23" s="66">
        <v>0.15</v>
      </c>
      <c r="Z23" s="66">
        <v>0.15</v>
      </c>
      <c r="AA23" s="66">
        <v>0.15</v>
      </c>
      <c r="AB23" s="66">
        <v>0.15</v>
      </c>
      <c r="AC23" s="66">
        <v>0.15</v>
      </c>
      <c r="AD23" s="66">
        <v>0.15</v>
      </c>
      <c r="AE23" s="66">
        <v>0.15</v>
      </c>
      <c r="AF23" s="66">
        <v>0.15</v>
      </c>
      <c r="AG23" s="66">
        <v>0.15</v>
      </c>
      <c r="AH23" s="66">
        <v>0.15</v>
      </c>
      <c r="AI23" s="66">
        <v>0.15</v>
      </c>
      <c r="AJ23" s="66">
        <v>0.15</v>
      </c>
      <c r="AK23" s="66">
        <v>0.15</v>
      </c>
      <c r="AL23" s="66">
        <v>0.15</v>
      </c>
      <c r="AM23" s="66">
        <v>0.15</v>
      </c>
      <c r="AN23" s="66">
        <v>0.15</v>
      </c>
      <c r="AO23" s="66">
        <v>0.15</v>
      </c>
      <c r="AP23" s="66">
        <v>0.15</v>
      </c>
      <c r="AQ23" s="66">
        <v>0.15</v>
      </c>
      <c r="AR23" s="66">
        <v>0.15</v>
      </c>
      <c r="AS23" s="66">
        <v>0.15</v>
      </c>
      <c r="AT23" s="66">
        <v>0.15</v>
      </c>
      <c r="AU23" s="66">
        <v>0.15</v>
      </c>
      <c r="AV23" s="66">
        <v>0.15</v>
      </c>
      <c r="AW23" s="66">
        <v>0.15</v>
      </c>
      <c r="AX23" s="66">
        <v>0.15</v>
      </c>
      <c r="AY23" s="66">
        <v>0.15</v>
      </c>
      <c r="AZ23" s="66">
        <v>0.15</v>
      </c>
      <c r="BA23" s="66">
        <v>0.15</v>
      </c>
      <c r="BB23" s="66">
        <v>0.15</v>
      </c>
      <c r="BC23" s="66">
        <v>0.15</v>
      </c>
      <c r="BD23" s="66">
        <v>0.15</v>
      </c>
      <c r="BE23" s="66">
        <v>0.15</v>
      </c>
      <c r="BF23" s="66">
        <v>0.15</v>
      </c>
      <c r="BG23" s="66">
        <v>0.15</v>
      </c>
      <c r="BH23" s="66">
        <v>0.15</v>
      </c>
      <c r="BI23" s="66">
        <v>0.15</v>
      </c>
      <c r="BJ23" s="66">
        <v>0.15</v>
      </c>
    </row>
    <row r="24" spans="1:62" ht="15.75" customHeight="1" x14ac:dyDescent="0.2"/>
    <row r="25" spans="1:62" ht="15.75" customHeight="1" x14ac:dyDescent="0.2">
      <c r="B25" s="33" t="s">
        <v>271</v>
      </c>
    </row>
    <row r="26" spans="1:62" ht="15.75" customHeight="1" x14ac:dyDescent="0.2">
      <c r="B26" s="67">
        <v>45657</v>
      </c>
      <c r="C26" s="67">
        <f t="shared" ref="C26:BJ26" si="4">EOMONTH(B26,1)</f>
        <v>45688</v>
      </c>
      <c r="D26" s="68">
        <f t="shared" si="4"/>
        <v>45716</v>
      </c>
      <c r="E26" s="68">
        <f t="shared" si="4"/>
        <v>45747</v>
      </c>
      <c r="F26" s="68">
        <f t="shared" si="4"/>
        <v>45777</v>
      </c>
      <c r="G26" s="68">
        <f t="shared" si="4"/>
        <v>45808</v>
      </c>
      <c r="H26" s="68">
        <f t="shared" si="4"/>
        <v>45838</v>
      </c>
      <c r="I26" s="68">
        <f t="shared" si="4"/>
        <v>45869</v>
      </c>
      <c r="J26" s="68">
        <f t="shared" si="4"/>
        <v>45900</v>
      </c>
      <c r="K26" s="68">
        <f t="shared" si="4"/>
        <v>45930</v>
      </c>
      <c r="L26" s="68">
        <f t="shared" si="4"/>
        <v>45961</v>
      </c>
      <c r="M26" s="68">
        <f t="shared" si="4"/>
        <v>45991</v>
      </c>
      <c r="N26" s="68">
        <f t="shared" si="4"/>
        <v>46022</v>
      </c>
      <c r="O26" s="68">
        <f t="shared" si="4"/>
        <v>46053</v>
      </c>
      <c r="P26" s="68">
        <f t="shared" si="4"/>
        <v>46081</v>
      </c>
      <c r="Q26" s="68">
        <f t="shared" si="4"/>
        <v>46112</v>
      </c>
      <c r="R26" s="68">
        <f t="shared" si="4"/>
        <v>46142</v>
      </c>
      <c r="S26" s="68">
        <f t="shared" si="4"/>
        <v>46173</v>
      </c>
      <c r="T26" s="68">
        <f t="shared" si="4"/>
        <v>46203</v>
      </c>
      <c r="U26" s="68">
        <f t="shared" si="4"/>
        <v>46234</v>
      </c>
      <c r="V26" s="68">
        <f t="shared" si="4"/>
        <v>46265</v>
      </c>
      <c r="W26" s="68">
        <f t="shared" si="4"/>
        <v>46295</v>
      </c>
      <c r="X26" s="68">
        <f t="shared" si="4"/>
        <v>46326</v>
      </c>
      <c r="Y26" s="68">
        <f t="shared" si="4"/>
        <v>46356</v>
      </c>
      <c r="Z26" s="68">
        <f t="shared" si="4"/>
        <v>46387</v>
      </c>
      <c r="AA26" s="68">
        <f t="shared" si="4"/>
        <v>46418</v>
      </c>
      <c r="AB26" s="68">
        <f t="shared" si="4"/>
        <v>46446</v>
      </c>
      <c r="AC26" s="68">
        <f t="shared" si="4"/>
        <v>46477</v>
      </c>
      <c r="AD26" s="68">
        <f t="shared" si="4"/>
        <v>46507</v>
      </c>
      <c r="AE26" s="68">
        <f t="shared" si="4"/>
        <v>46538</v>
      </c>
      <c r="AF26" s="68">
        <f t="shared" si="4"/>
        <v>46568</v>
      </c>
      <c r="AG26" s="68">
        <f t="shared" si="4"/>
        <v>46599</v>
      </c>
      <c r="AH26" s="68">
        <f t="shared" si="4"/>
        <v>46630</v>
      </c>
      <c r="AI26" s="68">
        <f t="shared" si="4"/>
        <v>46660</v>
      </c>
      <c r="AJ26" s="68">
        <f t="shared" si="4"/>
        <v>46691</v>
      </c>
      <c r="AK26" s="68">
        <f t="shared" si="4"/>
        <v>46721</v>
      </c>
      <c r="AL26" s="68">
        <f t="shared" si="4"/>
        <v>46752</v>
      </c>
      <c r="AM26" s="68">
        <f t="shared" si="4"/>
        <v>46783</v>
      </c>
      <c r="AN26" s="68">
        <f t="shared" si="4"/>
        <v>46812</v>
      </c>
      <c r="AO26" s="68">
        <f t="shared" si="4"/>
        <v>46843</v>
      </c>
      <c r="AP26" s="68">
        <f t="shared" si="4"/>
        <v>46873</v>
      </c>
      <c r="AQ26" s="68">
        <f t="shared" si="4"/>
        <v>46904</v>
      </c>
      <c r="AR26" s="68">
        <f t="shared" si="4"/>
        <v>46934</v>
      </c>
      <c r="AS26" s="68">
        <f t="shared" si="4"/>
        <v>46965</v>
      </c>
      <c r="AT26" s="68">
        <f t="shared" si="4"/>
        <v>46996</v>
      </c>
      <c r="AU26" s="68">
        <f t="shared" si="4"/>
        <v>47026</v>
      </c>
      <c r="AV26" s="68">
        <f t="shared" si="4"/>
        <v>47057</v>
      </c>
      <c r="AW26" s="68">
        <f t="shared" si="4"/>
        <v>47087</v>
      </c>
      <c r="AX26" s="68">
        <f t="shared" si="4"/>
        <v>47118</v>
      </c>
      <c r="AY26" s="68">
        <f t="shared" si="4"/>
        <v>47149</v>
      </c>
      <c r="AZ26" s="68">
        <f t="shared" si="4"/>
        <v>47177</v>
      </c>
      <c r="BA26" s="68">
        <f t="shared" si="4"/>
        <v>47208</v>
      </c>
      <c r="BB26" s="68">
        <f t="shared" si="4"/>
        <v>47238</v>
      </c>
      <c r="BC26" s="68">
        <f t="shared" si="4"/>
        <v>47269</v>
      </c>
      <c r="BD26" s="68">
        <f t="shared" si="4"/>
        <v>47299</v>
      </c>
      <c r="BE26" s="68">
        <f t="shared" si="4"/>
        <v>47330</v>
      </c>
      <c r="BF26" s="68">
        <f t="shared" si="4"/>
        <v>47361</v>
      </c>
      <c r="BG26" s="68">
        <f t="shared" si="4"/>
        <v>47391</v>
      </c>
      <c r="BH26" s="68">
        <f t="shared" si="4"/>
        <v>47422</v>
      </c>
      <c r="BI26" s="68">
        <f t="shared" si="4"/>
        <v>47452</v>
      </c>
      <c r="BJ26" s="68">
        <f t="shared" si="4"/>
        <v>47483</v>
      </c>
    </row>
    <row r="27" spans="1:62" ht="15.75" customHeight="1" x14ac:dyDescent="0.2">
      <c r="A27" s="33" t="s">
        <v>264</v>
      </c>
      <c r="B27" s="66">
        <f>'Efs Real'!L79</f>
        <v>3.4638809034682812E-2</v>
      </c>
      <c r="C27" s="66"/>
      <c r="D27" s="66">
        <f>'Efs Real'!N79</f>
        <v>0.12120760390962242</v>
      </c>
      <c r="E27" s="66">
        <f>'Efs Real'!O79</f>
        <v>0.13826238527454868</v>
      </c>
      <c r="F27" s="66">
        <f>'Efs Real'!P79</f>
        <v>7.8829252215083107E-2</v>
      </c>
      <c r="G27" s="66">
        <f>'Efs Real'!Q79</f>
        <v>4.7487779254992535E-2</v>
      </c>
      <c r="H27" s="66">
        <f>'Efs Real'!R79</f>
        <v>0.10253110184448716</v>
      </c>
      <c r="I27" s="66">
        <f>'Efs Real'!S79</f>
        <v>9.2024709023979162E-2</v>
      </c>
      <c r="J27" s="66">
        <f>'Efs Real'!T79</f>
        <v>5.8130550864626547E-2</v>
      </c>
      <c r="K27" s="66">
        <f>'Efs Real'!U79</f>
        <v>0.14585659698860989</v>
      </c>
      <c r="L27" s="66">
        <f>'Efs Real'!V79</f>
        <v>1.4468532641454559E-2</v>
      </c>
      <c r="M27" s="66">
        <f>'Efs Real'!W79</f>
        <v>9.6290955350501292E-2</v>
      </c>
      <c r="N27" s="66">
        <f>'Efs Real'!X79</f>
        <v>2.0856885823319148E-2</v>
      </c>
      <c r="O27" s="66">
        <f>'Efs Real'!Y79</f>
        <v>2.0628695910212123E-2</v>
      </c>
      <c r="P27" s="66">
        <f>'Efs Real'!Z79</f>
        <v>3.457849062791267E-2</v>
      </c>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row>
    <row r="28" spans="1:62" ht="15.75" customHeight="1" x14ac:dyDescent="0.2">
      <c r="A28" s="33" t="s">
        <v>265</v>
      </c>
      <c r="B28" s="66">
        <v>0.11</v>
      </c>
      <c r="C28" s="66">
        <v>0.11</v>
      </c>
      <c r="D28" s="66">
        <v>0.11</v>
      </c>
      <c r="E28" s="66">
        <v>0.11</v>
      </c>
      <c r="F28" s="66">
        <v>0.11</v>
      </c>
      <c r="G28" s="66">
        <v>0.11</v>
      </c>
      <c r="H28" s="66">
        <v>0.11</v>
      </c>
      <c r="I28" s="66">
        <v>0.11</v>
      </c>
      <c r="J28" s="66">
        <v>0.11</v>
      </c>
      <c r="K28" s="66">
        <v>0.11</v>
      </c>
      <c r="L28" s="66">
        <v>0.11</v>
      </c>
      <c r="M28" s="66">
        <v>0.11</v>
      </c>
      <c r="N28" s="66">
        <v>0.11</v>
      </c>
      <c r="O28" s="66">
        <v>0.11</v>
      </c>
      <c r="P28" s="66">
        <v>0.11</v>
      </c>
      <c r="Q28" s="66">
        <v>0.11</v>
      </c>
      <c r="R28" s="66">
        <v>0.11</v>
      </c>
      <c r="S28" s="66">
        <v>0.11</v>
      </c>
      <c r="T28" s="66">
        <v>0.11</v>
      </c>
      <c r="U28" s="66">
        <v>0.11</v>
      </c>
      <c r="V28" s="66">
        <v>0.11</v>
      </c>
      <c r="W28" s="66">
        <v>0.11</v>
      </c>
      <c r="X28" s="66">
        <v>0.11</v>
      </c>
      <c r="Y28" s="66">
        <v>0.11</v>
      </c>
      <c r="Z28" s="66">
        <v>0.11</v>
      </c>
      <c r="AA28" s="66">
        <v>0.11</v>
      </c>
      <c r="AB28" s="66">
        <v>0.11</v>
      </c>
      <c r="AC28" s="66">
        <v>0.11</v>
      </c>
      <c r="AD28" s="66">
        <v>0.11</v>
      </c>
      <c r="AE28" s="66">
        <v>0.11</v>
      </c>
      <c r="AF28" s="66">
        <v>0.11</v>
      </c>
      <c r="AG28" s="66">
        <v>0.11</v>
      </c>
      <c r="AH28" s="66">
        <v>0.11</v>
      </c>
      <c r="AI28" s="66">
        <v>0.11</v>
      </c>
      <c r="AJ28" s="66">
        <v>0.11</v>
      </c>
      <c r="AK28" s="66">
        <v>0.11</v>
      </c>
      <c r="AL28" s="66">
        <v>0.11</v>
      </c>
      <c r="AM28" s="66">
        <v>0.11</v>
      </c>
      <c r="AN28" s="66">
        <v>0.11</v>
      </c>
      <c r="AO28" s="66">
        <v>0.11</v>
      </c>
      <c r="AP28" s="66">
        <v>0.11</v>
      </c>
      <c r="AQ28" s="66">
        <v>0.11</v>
      </c>
      <c r="AR28" s="66">
        <v>0.11</v>
      </c>
      <c r="AS28" s="66">
        <v>0.11</v>
      </c>
      <c r="AT28" s="66">
        <v>0.11</v>
      </c>
      <c r="AU28" s="66">
        <v>0.11</v>
      </c>
      <c r="AV28" s="66">
        <v>0.11</v>
      </c>
      <c r="AW28" s="66">
        <v>0.11</v>
      </c>
      <c r="AX28" s="66">
        <v>0.11</v>
      </c>
      <c r="AY28" s="66">
        <v>0.11</v>
      </c>
      <c r="AZ28" s="66">
        <v>0.11</v>
      </c>
      <c r="BA28" s="66">
        <v>0.11</v>
      </c>
      <c r="BB28" s="66">
        <v>0.11</v>
      </c>
      <c r="BC28" s="66">
        <v>0.11</v>
      </c>
      <c r="BD28" s="66">
        <v>0.11</v>
      </c>
      <c r="BE28" s="66">
        <v>0.11</v>
      </c>
      <c r="BF28" s="66">
        <v>0.11</v>
      </c>
      <c r="BG28" s="66">
        <v>0.11</v>
      </c>
      <c r="BH28" s="66">
        <v>0.11</v>
      </c>
      <c r="BI28" s="66">
        <v>0.11</v>
      </c>
      <c r="BJ28" s="66">
        <v>0.11</v>
      </c>
    </row>
    <row r="29" spans="1:62" ht="15.75" customHeight="1" x14ac:dyDescent="0.2"/>
    <row r="30" spans="1:62" ht="15.75" customHeight="1" x14ac:dyDescent="0.2">
      <c r="B30" s="33" t="s">
        <v>272</v>
      </c>
    </row>
    <row r="31" spans="1:62" ht="15.75" customHeight="1" x14ac:dyDescent="0.2">
      <c r="B31" s="67">
        <v>45657</v>
      </c>
      <c r="C31" s="67">
        <f t="shared" ref="C31:BJ31" si="5">EOMONTH(B31,1)</f>
        <v>45688</v>
      </c>
      <c r="D31" s="68">
        <f t="shared" si="5"/>
        <v>45716</v>
      </c>
      <c r="E31" s="68">
        <f t="shared" si="5"/>
        <v>45747</v>
      </c>
      <c r="F31" s="68">
        <f t="shared" si="5"/>
        <v>45777</v>
      </c>
      <c r="G31" s="68">
        <f t="shared" si="5"/>
        <v>45808</v>
      </c>
      <c r="H31" s="68">
        <f t="shared" si="5"/>
        <v>45838</v>
      </c>
      <c r="I31" s="68">
        <f t="shared" si="5"/>
        <v>45869</v>
      </c>
      <c r="J31" s="68">
        <f t="shared" si="5"/>
        <v>45900</v>
      </c>
      <c r="K31" s="68">
        <f t="shared" si="5"/>
        <v>45930</v>
      </c>
      <c r="L31" s="68">
        <f t="shared" si="5"/>
        <v>45961</v>
      </c>
      <c r="M31" s="68">
        <f t="shared" si="5"/>
        <v>45991</v>
      </c>
      <c r="N31" s="68">
        <f t="shared" si="5"/>
        <v>46022</v>
      </c>
      <c r="O31" s="68">
        <f t="shared" si="5"/>
        <v>46053</v>
      </c>
      <c r="P31" s="68">
        <f t="shared" si="5"/>
        <v>46081</v>
      </c>
      <c r="Q31" s="68">
        <f t="shared" si="5"/>
        <v>46112</v>
      </c>
      <c r="R31" s="68">
        <f t="shared" si="5"/>
        <v>46142</v>
      </c>
      <c r="S31" s="68">
        <f t="shared" si="5"/>
        <v>46173</v>
      </c>
      <c r="T31" s="68">
        <f t="shared" si="5"/>
        <v>46203</v>
      </c>
      <c r="U31" s="68">
        <f t="shared" si="5"/>
        <v>46234</v>
      </c>
      <c r="V31" s="68">
        <f t="shared" si="5"/>
        <v>46265</v>
      </c>
      <c r="W31" s="68">
        <f t="shared" si="5"/>
        <v>46295</v>
      </c>
      <c r="X31" s="68">
        <f t="shared" si="5"/>
        <v>46326</v>
      </c>
      <c r="Y31" s="68">
        <f t="shared" si="5"/>
        <v>46356</v>
      </c>
      <c r="Z31" s="68">
        <f t="shared" si="5"/>
        <v>46387</v>
      </c>
      <c r="AA31" s="68">
        <f t="shared" si="5"/>
        <v>46418</v>
      </c>
      <c r="AB31" s="68">
        <f t="shared" si="5"/>
        <v>46446</v>
      </c>
      <c r="AC31" s="68">
        <f t="shared" si="5"/>
        <v>46477</v>
      </c>
      <c r="AD31" s="68">
        <f t="shared" si="5"/>
        <v>46507</v>
      </c>
      <c r="AE31" s="68">
        <f t="shared" si="5"/>
        <v>46538</v>
      </c>
      <c r="AF31" s="68">
        <f t="shared" si="5"/>
        <v>46568</v>
      </c>
      <c r="AG31" s="68">
        <f t="shared" si="5"/>
        <v>46599</v>
      </c>
      <c r="AH31" s="68">
        <f t="shared" si="5"/>
        <v>46630</v>
      </c>
      <c r="AI31" s="68">
        <f t="shared" si="5"/>
        <v>46660</v>
      </c>
      <c r="AJ31" s="68">
        <f t="shared" si="5"/>
        <v>46691</v>
      </c>
      <c r="AK31" s="68">
        <f t="shared" si="5"/>
        <v>46721</v>
      </c>
      <c r="AL31" s="68">
        <f t="shared" si="5"/>
        <v>46752</v>
      </c>
      <c r="AM31" s="68">
        <f t="shared" si="5"/>
        <v>46783</v>
      </c>
      <c r="AN31" s="68">
        <f t="shared" si="5"/>
        <v>46812</v>
      </c>
      <c r="AO31" s="68">
        <f t="shared" si="5"/>
        <v>46843</v>
      </c>
      <c r="AP31" s="68">
        <f t="shared" si="5"/>
        <v>46873</v>
      </c>
      <c r="AQ31" s="68">
        <f t="shared" si="5"/>
        <v>46904</v>
      </c>
      <c r="AR31" s="68">
        <f t="shared" si="5"/>
        <v>46934</v>
      </c>
      <c r="AS31" s="68">
        <f t="shared" si="5"/>
        <v>46965</v>
      </c>
      <c r="AT31" s="68">
        <f t="shared" si="5"/>
        <v>46996</v>
      </c>
      <c r="AU31" s="68">
        <f t="shared" si="5"/>
        <v>47026</v>
      </c>
      <c r="AV31" s="68">
        <f t="shared" si="5"/>
        <v>47057</v>
      </c>
      <c r="AW31" s="68">
        <f t="shared" si="5"/>
        <v>47087</v>
      </c>
      <c r="AX31" s="68">
        <f t="shared" si="5"/>
        <v>47118</v>
      </c>
      <c r="AY31" s="68">
        <f t="shared" si="5"/>
        <v>47149</v>
      </c>
      <c r="AZ31" s="68">
        <f t="shared" si="5"/>
        <v>47177</v>
      </c>
      <c r="BA31" s="68">
        <f t="shared" si="5"/>
        <v>47208</v>
      </c>
      <c r="BB31" s="68">
        <f t="shared" si="5"/>
        <v>47238</v>
      </c>
      <c r="BC31" s="68">
        <f t="shared" si="5"/>
        <v>47269</v>
      </c>
      <c r="BD31" s="68">
        <f t="shared" si="5"/>
        <v>47299</v>
      </c>
      <c r="BE31" s="68">
        <f t="shared" si="5"/>
        <v>47330</v>
      </c>
      <c r="BF31" s="68">
        <f t="shared" si="5"/>
        <v>47361</v>
      </c>
      <c r="BG31" s="68">
        <f t="shared" si="5"/>
        <v>47391</v>
      </c>
      <c r="BH31" s="68">
        <f t="shared" si="5"/>
        <v>47422</v>
      </c>
      <c r="BI31" s="68">
        <f t="shared" si="5"/>
        <v>47452</v>
      </c>
      <c r="BJ31" s="68">
        <f t="shared" si="5"/>
        <v>47483</v>
      </c>
    </row>
    <row r="32" spans="1:62" ht="15.75" customHeight="1" x14ac:dyDescent="0.2">
      <c r="A32" s="33" t="s">
        <v>264</v>
      </c>
      <c r="B32" s="70">
        <f>'Efs Real'!L78</f>
        <v>9.3519917890918583E-2</v>
      </c>
      <c r="C32" s="70"/>
      <c r="D32" s="70">
        <f>'Efs Real'!N78</f>
        <v>0.10098073827186362</v>
      </c>
      <c r="E32" s="70">
        <f>'Efs Real'!O78</f>
        <v>0.11312761823496496</v>
      </c>
      <c r="F32" s="70">
        <f>'Efs Real'!P78</f>
        <v>9.8726511858668001E-2</v>
      </c>
      <c r="G32" s="70">
        <f>'Efs Real'!Q78</f>
        <v>0.12932794950532964</v>
      </c>
      <c r="H32" s="70">
        <f>'Efs Real'!R78</f>
        <v>0.13336208824057183</v>
      </c>
      <c r="I32" s="70">
        <f>'Efs Real'!S78</f>
        <v>0.14904246594875406</v>
      </c>
      <c r="J32" s="70">
        <f>'Efs Real'!T78</f>
        <v>0.1585060597862793</v>
      </c>
      <c r="K32" s="70">
        <f>'Efs Real'!U78</f>
        <v>0.17176269678396153</v>
      </c>
      <c r="L32" s="70">
        <f>'Efs Real'!V78</f>
        <v>0.17103016156536499</v>
      </c>
      <c r="M32" s="70">
        <f>'Efs Real'!W78</f>
        <v>0.15794492451057762</v>
      </c>
      <c r="N32" s="70">
        <f>'Efs Real'!X78</f>
        <v>0.16100251003991117</v>
      </c>
      <c r="O32" s="70">
        <f>'Efs Real'!Y78</f>
        <v>0.16608179202463594</v>
      </c>
      <c r="P32" s="70">
        <f>'Efs Real'!Z78</f>
        <v>0.1622464932457145</v>
      </c>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row>
    <row r="33" spans="1:62" ht="15.75" customHeight="1" x14ac:dyDescent="0.2">
      <c r="A33" s="33" t="s">
        <v>265</v>
      </c>
      <c r="B33" s="66">
        <v>0.14000000000000001</v>
      </c>
      <c r="C33" s="66">
        <v>0.14000000000000001</v>
      </c>
      <c r="D33" s="66">
        <v>0.14000000000000001</v>
      </c>
      <c r="E33" s="66">
        <v>0.14000000000000001</v>
      </c>
      <c r="F33" s="66">
        <v>0.14000000000000001</v>
      </c>
      <c r="G33" s="66">
        <v>0.14000000000000001</v>
      </c>
      <c r="H33" s="66">
        <v>0.14000000000000001</v>
      </c>
      <c r="I33" s="66">
        <v>0.14000000000000001</v>
      </c>
      <c r="J33" s="66">
        <v>0.14000000000000001</v>
      </c>
      <c r="K33" s="66">
        <v>0.14000000000000001</v>
      </c>
      <c r="L33" s="66">
        <v>0.14000000000000001</v>
      </c>
      <c r="M33" s="66">
        <v>0.14000000000000001</v>
      </c>
      <c r="N33" s="66">
        <v>0.14000000000000001</v>
      </c>
      <c r="O33" s="66">
        <v>0.14000000000000001</v>
      </c>
      <c r="P33" s="66">
        <v>0.14000000000000001</v>
      </c>
      <c r="Q33" s="66">
        <v>0.14000000000000001</v>
      </c>
      <c r="R33" s="66">
        <v>0.14000000000000001</v>
      </c>
      <c r="S33" s="66">
        <v>0.14000000000000001</v>
      </c>
      <c r="T33" s="66">
        <v>0.14000000000000001</v>
      </c>
      <c r="U33" s="66">
        <v>0.14000000000000001</v>
      </c>
      <c r="V33" s="66">
        <v>0.14000000000000001</v>
      </c>
      <c r="W33" s="66">
        <v>0.14000000000000001</v>
      </c>
      <c r="X33" s="66">
        <v>0.14000000000000001</v>
      </c>
      <c r="Y33" s="66">
        <v>0.14000000000000001</v>
      </c>
      <c r="Z33" s="66">
        <v>0.14000000000000001</v>
      </c>
      <c r="AA33" s="66">
        <v>0.14000000000000001</v>
      </c>
      <c r="AB33" s="66">
        <v>0.14000000000000001</v>
      </c>
      <c r="AC33" s="66">
        <v>0.14000000000000001</v>
      </c>
      <c r="AD33" s="66">
        <v>0.14000000000000001</v>
      </c>
      <c r="AE33" s="66">
        <v>0.14000000000000001</v>
      </c>
      <c r="AF33" s="66">
        <v>0.14000000000000001</v>
      </c>
      <c r="AG33" s="66">
        <v>0.14000000000000001</v>
      </c>
      <c r="AH33" s="66">
        <v>0.14000000000000001</v>
      </c>
      <c r="AI33" s="66">
        <v>0.14000000000000001</v>
      </c>
      <c r="AJ33" s="66">
        <v>0.14000000000000001</v>
      </c>
      <c r="AK33" s="66">
        <v>0.14000000000000001</v>
      </c>
      <c r="AL33" s="66">
        <v>0.14000000000000001</v>
      </c>
      <c r="AM33" s="66">
        <v>0.14000000000000001</v>
      </c>
      <c r="AN33" s="66">
        <v>0.14000000000000001</v>
      </c>
      <c r="AO33" s="66">
        <v>0.14000000000000001</v>
      </c>
      <c r="AP33" s="66">
        <v>0.14000000000000001</v>
      </c>
      <c r="AQ33" s="66">
        <v>0.14000000000000001</v>
      </c>
      <c r="AR33" s="66">
        <v>0.14000000000000001</v>
      </c>
      <c r="AS33" s="66">
        <v>0.14000000000000001</v>
      </c>
      <c r="AT33" s="66">
        <v>0.14000000000000001</v>
      </c>
      <c r="AU33" s="66">
        <v>0.14000000000000001</v>
      </c>
      <c r="AV33" s="66">
        <v>0.14000000000000001</v>
      </c>
      <c r="AW33" s="66">
        <v>0.14000000000000001</v>
      </c>
      <c r="AX33" s="66">
        <v>0.14000000000000001</v>
      </c>
      <c r="AY33" s="66">
        <v>0.14000000000000001</v>
      </c>
      <c r="AZ33" s="66">
        <v>0.14000000000000001</v>
      </c>
      <c r="BA33" s="66">
        <v>0.14000000000000001</v>
      </c>
      <c r="BB33" s="66">
        <v>0.14000000000000001</v>
      </c>
      <c r="BC33" s="66">
        <v>0.14000000000000001</v>
      </c>
      <c r="BD33" s="66">
        <v>0.14000000000000001</v>
      </c>
      <c r="BE33" s="66">
        <v>0.14000000000000001</v>
      </c>
      <c r="BF33" s="66">
        <v>0.14000000000000001</v>
      </c>
      <c r="BG33" s="66">
        <v>0.14000000000000001</v>
      </c>
      <c r="BH33" s="66">
        <v>0.14000000000000001</v>
      </c>
      <c r="BI33" s="66">
        <v>0.14000000000000001</v>
      </c>
      <c r="BJ33" s="66">
        <v>0.14000000000000001</v>
      </c>
    </row>
    <row r="34" spans="1:62" ht="15.75" customHeight="1" x14ac:dyDescent="0.2"/>
    <row r="35" spans="1:62" ht="15.75" customHeight="1" x14ac:dyDescent="0.2">
      <c r="B35" s="33" t="s">
        <v>273</v>
      </c>
    </row>
    <row r="36" spans="1:62" ht="15.75" customHeight="1" x14ac:dyDescent="0.2">
      <c r="B36" s="67">
        <v>45657</v>
      </c>
      <c r="C36" s="67">
        <f t="shared" ref="C36:BJ36" si="6">EOMONTH(B36,1)</f>
        <v>45688</v>
      </c>
      <c r="D36" s="68">
        <f t="shared" si="6"/>
        <v>45716</v>
      </c>
      <c r="E36" s="68">
        <f t="shared" si="6"/>
        <v>45747</v>
      </c>
      <c r="F36" s="68">
        <f t="shared" si="6"/>
        <v>45777</v>
      </c>
      <c r="G36" s="68">
        <f t="shared" si="6"/>
        <v>45808</v>
      </c>
      <c r="H36" s="68">
        <f t="shared" si="6"/>
        <v>45838</v>
      </c>
      <c r="I36" s="68">
        <f t="shared" si="6"/>
        <v>45869</v>
      </c>
      <c r="J36" s="68">
        <f t="shared" si="6"/>
        <v>45900</v>
      </c>
      <c r="K36" s="68">
        <f t="shared" si="6"/>
        <v>45930</v>
      </c>
      <c r="L36" s="68">
        <f t="shared" si="6"/>
        <v>45961</v>
      </c>
      <c r="M36" s="68">
        <f t="shared" si="6"/>
        <v>45991</v>
      </c>
      <c r="N36" s="68">
        <f t="shared" si="6"/>
        <v>46022</v>
      </c>
      <c r="O36" s="68">
        <f t="shared" si="6"/>
        <v>46053</v>
      </c>
      <c r="P36" s="68">
        <f t="shared" si="6"/>
        <v>46081</v>
      </c>
      <c r="Q36" s="68">
        <f t="shared" si="6"/>
        <v>46112</v>
      </c>
      <c r="R36" s="68">
        <f t="shared" si="6"/>
        <v>46142</v>
      </c>
      <c r="S36" s="68">
        <f t="shared" si="6"/>
        <v>46173</v>
      </c>
      <c r="T36" s="68">
        <f t="shared" si="6"/>
        <v>46203</v>
      </c>
      <c r="U36" s="68">
        <f t="shared" si="6"/>
        <v>46234</v>
      </c>
      <c r="V36" s="68">
        <f t="shared" si="6"/>
        <v>46265</v>
      </c>
      <c r="W36" s="68">
        <f t="shared" si="6"/>
        <v>46295</v>
      </c>
      <c r="X36" s="68">
        <f t="shared" si="6"/>
        <v>46326</v>
      </c>
      <c r="Y36" s="68">
        <f t="shared" si="6"/>
        <v>46356</v>
      </c>
      <c r="Z36" s="68">
        <f t="shared" si="6"/>
        <v>46387</v>
      </c>
      <c r="AA36" s="68">
        <f t="shared" si="6"/>
        <v>46418</v>
      </c>
      <c r="AB36" s="68">
        <f t="shared" si="6"/>
        <v>46446</v>
      </c>
      <c r="AC36" s="68">
        <f t="shared" si="6"/>
        <v>46477</v>
      </c>
      <c r="AD36" s="68">
        <f t="shared" si="6"/>
        <v>46507</v>
      </c>
      <c r="AE36" s="68">
        <f t="shared" si="6"/>
        <v>46538</v>
      </c>
      <c r="AF36" s="68">
        <f t="shared" si="6"/>
        <v>46568</v>
      </c>
      <c r="AG36" s="68">
        <f t="shared" si="6"/>
        <v>46599</v>
      </c>
      <c r="AH36" s="68">
        <f t="shared" si="6"/>
        <v>46630</v>
      </c>
      <c r="AI36" s="68">
        <f t="shared" si="6"/>
        <v>46660</v>
      </c>
      <c r="AJ36" s="68">
        <f t="shared" si="6"/>
        <v>46691</v>
      </c>
      <c r="AK36" s="68">
        <f t="shared" si="6"/>
        <v>46721</v>
      </c>
      <c r="AL36" s="68">
        <f t="shared" si="6"/>
        <v>46752</v>
      </c>
      <c r="AM36" s="68">
        <f t="shared" si="6"/>
        <v>46783</v>
      </c>
      <c r="AN36" s="68">
        <f t="shared" si="6"/>
        <v>46812</v>
      </c>
      <c r="AO36" s="68">
        <f t="shared" si="6"/>
        <v>46843</v>
      </c>
      <c r="AP36" s="68">
        <f t="shared" si="6"/>
        <v>46873</v>
      </c>
      <c r="AQ36" s="68">
        <f t="shared" si="6"/>
        <v>46904</v>
      </c>
      <c r="AR36" s="68">
        <f t="shared" si="6"/>
        <v>46934</v>
      </c>
      <c r="AS36" s="68">
        <f t="shared" si="6"/>
        <v>46965</v>
      </c>
      <c r="AT36" s="68">
        <f t="shared" si="6"/>
        <v>46996</v>
      </c>
      <c r="AU36" s="68">
        <f t="shared" si="6"/>
        <v>47026</v>
      </c>
      <c r="AV36" s="68">
        <f t="shared" si="6"/>
        <v>47057</v>
      </c>
      <c r="AW36" s="68">
        <f t="shared" si="6"/>
        <v>47087</v>
      </c>
      <c r="AX36" s="68">
        <f t="shared" si="6"/>
        <v>47118</v>
      </c>
      <c r="AY36" s="68">
        <f t="shared" si="6"/>
        <v>47149</v>
      </c>
      <c r="AZ36" s="68">
        <f t="shared" si="6"/>
        <v>47177</v>
      </c>
      <c r="BA36" s="68">
        <f t="shared" si="6"/>
        <v>47208</v>
      </c>
      <c r="BB36" s="68">
        <f t="shared" si="6"/>
        <v>47238</v>
      </c>
      <c r="BC36" s="68">
        <f t="shared" si="6"/>
        <v>47269</v>
      </c>
      <c r="BD36" s="68">
        <f t="shared" si="6"/>
        <v>47299</v>
      </c>
      <c r="BE36" s="68">
        <f t="shared" si="6"/>
        <v>47330</v>
      </c>
      <c r="BF36" s="68">
        <f t="shared" si="6"/>
        <v>47361</v>
      </c>
      <c r="BG36" s="68">
        <f t="shared" si="6"/>
        <v>47391</v>
      </c>
      <c r="BH36" s="68">
        <f t="shared" si="6"/>
        <v>47422</v>
      </c>
      <c r="BI36" s="68">
        <f t="shared" si="6"/>
        <v>47452</v>
      </c>
      <c r="BJ36" s="68">
        <f t="shared" si="6"/>
        <v>47483</v>
      </c>
    </row>
    <row r="37" spans="1:62" ht="15.75" customHeight="1" x14ac:dyDescent="0.2">
      <c r="A37" s="33" t="s">
        <v>267</v>
      </c>
      <c r="B37" s="66">
        <f>'Efs OG'!CS86</f>
        <v>0.32465717187615928</v>
      </c>
      <c r="C37" s="66">
        <f>'Efs OG'!CT86</f>
        <v>0.29792175457404346</v>
      </c>
      <c r="D37" s="66">
        <f>'Efs OG'!CU86</f>
        <v>0.32148484233342567</v>
      </c>
      <c r="E37" s="66">
        <f>'Efs OG'!CV86</f>
        <v>0.31382425142811055</v>
      </c>
      <c r="F37" s="66">
        <f>'Efs OG'!CW86</f>
        <v>0.30921443830722389</v>
      </c>
      <c r="G37" s="66">
        <f>'Efs OG'!CX86</f>
        <v>0.29454935565056217</v>
      </c>
      <c r="H37" s="66">
        <f>'Efs OG'!CY86</f>
        <v>0.29457406756959487</v>
      </c>
      <c r="I37" s="66">
        <f>'Efs OG'!CZ86</f>
        <v>0.29565668483116175</v>
      </c>
      <c r="J37" s="66">
        <f>'Efs OG'!DA86</f>
        <v>0.29681314417489629</v>
      </c>
      <c r="K37" s="66">
        <f>'Efs OG'!DB86</f>
        <v>0.29719630379005146</v>
      </c>
      <c r="L37" s="66">
        <f>'Efs OG'!DC86</f>
        <v>0.2980467790881976</v>
      </c>
      <c r="M37" s="66">
        <f>'Efs OG'!DD86</f>
        <v>0.29916215010140079</v>
      </c>
      <c r="N37" s="66">
        <f>'Efs OG'!DE86</f>
        <v>0.30024439415750831</v>
      </c>
      <c r="O37" s="66">
        <f>'Efs OG'!DF86</f>
        <v>0.30096549389316452</v>
      </c>
      <c r="P37" s="66">
        <f>'Efs OG'!DG86</f>
        <v>0.30192267239354675</v>
      </c>
      <c r="Q37" s="66">
        <f>'Efs OG'!DH86</f>
        <v>0.302844455968864</v>
      </c>
      <c r="R37" s="66">
        <f>'Efs OG'!DI86</f>
        <v>0.30402835432706132</v>
      </c>
      <c r="S37" s="66">
        <f>'Efs OG'!DJ86</f>
        <v>0.30467917671037947</v>
      </c>
      <c r="T37" s="66">
        <f>'Efs OG'!DK86</f>
        <v>0.3054557846487751</v>
      </c>
      <c r="U37" s="66">
        <f>'Efs OG'!DL86</f>
        <v>0.30606770815029682</v>
      </c>
      <c r="V37" s="66">
        <f>'Efs OG'!DM86</f>
        <v>0.30667640934244456</v>
      </c>
      <c r="W37" s="66">
        <f>'Efs OG'!DN86</f>
        <v>0.30653409805867882</v>
      </c>
      <c r="X37" s="66">
        <f>'Efs OG'!DO86</f>
        <v>0.30639214695005484</v>
      </c>
      <c r="Y37" s="66">
        <f>'Efs OG'!DP86</f>
        <v>0.3069029769636451</v>
      </c>
      <c r="Z37" s="66">
        <f>'Efs OG'!DQ86</f>
        <v>0.30751999275996955</v>
      </c>
      <c r="AA37" s="66">
        <f>'Efs OG'!DR86</f>
        <v>0.30852038809616411</v>
      </c>
      <c r="AB37" s="66">
        <f>'Efs OG'!DS86</f>
        <v>0.30904528667232256</v>
      </c>
      <c r="AC37" s="66">
        <f>'Efs OG'!DT86</f>
        <v>0.30968357395654994</v>
      </c>
      <c r="AD37" s="66">
        <f>'Efs OG'!DU86</f>
        <v>0.30970769900328154</v>
      </c>
      <c r="AE37" s="66">
        <f>'Efs OG'!DV86</f>
        <v>0.30965186921579985</v>
      </c>
      <c r="AF37" s="66">
        <f>'Efs OG'!DW86</f>
        <v>0.31030485365652705</v>
      </c>
      <c r="AG37" s="66">
        <f>'Efs OG'!DX86</f>
        <v>0.31080229916736946</v>
      </c>
      <c r="AH37" s="66">
        <f>'Efs OG'!DY86</f>
        <v>0.31137691774282561</v>
      </c>
      <c r="AI37" s="66">
        <f>'Efs OG'!DZ86</f>
        <v>0.31238532094571547</v>
      </c>
      <c r="AJ37" s="66">
        <f>'Efs OG'!EA86</f>
        <v>0.31361312341948544</v>
      </c>
      <c r="AK37" s="66">
        <f>'Efs OG'!EB86</f>
        <v>0.31485577959945021</v>
      </c>
      <c r="AL37" s="66">
        <f>'Efs OG'!EC86</f>
        <v>0.31642728463130232</v>
      </c>
      <c r="AM37" s="66">
        <f>'Efs OG'!ED86</f>
        <v>0.31785290920534243</v>
      </c>
      <c r="AN37" s="66">
        <f>'Efs OG'!EE86</f>
        <v>0.32002841732196935</v>
      </c>
      <c r="AO37" s="66">
        <f>'Efs OG'!EF86</f>
        <v>0.32177827986099405</v>
      </c>
      <c r="AP37" s="66">
        <f>'Efs OG'!EG86</f>
        <v>0.32251798500325768</v>
      </c>
      <c r="AQ37" s="66">
        <f>'Efs OG'!EH86</f>
        <v>0.32476829451849609</v>
      </c>
      <c r="AR37" s="66">
        <f>'Efs OG'!EI86</f>
        <v>0.32810157857101846</v>
      </c>
      <c r="AS37" s="66">
        <f>'Efs OG'!EJ86</f>
        <v>0.329520711767531</v>
      </c>
      <c r="AT37" s="66">
        <f>'Efs OG'!EK86</f>
        <v>0.32887567763656622</v>
      </c>
      <c r="AU37" s="66">
        <f>'Efs OG'!EL86</f>
        <v>0.33190804071706093</v>
      </c>
      <c r="AV37" s="66">
        <f>'Efs OG'!EM86</f>
        <v>0.33373734918343306</v>
      </c>
      <c r="AW37" s="66">
        <f>'Efs OG'!EN86</f>
        <v>0.33733360307717014</v>
      </c>
      <c r="AX37" s="66">
        <f>'Efs OG'!EO86</f>
        <v>0.33485293606004596</v>
      </c>
      <c r="AY37" s="66">
        <f>'Efs OG'!EP86</f>
        <v>0.33914418569984062</v>
      </c>
      <c r="AZ37" s="66">
        <f>'Efs OG'!EQ86</f>
        <v>0.33764009623929037</v>
      </c>
      <c r="BA37" s="66">
        <f>'Efs OG'!ER86</f>
        <v>0.34442671254760504</v>
      </c>
      <c r="BB37" s="66">
        <f>'Efs OG'!ES86</f>
        <v>0.35251190081538486</v>
      </c>
      <c r="BC37" s="66">
        <f>'Efs OG'!ET86</f>
        <v>0.36539489614191328</v>
      </c>
      <c r="BD37" s="66">
        <f>'Efs OG'!EU86</f>
        <v>0.37399142874292923</v>
      </c>
      <c r="BE37" s="66">
        <f>'Efs OG'!EV86</f>
        <v>0.42303909395735528</v>
      </c>
      <c r="BF37" s="66">
        <f>'Efs OG'!EW86</f>
        <v>0.44525417335481765</v>
      </c>
      <c r="BG37" s="66">
        <f>'Efs OG'!EX86</f>
        <v>0.46890180580125768</v>
      </c>
      <c r="BH37" s="66">
        <f>'Efs OG'!EY86</f>
        <v>0.10914424639618048</v>
      </c>
      <c r="BI37" s="66">
        <f>'Efs OG'!EZ86</f>
        <v>0.10914065592205333</v>
      </c>
      <c r="BJ37" s="66">
        <f>'Efs OG'!FA86</f>
        <v>0.10914312891488455</v>
      </c>
    </row>
    <row r="38" spans="1:62" ht="15.75" customHeight="1" x14ac:dyDescent="0.2">
      <c r="A38" s="33" t="s">
        <v>264</v>
      </c>
      <c r="B38" s="66">
        <f>'Efs Real'!L61</f>
        <v>0.49128634808850791</v>
      </c>
      <c r="C38" s="66"/>
      <c r="D38" s="66">
        <f>'Efs Real'!N61</f>
        <v>0.46343952440106628</v>
      </c>
      <c r="E38" s="66">
        <f>'Efs Real'!O61</f>
        <v>0.40301369049051589</v>
      </c>
      <c r="F38" s="66">
        <f>'Efs Real'!P61</f>
        <v>0.34426086824615243</v>
      </c>
      <c r="G38" s="66">
        <f>'Efs Real'!Q61</f>
        <v>0.33571750720231874</v>
      </c>
      <c r="H38" s="66">
        <f>'Efs Real'!R61</f>
        <v>0.31486238398452482</v>
      </c>
      <c r="I38" s="66">
        <f>'Efs Real'!S61</f>
        <v>0.28804192472788165</v>
      </c>
      <c r="J38" s="66">
        <f>'Efs Real'!T61</f>
        <v>0.25722046370475515</v>
      </c>
      <c r="K38" s="66">
        <f>'Efs Real'!U61</f>
        <v>0.25859564365354504</v>
      </c>
      <c r="L38" s="66">
        <f>'Efs Real'!V61</f>
        <v>0.23798805198548822</v>
      </c>
      <c r="M38" s="66">
        <f>'Efs Real'!W61</f>
        <v>0.20002340945893637</v>
      </c>
      <c r="N38" s="66">
        <f>'Efs Real'!X61</f>
        <v>0.14549507141481727</v>
      </c>
      <c r="O38" s="66">
        <f>'Efs Real'!Y61</f>
        <v>0.15180120921280146</v>
      </c>
      <c r="P38" s="66">
        <f>'Efs Real'!Z61</f>
        <v>0.16607487961781767</v>
      </c>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row>
    <row r="39" spans="1:62" ht="15.75" customHeight="1" x14ac:dyDescent="0.2">
      <c r="A39" s="33" t="s">
        <v>270</v>
      </c>
      <c r="B39" s="66">
        <v>0.28000000000000003</v>
      </c>
      <c r="C39" s="66">
        <v>0.28000000000000003</v>
      </c>
      <c r="D39" s="66">
        <v>0.28000000000000003</v>
      </c>
      <c r="E39" s="66">
        <v>0.28000000000000003</v>
      </c>
      <c r="F39" s="66">
        <v>0.28000000000000003</v>
      </c>
      <c r="G39" s="66">
        <v>0.28000000000000003</v>
      </c>
      <c r="H39" s="66">
        <v>0.28000000000000003</v>
      </c>
      <c r="I39" s="66">
        <v>0.28000000000000003</v>
      </c>
      <c r="J39" s="66">
        <v>0.3</v>
      </c>
      <c r="K39" s="66">
        <v>0.3</v>
      </c>
      <c r="L39" s="66">
        <v>0.3</v>
      </c>
      <c r="M39" s="66">
        <v>0.3</v>
      </c>
      <c r="N39" s="66">
        <v>0.3</v>
      </c>
      <c r="O39" s="66">
        <v>0.3</v>
      </c>
      <c r="P39" s="66">
        <v>0.3</v>
      </c>
      <c r="Q39" s="66">
        <v>0.3</v>
      </c>
      <c r="R39" s="66">
        <v>0.3</v>
      </c>
      <c r="S39" s="66">
        <v>0.3</v>
      </c>
      <c r="T39" s="66">
        <v>0.3</v>
      </c>
      <c r="U39" s="66">
        <v>0.3</v>
      </c>
      <c r="V39" s="66">
        <v>0.3</v>
      </c>
      <c r="W39" s="66">
        <v>0.3</v>
      </c>
      <c r="X39" s="66">
        <v>0.3</v>
      </c>
      <c r="Y39" s="66">
        <v>0.3</v>
      </c>
      <c r="Z39" s="66">
        <v>0.3</v>
      </c>
      <c r="AA39" s="66">
        <v>0.3</v>
      </c>
      <c r="AB39" s="66">
        <v>0.3</v>
      </c>
      <c r="AC39" s="66">
        <v>0.3</v>
      </c>
      <c r="AD39" s="66">
        <v>0.3</v>
      </c>
      <c r="AE39" s="66">
        <v>0.3</v>
      </c>
      <c r="AF39" s="66">
        <v>0.3</v>
      </c>
      <c r="AG39" s="66">
        <v>0.3</v>
      </c>
      <c r="AH39" s="66">
        <v>0.3</v>
      </c>
      <c r="AI39" s="66">
        <v>0.3</v>
      </c>
      <c r="AJ39" s="66">
        <v>0.3</v>
      </c>
      <c r="AK39" s="66">
        <v>0.3</v>
      </c>
      <c r="AL39" s="66">
        <v>0.3</v>
      </c>
      <c r="AM39" s="66">
        <v>0.3</v>
      </c>
      <c r="AN39" s="66">
        <v>0.3</v>
      </c>
      <c r="AO39" s="66">
        <v>0.3</v>
      </c>
      <c r="AP39" s="66">
        <v>0.3</v>
      </c>
      <c r="AQ39" s="66">
        <v>0.3</v>
      </c>
      <c r="AR39" s="66">
        <v>0.3</v>
      </c>
      <c r="AS39" s="66">
        <v>0.3</v>
      </c>
      <c r="AT39" s="66">
        <v>0.3</v>
      </c>
      <c r="AU39" s="66">
        <v>0.3</v>
      </c>
      <c r="AV39" s="66">
        <v>0.3</v>
      </c>
      <c r="AW39" s="66">
        <v>0.3</v>
      </c>
      <c r="AX39" s="66">
        <v>0.3</v>
      </c>
      <c r="AY39" s="66">
        <v>0.3</v>
      </c>
      <c r="AZ39" s="66">
        <v>0.3</v>
      </c>
      <c r="BA39" s="66">
        <v>0.3</v>
      </c>
      <c r="BB39" s="66">
        <v>0.3</v>
      </c>
      <c r="BC39" s="66">
        <v>0.3</v>
      </c>
      <c r="BD39" s="66">
        <v>0.3</v>
      </c>
      <c r="BE39" s="66">
        <v>0.3</v>
      </c>
      <c r="BF39" s="66">
        <v>0.3</v>
      </c>
      <c r="BG39" s="66">
        <v>0.3</v>
      </c>
      <c r="BH39" s="66">
        <v>0.3</v>
      </c>
      <c r="BI39" s="66">
        <v>0.3</v>
      </c>
      <c r="BJ39" s="66">
        <v>0.3</v>
      </c>
    </row>
    <row r="40" spans="1:62" ht="15.75" customHeight="1" x14ac:dyDescent="0.2"/>
    <row r="41" spans="1:62" ht="15.75" customHeight="1" x14ac:dyDescent="0.2">
      <c r="B41" s="33" t="s">
        <v>274</v>
      </c>
    </row>
    <row r="42" spans="1:62" ht="15.75" customHeight="1" x14ac:dyDescent="0.2">
      <c r="B42" s="67">
        <v>45657</v>
      </c>
      <c r="C42" s="67">
        <f t="shared" ref="C42:BJ42" si="7">EOMONTH(B42,1)</f>
        <v>45688</v>
      </c>
      <c r="D42" s="68">
        <f t="shared" si="7"/>
        <v>45716</v>
      </c>
      <c r="E42" s="68">
        <f t="shared" si="7"/>
        <v>45747</v>
      </c>
      <c r="F42" s="68">
        <f t="shared" si="7"/>
        <v>45777</v>
      </c>
      <c r="G42" s="68">
        <f t="shared" si="7"/>
        <v>45808</v>
      </c>
      <c r="H42" s="68">
        <f t="shared" si="7"/>
        <v>45838</v>
      </c>
      <c r="I42" s="68">
        <f t="shared" si="7"/>
        <v>45869</v>
      </c>
      <c r="J42" s="68">
        <f t="shared" si="7"/>
        <v>45900</v>
      </c>
      <c r="K42" s="68">
        <f t="shared" si="7"/>
        <v>45930</v>
      </c>
      <c r="L42" s="68">
        <f t="shared" si="7"/>
        <v>45961</v>
      </c>
      <c r="M42" s="68">
        <f t="shared" si="7"/>
        <v>45991</v>
      </c>
      <c r="N42" s="68">
        <f t="shared" si="7"/>
        <v>46022</v>
      </c>
      <c r="O42" s="68">
        <f t="shared" si="7"/>
        <v>46053</v>
      </c>
      <c r="P42" s="68">
        <f t="shared" si="7"/>
        <v>46081</v>
      </c>
      <c r="Q42" s="68">
        <f t="shared" si="7"/>
        <v>46112</v>
      </c>
      <c r="R42" s="68">
        <f t="shared" si="7"/>
        <v>46142</v>
      </c>
      <c r="S42" s="68">
        <f t="shared" si="7"/>
        <v>46173</v>
      </c>
      <c r="T42" s="68">
        <f t="shared" si="7"/>
        <v>46203</v>
      </c>
      <c r="U42" s="68">
        <f t="shared" si="7"/>
        <v>46234</v>
      </c>
      <c r="V42" s="68">
        <f t="shared" si="7"/>
        <v>46265</v>
      </c>
      <c r="W42" s="68">
        <f t="shared" si="7"/>
        <v>46295</v>
      </c>
      <c r="X42" s="68">
        <f t="shared" si="7"/>
        <v>46326</v>
      </c>
      <c r="Y42" s="68">
        <f t="shared" si="7"/>
        <v>46356</v>
      </c>
      <c r="Z42" s="68">
        <f t="shared" si="7"/>
        <v>46387</v>
      </c>
      <c r="AA42" s="68">
        <f t="shared" si="7"/>
        <v>46418</v>
      </c>
      <c r="AB42" s="68">
        <f t="shared" si="7"/>
        <v>46446</v>
      </c>
      <c r="AC42" s="68">
        <f t="shared" si="7"/>
        <v>46477</v>
      </c>
      <c r="AD42" s="68">
        <f t="shared" si="7"/>
        <v>46507</v>
      </c>
      <c r="AE42" s="68">
        <f t="shared" si="7"/>
        <v>46538</v>
      </c>
      <c r="AF42" s="68">
        <f t="shared" si="7"/>
        <v>46568</v>
      </c>
      <c r="AG42" s="68">
        <f t="shared" si="7"/>
        <v>46599</v>
      </c>
      <c r="AH42" s="68">
        <f t="shared" si="7"/>
        <v>46630</v>
      </c>
      <c r="AI42" s="68">
        <f t="shared" si="7"/>
        <v>46660</v>
      </c>
      <c r="AJ42" s="68">
        <f t="shared" si="7"/>
        <v>46691</v>
      </c>
      <c r="AK42" s="68">
        <f t="shared" si="7"/>
        <v>46721</v>
      </c>
      <c r="AL42" s="68">
        <f t="shared" si="7"/>
        <v>46752</v>
      </c>
      <c r="AM42" s="68">
        <f t="shared" si="7"/>
        <v>46783</v>
      </c>
      <c r="AN42" s="68">
        <f t="shared" si="7"/>
        <v>46812</v>
      </c>
      <c r="AO42" s="68">
        <f t="shared" si="7"/>
        <v>46843</v>
      </c>
      <c r="AP42" s="68">
        <f t="shared" si="7"/>
        <v>46873</v>
      </c>
      <c r="AQ42" s="68">
        <f t="shared" si="7"/>
        <v>46904</v>
      </c>
      <c r="AR42" s="68">
        <f t="shared" si="7"/>
        <v>46934</v>
      </c>
      <c r="AS42" s="68">
        <f t="shared" si="7"/>
        <v>46965</v>
      </c>
      <c r="AT42" s="68">
        <f t="shared" si="7"/>
        <v>46996</v>
      </c>
      <c r="AU42" s="68">
        <f t="shared" si="7"/>
        <v>47026</v>
      </c>
      <c r="AV42" s="68">
        <f t="shared" si="7"/>
        <v>47057</v>
      </c>
      <c r="AW42" s="68">
        <f t="shared" si="7"/>
        <v>47087</v>
      </c>
      <c r="AX42" s="68">
        <f t="shared" si="7"/>
        <v>47118</v>
      </c>
      <c r="AY42" s="68">
        <f t="shared" si="7"/>
        <v>47149</v>
      </c>
      <c r="AZ42" s="68">
        <f t="shared" si="7"/>
        <v>47177</v>
      </c>
      <c r="BA42" s="68">
        <f t="shared" si="7"/>
        <v>47208</v>
      </c>
      <c r="BB42" s="68">
        <f t="shared" si="7"/>
        <v>47238</v>
      </c>
      <c r="BC42" s="68">
        <f t="shared" si="7"/>
        <v>47269</v>
      </c>
      <c r="BD42" s="68">
        <f t="shared" si="7"/>
        <v>47299</v>
      </c>
      <c r="BE42" s="68">
        <f t="shared" si="7"/>
        <v>47330</v>
      </c>
      <c r="BF42" s="68">
        <f t="shared" si="7"/>
        <v>47361</v>
      </c>
      <c r="BG42" s="68">
        <f t="shared" si="7"/>
        <v>47391</v>
      </c>
      <c r="BH42" s="68">
        <f t="shared" si="7"/>
        <v>47422</v>
      </c>
      <c r="BI42" s="68">
        <f t="shared" si="7"/>
        <v>47452</v>
      </c>
      <c r="BJ42" s="68">
        <f t="shared" si="7"/>
        <v>47483</v>
      </c>
    </row>
    <row r="43" spans="1:62" ht="15.75" customHeight="1" x14ac:dyDescent="0.2">
      <c r="A43" s="33" t="s">
        <v>267</v>
      </c>
      <c r="B43" s="66">
        <f>'Efs OG'!CS87</f>
        <v>2.2206958129159939E-2</v>
      </c>
      <c r="C43" s="66">
        <f>'Efs OG'!CT87</f>
        <v>-4.4084216790190364E-3</v>
      </c>
      <c r="D43" s="66">
        <f>'Efs OG'!CU87</f>
        <v>9.5752086077337977E-4</v>
      </c>
      <c r="E43" s="66">
        <f>'Efs OG'!CV87</f>
        <v>8.1371964378727773E-3</v>
      </c>
      <c r="F43" s="66">
        <f>'Efs OG'!CW87</f>
        <v>3.6637043203940199E-2</v>
      </c>
      <c r="G43" s="66">
        <f>'Efs OG'!CX87</f>
        <v>5.3373451742625477E-2</v>
      </c>
      <c r="H43" s="66">
        <f>'Efs OG'!CY87</f>
        <v>6.6907040114405791E-2</v>
      </c>
      <c r="I43" s="66">
        <f>'Efs OG'!CZ87</f>
        <v>6.7598391287342949E-2</v>
      </c>
      <c r="J43" s="66">
        <f>'Efs OG'!DA87</f>
        <v>6.8305288917908602E-2</v>
      </c>
      <c r="K43" s="66">
        <f>'Efs OG'!DB87</f>
        <v>6.9606850366486978E-2</v>
      </c>
      <c r="L43" s="66">
        <f>'Efs OG'!DC87</f>
        <v>7.1056897963016105E-2</v>
      </c>
      <c r="M43" s="66">
        <f>'Efs OG'!DD87</f>
        <v>7.2738270901232041E-2</v>
      </c>
      <c r="N43" s="66">
        <f>'Efs OG'!DE87</f>
        <v>7.4411113271703438E-2</v>
      </c>
      <c r="O43" s="66">
        <f>'Efs OG'!DF87</f>
        <v>7.5856056783739759E-2</v>
      </c>
      <c r="P43" s="66">
        <f>'Efs OG'!DG87</f>
        <v>7.7391979293029101E-2</v>
      </c>
      <c r="Q43" s="66">
        <f>'Efs OG'!DH87</f>
        <v>7.8925202060188618E-2</v>
      </c>
      <c r="R43" s="66">
        <f>'Efs OG'!DI87</f>
        <v>8.0585497399746825E-2</v>
      </c>
      <c r="S43" s="66">
        <f>'Efs OG'!DJ87</f>
        <v>8.199846917640545E-2</v>
      </c>
      <c r="T43" s="66">
        <f>'Efs OG'!DK87</f>
        <v>8.3415324042080255E-2</v>
      </c>
      <c r="U43" s="66">
        <f>'Efs OG'!DL87</f>
        <v>8.477096967511405E-2</v>
      </c>
      <c r="V43" s="66">
        <f>'Efs OG'!DM87</f>
        <v>8.6122313936865619E-2</v>
      </c>
      <c r="W43" s="66">
        <f>'Efs OG'!DN87</f>
        <v>8.7082106552471755E-2</v>
      </c>
      <c r="X43" s="66">
        <f>'Efs OG'!DO87</f>
        <v>8.8004160572091844E-2</v>
      </c>
      <c r="Y43" s="66">
        <f>'Efs OG'!DP87</f>
        <v>8.9288627114444463E-2</v>
      </c>
      <c r="Z43" s="66">
        <f>'Efs OG'!DQ87</f>
        <v>9.0662786458737502E-2</v>
      </c>
      <c r="AA43" s="66">
        <f>'Efs OG'!DR87</f>
        <v>9.223135059804187E-2</v>
      </c>
      <c r="AB43" s="66">
        <f>'Efs OG'!DS87</f>
        <v>9.3612715439175181E-2</v>
      </c>
      <c r="AC43" s="66">
        <f>'Efs OG'!DT87</f>
        <v>9.5013126806102743E-2</v>
      </c>
      <c r="AD43" s="66">
        <f>'Efs OG'!DU87</f>
        <v>9.6118924701939862E-2</v>
      </c>
      <c r="AE43" s="66">
        <f>'Efs OG'!DV87</f>
        <v>9.7183423125755425E-2</v>
      </c>
      <c r="AF43" s="66">
        <f>'Efs OG'!DW87</f>
        <v>9.856383953997222E-2</v>
      </c>
      <c r="AG43" s="66">
        <f>'Efs OG'!DX87</f>
        <v>9.992166176096641E-2</v>
      </c>
      <c r="AH43" s="66">
        <f>'Efs OG'!DY87</f>
        <v>0.10131136555213215</v>
      </c>
      <c r="AI43" s="66">
        <f>'Efs OG'!DZ87</f>
        <v>0.10289531304024035</v>
      </c>
      <c r="AJ43" s="66">
        <f>'Efs OG'!EA87</f>
        <v>0.104595674529849</v>
      </c>
      <c r="AK43" s="66">
        <f>'Efs OG'!EB87</f>
        <v>0.10631679706643837</v>
      </c>
      <c r="AL43" s="66">
        <f>'Efs OG'!EC87</f>
        <v>0.10815931911290316</v>
      </c>
      <c r="AM43" s="66">
        <f>'Efs OG'!ED87</f>
        <v>0.10994682175217184</v>
      </c>
      <c r="AN43" s="66">
        <f>'Efs OG'!EE87</f>
        <v>0.11286566956117589</v>
      </c>
      <c r="AO43" s="66">
        <f>'Efs OG'!EF87</f>
        <v>0.11329723334318548</v>
      </c>
      <c r="AP43" s="66">
        <f>'Efs OG'!EG87</f>
        <v>0.11326556681683522</v>
      </c>
      <c r="AQ43" s="66">
        <f>'Efs OG'!EH87</f>
        <v>0.11384122437148142</v>
      </c>
      <c r="AR43" s="66">
        <f>'Efs OG'!EI87</f>
        <v>0.11489233651986605</v>
      </c>
      <c r="AS43" s="66">
        <f>'Efs OG'!EJ87</f>
        <v>0.11513642084369037</v>
      </c>
      <c r="AT43" s="66">
        <f>'Efs OG'!EK87</f>
        <v>0.11448459176917469</v>
      </c>
      <c r="AU43" s="66">
        <f>'Efs OG'!EL87</f>
        <v>0.11533139356544408</v>
      </c>
      <c r="AV43" s="66">
        <f>'Efs OG'!EM87</f>
        <v>0.11572699190875035</v>
      </c>
      <c r="AW43" s="66">
        <f>'Efs OG'!EN87</f>
        <v>0.1168205658821436</v>
      </c>
      <c r="AX43" s="66">
        <f>'Efs OG'!EO87</f>
        <v>0.11547157065769578</v>
      </c>
      <c r="AY43" s="66">
        <f>'Efs OG'!EP87</f>
        <v>0.11681968664689613</v>
      </c>
      <c r="AZ43" s="66">
        <f>'Efs OG'!EQ87</f>
        <v>0.11588728266248821</v>
      </c>
      <c r="BA43" s="66">
        <f>'Efs OG'!ER87</f>
        <v>0.11823098913231959</v>
      </c>
      <c r="BB43" s="66">
        <f>'Efs OG'!ES87</f>
        <v>0.12109002494722984</v>
      </c>
      <c r="BC43" s="66">
        <f>'Efs OG'!ET87</f>
        <v>0.12579690397025634</v>
      </c>
      <c r="BD43" s="66">
        <f>'Efs OG'!EU87</f>
        <v>0.12878569371939824</v>
      </c>
      <c r="BE43" s="66">
        <f>'Efs OG'!EV87</f>
        <v>0.14744281006758733</v>
      </c>
      <c r="BF43" s="66">
        <f>'Efs OG'!EW87</f>
        <v>0.15557657045343021</v>
      </c>
      <c r="BG43" s="66">
        <f>'Efs OG'!EX87</f>
        <v>0.16417346071473932</v>
      </c>
      <c r="BH43" s="66">
        <f>'Efs OG'!EY87</f>
        <v>2.5922142753925265E-2</v>
      </c>
      <c r="BI43" s="66">
        <f>'Efs OG'!EZ87</f>
        <v>2.6032644224546396E-2</v>
      </c>
      <c r="BJ43" s="66">
        <f>'Efs OG'!FA87</f>
        <v>2.6149661880161143E-2</v>
      </c>
    </row>
    <row r="44" spans="1:62" ht="15.75" customHeight="1" x14ac:dyDescent="0.2">
      <c r="A44" s="33" t="s">
        <v>264</v>
      </c>
      <c r="B44" s="66">
        <f>'Efs Real'!L62</f>
        <v>-0.25730636659627659</v>
      </c>
      <c r="C44" s="66"/>
      <c r="D44" s="73">
        <f>'Efs Real'!N62</f>
        <v>-0.25698135975207564</v>
      </c>
      <c r="E44" s="73">
        <f>'Efs Real'!O62</f>
        <v>-0.23983150715470222</v>
      </c>
      <c r="F44" s="73">
        <f>'Efs Real'!P62</f>
        <v>-0.19809746612342946</v>
      </c>
      <c r="G44" s="73">
        <f>'Efs Real'!Q62</f>
        <v>-0.19683796398965217</v>
      </c>
      <c r="H44" s="73">
        <f>'Efs Real'!R62</f>
        <v>-0.17527368055047823</v>
      </c>
      <c r="I44" s="73">
        <f>'Efs Real'!S62</f>
        <v>-0.14711211175125161</v>
      </c>
      <c r="J44" s="73">
        <f>'Efs Real'!T62</f>
        <v>-0.11570118757357634</v>
      </c>
      <c r="K44" s="73">
        <f>'Efs Real'!U62</f>
        <v>-0.10873787743846482</v>
      </c>
      <c r="L44" s="73">
        <f>'Efs Real'!V62</f>
        <v>-8.9273370156370255E-2</v>
      </c>
      <c r="M44" s="73">
        <f>'Efs Real'!W62</f>
        <v>-7.4440321589532205E-2</v>
      </c>
      <c r="N44" s="73">
        <f>'Efs Real'!X62</f>
        <v>-4.6250918463917844E-2</v>
      </c>
      <c r="O44" s="73" t="str">
        <f>'Efs Real'!Y62</f>
        <v>&gt;</v>
      </c>
      <c r="P44" s="73">
        <f>'Efs Real'!Z62</f>
        <v>-1.3552793916744382E-2</v>
      </c>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row>
    <row r="45" spans="1:62" ht="15.75" customHeight="1" x14ac:dyDescent="0.2">
      <c r="A45" s="33" t="s">
        <v>270</v>
      </c>
      <c r="B45" s="66">
        <v>-0.02</v>
      </c>
      <c r="C45" s="66">
        <v>-0.02</v>
      </c>
      <c r="D45" s="66">
        <v>-0.02</v>
      </c>
      <c r="E45" s="66">
        <v>-0.02</v>
      </c>
      <c r="F45" s="66">
        <v>-0.02</v>
      </c>
      <c r="G45" s="66">
        <v>-0.02</v>
      </c>
      <c r="H45" s="66">
        <v>-0.02</v>
      </c>
      <c r="I45" s="66">
        <v>-0.02</v>
      </c>
      <c r="J45" s="66">
        <v>0</v>
      </c>
      <c r="K45" s="66">
        <v>0</v>
      </c>
      <c r="L45" s="66">
        <v>0</v>
      </c>
      <c r="M45" s="66">
        <v>0</v>
      </c>
      <c r="N45" s="66">
        <v>0</v>
      </c>
      <c r="O45" s="66">
        <v>0</v>
      </c>
      <c r="P45" s="66">
        <v>0</v>
      </c>
      <c r="Q45" s="66">
        <v>0</v>
      </c>
      <c r="R45" s="66">
        <v>0</v>
      </c>
      <c r="S45" s="66">
        <v>0</v>
      </c>
      <c r="T45" s="66">
        <v>0</v>
      </c>
      <c r="U45" s="66">
        <v>0</v>
      </c>
      <c r="V45" s="66">
        <v>0</v>
      </c>
      <c r="W45" s="66">
        <v>0</v>
      </c>
      <c r="X45" s="66">
        <v>0</v>
      </c>
      <c r="Y45" s="66">
        <v>0</v>
      </c>
      <c r="Z45" s="66">
        <v>0</v>
      </c>
      <c r="AA45" s="66">
        <v>0</v>
      </c>
      <c r="AB45" s="66">
        <v>0</v>
      </c>
      <c r="AC45" s="66">
        <v>0</v>
      </c>
      <c r="AD45" s="66">
        <v>0</v>
      </c>
      <c r="AE45" s="66">
        <v>0</v>
      </c>
      <c r="AF45" s="66">
        <v>0</v>
      </c>
      <c r="AG45" s="66">
        <v>0</v>
      </c>
      <c r="AH45" s="66">
        <v>0</v>
      </c>
      <c r="AI45" s="66">
        <v>0</v>
      </c>
      <c r="AJ45" s="66">
        <v>0</v>
      </c>
      <c r="AK45" s="66">
        <v>0</v>
      </c>
      <c r="AL45" s="66">
        <v>0</v>
      </c>
      <c r="AM45" s="66">
        <v>0</v>
      </c>
      <c r="AN45" s="66">
        <v>0</v>
      </c>
      <c r="AO45" s="66">
        <v>0</v>
      </c>
      <c r="AP45" s="66">
        <v>0</v>
      </c>
      <c r="AQ45" s="66">
        <v>0</v>
      </c>
      <c r="AR45" s="66">
        <v>0</v>
      </c>
      <c r="AS45" s="66">
        <v>0</v>
      </c>
      <c r="AT45" s="66">
        <v>0</v>
      </c>
      <c r="AU45" s="66">
        <v>0</v>
      </c>
      <c r="AV45" s="66">
        <v>0</v>
      </c>
      <c r="AW45" s="66">
        <v>0</v>
      </c>
      <c r="AX45" s="66">
        <v>0</v>
      </c>
      <c r="AY45" s="66">
        <v>0</v>
      </c>
      <c r="AZ45" s="66">
        <v>0</v>
      </c>
      <c r="BA45" s="66">
        <v>0</v>
      </c>
      <c r="BB45" s="66">
        <v>0</v>
      </c>
      <c r="BC45" s="66">
        <v>0</v>
      </c>
      <c r="BD45" s="66">
        <v>0</v>
      </c>
      <c r="BE45" s="66">
        <v>0</v>
      </c>
      <c r="BF45" s="66">
        <v>0</v>
      </c>
      <c r="BG45" s="66">
        <v>0</v>
      </c>
      <c r="BH45" s="66">
        <v>0</v>
      </c>
      <c r="BI45" s="66">
        <v>0</v>
      </c>
      <c r="BJ45" s="66">
        <v>0</v>
      </c>
    </row>
    <row r="46" spans="1:62" ht="15.75" customHeight="1" x14ac:dyDescent="0.2"/>
    <row r="47" spans="1:62" ht="15.75" customHeight="1" x14ac:dyDescent="0.2"/>
    <row r="48" spans="1:62" ht="15.75" customHeight="1" x14ac:dyDescent="0.2">
      <c r="B48" s="67">
        <v>45657</v>
      </c>
      <c r="C48" s="67">
        <f t="shared" ref="C48:BJ48" si="8">EOMONTH(B48,1)</f>
        <v>45688</v>
      </c>
      <c r="D48" s="68">
        <f t="shared" si="8"/>
        <v>45716</v>
      </c>
      <c r="E48" s="68">
        <f t="shared" si="8"/>
        <v>45747</v>
      </c>
      <c r="F48" s="68">
        <f t="shared" si="8"/>
        <v>45777</v>
      </c>
      <c r="G48" s="68">
        <f t="shared" si="8"/>
        <v>45808</v>
      </c>
      <c r="H48" s="68">
        <f t="shared" si="8"/>
        <v>45838</v>
      </c>
      <c r="I48" s="68">
        <f t="shared" si="8"/>
        <v>45869</v>
      </c>
      <c r="J48" s="68">
        <f t="shared" si="8"/>
        <v>45900</v>
      </c>
      <c r="K48" s="68">
        <f t="shared" si="8"/>
        <v>45930</v>
      </c>
      <c r="L48" s="68">
        <f t="shared" si="8"/>
        <v>45961</v>
      </c>
      <c r="M48" s="68">
        <f t="shared" si="8"/>
        <v>45991</v>
      </c>
      <c r="N48" s="68">
        <f t="shared" si="8"/>
        <v>46022</v>
      </c>
      <c r="O48" s="68">
        <f t="shared" si="8"/>
        <v>46053</v>
      </c>
      <c r="P48" s="68">
        <f t="shared" si="8"/>
        <v>46081</v>
      </c>
      <c r="Q48" s="68">
        <f t="shared" si="8"/>
        <v>46112</v>
      </c>
      <c r="R48" s="68">
        <f t="shared" si="8"/>
        <v>46142</v>
      </c>
      <c r="S48" s="68">
        <f t="shared" si="8"/>
        <v>46173</v>
      </c>
      <c r="T48" s="68">
        <f t="shared" si="8"/>
        <v>46203</v>
      </c>
      <c r="U48" s="68">
        <f t="shared" si="8"/>
        <v>46234</v>
      </c>
      <c r="V48" s="68">
        <f t="shared" si="8"/>
        <v>46265</v>
      </c>
      <c r="W48" s="68">
        <f t="shared" si="8"/>
        <v>46295</v>
      </c>
      <c r="X48" s="68">
        <f t="shared" si="8"/>
        <v>46326</v>
      </c>
      <c r="Y48" s="68">
        <f t="shared" si="8"/>
        <v>46356</v>
      </c>
      <c r="Z48" s="68">
        <f t="shared" si="8"/>
        <v>46387</v>
      </c>
      <c r="AA48" s="68">
        <f t="shared" si="8"/>
        <v>46418</v>
      </c>
      <c r="AB48" s="68">
        <f t="shared" si="8"/>
        <v>46446</v>
      </c>
      <c r="AC48" s="68">
        <f t="shared" si="8"/>
        <v>46477</v>
      </c>
      <c r="AD48" s="68">
        <f t="shared" si="8"/>
        <v>46507</v>
      </c>
      <c r="AE48" s="68">
        <f t="shared" si="8"/>
        <v>46538</v>
      </c>
      <c r="AF48" s="68">
        <f t="shared" si="8"/>
        <v>46568</v>
      </c>
      <c r="AG48" s="68">
        <f t="shared" si="8"/>
        <v>46599</v>
      </c>
      <c r="AH48" s="68">
        <f t="shared" si="8"/>
        <v>46630</v>
      </c>
      <c r="AI48" s="68">
        <f t="shared" si="8"/>
        <v>46660</v>
      </c>
      <c r="AJ48" s="68">
        <f t="shared" si="8"/>
        <v>46691</v>
      </c>
      <c r="AK48" s="68">
        <f t="shared" si="8"/>
        <v>46721</v>
      </c>
      <c r="AL48" s="68">
        <f t="shared" si="8"/>
        <v>46752</v>
      </c>
      <c r="AM48" s="68">
        <f t="shared" si="8"/>
        <v>46783</v>
      </c>
      <c r="AN48" s="68">
        <f t="shared" si="8"/>
        <v>46812</v>
      </c>
      <c r="AO48" s="68">
        <f t="shared" si="8"/>
        <v>46843</v>
      </c>
      <c r="AP48" s="68">
        <f t="shared" si="8"/>
        <v>46873</v>
      </c>
      <c r="AQ48" s="68">
        <f t="shared" si="8"/>
        <v>46904</v>
      </c>
      <c r="AR48" s="68">
        <f t="shared" si="8"/>
        <v>46934</v>
      </c>
      <c r="AS48" s="68">
        <f t="shared" si="8"/>
        <v>46965</v>
      </c>
      <c r="AT48" s="68">
        <f t="shared" si="8"/>
        <v>46996</v>
      </c>
      <c r="AU48" s="68">
        <f t="shared" si="8"/>
        <v>47026</v>
      </c>
      <c r="AV48" s="68">
        <f t="shared" si="8"/>
        <v>47057</v>
      </c>
      <c r="AW48" s="68">
        <f t="shared" si="8"/>
        <v>47087</v>
      </c>
      <c r="AX48" s="68">
        <f t="shared" si="8"/>
        <v>47118</v>
      </c>
      <c r="AY48" s="68">
        <f t="shared" si="8"/>
        <v>47149</v>
      </c>
      <c r="AZ48" s="68">
        <f t="shared" si="8"/>
        <v>47177</v>
      </c>
      <c r="BA48" s="68">
        <f t="shared" si="8"/>
        <v>47208</v>
      </c>
      <c r="BB48" s="68">
        <f t="shared" si="8"/>
        <v>47238</v>
      </c>
      <c r="BC48" s="68">
        <f t="shared" si="8"/>
        <v>47269</v>
      </c>
      <c r="BD48" s="68">
        <f t="shared" si="8"/>
        <v>47299</v>
      </c>
      <c r="BE48" s="68">
        <f t="shared" si="8"/>
        <v>47330</v>
      </c>
      <c r="BF48" s="68">
        <f t="shared" si="8"/>
        <v>47361</v>
      </c>
      <c r="BG48" s="68">
        <f t="shared" si="8"/>
        <v>47391</v>
      </c>
      <c r="BH48" s="68">
        <f t="shared" si="8"/>
        <v>47422</v>
      </c>
      <c r="BI48" s="68">
        <f t="shared" si="8"/>
        <v>47452</v>
      </c>
      <c r="BJ48" s="68">
        <f t="shared" si="8"/>
        <v>47483</v>
      </c>
    </row>
    <row r="49" spans="1:62" ht="15.75" customHeight="1" x14ac:dyDescent="0.2">
      <c r="A49" s="33" t="s">
        <v>82</v>
      </c>
      <c r="B49" s="33">
        <f t="shared" ref="B49:J49" si="9">IF(B4&gt;7.5%, 1.5, 1.35)</f>
        <v>1.35</v>
      </c>
      <c r="C49" s="33">
        <f t="shared" si="9"/>
        <v>1.35</v>
      </c>
      <c r="D49" s="33">
        <f t="shared" si="9"/>
        <v>1.35</v>
      </c>
      <c r="E49" s="33">
        <f t="shared" si="9"/>
        <v>1.35</v>
      </c>
      <c r="F49" s="33">
        <f t="shared" si="9"/>
        <v>1.35</v>
      </c>
      <c r="G49" s="33">
        <f t="shared" si="9"/>
        <v>1.35</v>
      </c>
      <c r="H49" s="33">
        <f t="shared" si="9"/>
        <v>1.35</v>
      </c>
      <c r="I49" s="33">
        <f t="shared" si="9"/>
        <v>1.5</v>
      </c>
      <c r="J49" s="33">
        <f t="shared" si="9"/>
        <v>1.5</v>
      </c>
      <c r="K49" s="33">
        <f>IF(J4&gt;7.5%, 1.5, 1.35)</f>
        <v>1.5</v>
      </c>
      <c r="L49" s="33">
        <f t="shared" ref="L49:BJ49" si="10">IF(L4&gt;7.5%, 1.5, 1.35)</f>
        <v>1.5</v>
      </c>
      <c r="M49" s="33">
        <f t="shared" si="10"/>
        <v>1.5</v>
      </c>
      <c r="N49" s="33">
        <f t="shared" si="10"/>
        <v>1.5</v>
      </c>
      <c r="O49" s="33">
        <f t="shared" si="10"/>
        <v>1.35</v>
      </c>
      <c r="P49" s="33">
        <f t="shared" si="10"/>
        <v>1.35</v>
      </c>
      <c r="Q49" s="33">
        <f t="shared" si="10"/>
        <v>1.35</v>
      </c>
      <c r="R49" s="33">
        <f t="shared" si="10"/>
        <v>1.35</v>
      </c>
      <c r="S49" s="33">
        <f t="shared" si="10"/>
        <v>1.35</v>
      </c>
      <c r="T49" s="33">
        <f t="shared" si="10"/>
        <v>1.35</v>
      </c>
      <c r="U49" s="33">
        <f t="shared" si="10"/>
        <v>1.35</v>
      </c>
      <c r="V49" s="33">
        <f t="shared" si="10"/>
        <v>1.35</v>
      </c>
      <c r="W49" s="33">
        <f t="shared" si="10"/>
        <v>1.35</v>
      </c>
      <c r="X49" s="33">
        <f t="shared" si="10"/>
        <v>1.35</v>
      </c>
      <c r="Y49" s="33">
        <f t="shared" si="10"/>
        <v>1.35</v>
      </c>
      <c r="Z49" s="33">
        <f t="shared" si="10"/>
        <v>1.35</v>
      </c>
      <c r="AA49" s="33">
        <f t="shared" si="10"/>
        <v>1.35</v>
      </c>
      <c r="AB49" s="33">
        <f t="shared" si="10"/>
        <v>1.35</v>
      </c>
      <c r="AC49" s="33">
        <f t="shared" si="10"/>
        <v>1.35</v>
      </c>
      <c r="AD49" s="33">
        <f t="shared" si="10"/>
        <v>1.35</v>
      </c>
      <c r="AE49" s="33">
        <f t="shared" si="10"/>
        <v>1.35</v>
      </c>
      <c r="AF49" s="33">
        <f t="shared" si="10"/>
        <v>1.35</v>
      </c>
      <c r="AG49" s="33">
        <f t="shared" si="10"/>
        <v>1.35</v>
      </c>
      <c r="AH49" s="33">
        <f t="shared" si="10"/>
        <v>1.35</v>
      </c>
      <c r="AI49" s="33">
        <f t="shared" si="10"/>
        <v>1.35</v>
      </c>
      <c r="AJ49" s="33">
        <f t="shared" si="10"/>
        <v>1.35</v>
      </c>
      <c r="AK49" s="33">
        <f t="shared" si="10"/>
        <v>1.35</v>
      </c>
      <c r="AL49" s="33">
        <f t="shared" si="10"/>
        <v>1.35</v>
      </c>
      <c r="AM49" s="33">
        <f t="shared" si="10"/>
        <v>1.35</v>
      </c>
      <c r="AN49" s="33">
        <f t="shared" si="10"/>
        <v>1.35</v>
      </c>
      <c r="AO49" s="33">
        <f t="shared" si="10"/>
        <v>1.35</v>
      </c>
      <c r="AP49" s="33">
        <f t="shared" si="10"/>
        <v>1.35</v>
      </c>
      <c r="AQ49" s="33">
        <f t="shared" si="10"/>
        <v>1.35</v>
      </c>
      <c r="AR49" s="33">
        <f t="shared" si="10"/>
        <v>1.35</v>
      </c>
      <c r="AS49" s="33">
        <f t="shared" si="10"/>
        <v>1.35</v>
      </c>
      <c r="AT49" s="33">
        <f t="shared" si="10"/>
        <v>1.35</v>
      </c>
      <c r="AU49" s="33">
        <f t="shared" si="10"/>
        <v>1.35</v>
      </c>
      <c r="AV49" s="33">
        <f t="shared" si="10"/>
        <v>1.35</v>
      </c>
      <c r="AW49" s="33">
        <f t="shared" si="10"/>
        <v>1.35</v>
      </c>
      <c r="AX49" s="33">
        <f t="shared" si="10"/>
        <v>1.35</v>
      </c>
      <c r="AY49" s="33">
        <f t="shared" si="10"/>
        <v>1.35</v>
      </c>
      <c r="AZ49" s="33">
        <f t="shared" si="10"/>
        <v>1.35</v>
      </c>
      <c r="BA49" s="33">
        <f t="shared" si="10"/>
        <v>1.35</v>
      </c>
      <c r="BB49" s="33">
        <f t="shared" si="10"/>
        <v>1.35</v>
      </c>
      <c r="BC49" s="33">
        <f t="shared" si="10"/>
        <v>1.35</v>
      </c>
      <c r="BD49" s="33">
        <f t="shared" si="10"/>
        <v>1.35</v>
      </c>
      <c r="BE49" s="33">
        <f t="shared" si="10"/>
        <v>1.35</v>
      </c>
      <c r="BF49" s="33">
        <f t="shared" si="10"/>
        <v>1.35</v>
      </c>
      <c r="BG49" s="33">
        <f t="shared" si="10"/>
        <v>1.35</v>
      </c>
      <c r="BH49" s="33">
        <f t="shared" si="10"/>
        <v>1.35</v>
      </c>
      <c r="BI49" s="33">
        <f t="shared" si="10"/>
        <v>1.35</v>
      </c>
      <c r="BJ49" s="33">
        <f t="shared" si="10"/>
        <v>1.35</v>
      </c>
    </row>
    <row r="50" spans="1:62" ht="15.75" customHeight="1" x14ac:dyDescent="0.2">
      <c r="A50" s="33" t="s">
        <v>275</v>
      </c>
      <c r="F50" s="74">
        <v>30000000</v>
      </c>
      <c r="H50" s="74">
        <v>43000000</v>
      </c>
      <c r="I50" s="74">
        <v>46000000</v>
      </c>
      <c r="J50" s="74">
        <v>52000000</v>
      </c>
      <c r="K50" s="74">
        <v>52000000</v>
      </c>
    </row>
    <row r="51" spans="1:62" ht="15.75" customHeight="1" x14ac:dyDescent="0.2">
      <c r="A51" s="33" t="s">
        <v>276</v>
      </c>
      <c r="E51" s="74">
        <v>30148888.337122694</v>
      </c>
      <c r="F51" s="74">
        <v>40824371.3165543</v>
      </c>
      <c r="H51" s="74">
        <v>57893036.935091101</v>
      </c>
      <c r="I51" s="74">
        <v>69131448.67403087</v>
      </c>
      <c r="J51" s="74">
        <v>76881537.150000006</v>
      </c>
      <c r="K51" s="75">
        <v>75229006.185462788</v>
      </c>
    </row>
    <row r="52" spans="1:62" ht="15.75" customHeight="1" x14ac:dyDescent="0.2">
      <c r="A52" s="33" t="s">
        <v>277</v>
      </c>
      <c r="E52" s="33">
        <v>1.43</v>
      </c>
      <c r="F52" s="75">
        <f>F51/F50</f>
        <v>1.3608123772184766</v>
      </c>
      <c r="H52" s="75">
        <v>1.3543000000000001</v>
      </c>
      <c r="I52" s="75">
        <f t="shared" ref="I52:K52" si="11">I51/I50</f>
        <v>1.5028575798702364</v>
      </c>
      <c r="J52" s="75">
        <f t="shared" si="11"/>
        <v>1.4784910990384617</v>
      </c>
      <c r="K52" s="75">
        <f t="shared" si="11"/>
        <v>1.4467116574127459</v>
      </c>
      <c r="M52" s="76">
        <v>1.4323999999999999</v>
      </c>
      <c r="N52" s="77">
        <v>1.4256</v>
      </c>
    </row>
    <row r="53" spans="1:62" ht="15.75" customHeight="1" x14ac:dyDescent="0.2"/>
    <row r="54" spans="1:62" ht="15.75" customHeight="1" x14ac:dyDescent="0.2"/>
    <row r="55" spans="1:62" ht="15.75" customHeight="1" x14ac:dyDescent="0.2"/>
    <row r="56" spans="1:62" ht="15.75" customHeight="1" x14ac:dyDescent="0.2"/>
    <row r="57" spans="1:62" ht="15.75" customHeight="1" x14ac:dyDescent="0.2"/>
    <row r="58" spans="1:62" ht="15.75" customHeight="1" x14ac:dyDescent="0.2"/>
    <row r="59" spans="1:62" ht="15.75" customHeight="1" x14ac:dyDescent="0.2"/>
    <row r="60" spans="1:62" ht="15.75" customHeight="1" x14ac:dyDescent="0.2"/>
    <row r="61" spans="1:62" ht="15.75" customHeight="1" x14ac:dyDescent="0.2"/>
    <row r="62" spans="1:62" ht="15.75" customHeight="1" x14ac:dyDescent="0.2"/>
    <row r="63" spans="1:62" ht="15.75" customHeight="1" x14ac:dyDescent="0.2"/>
    <row r="64" spans="1:6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B4:BJ4">
    <cfRule type="expression" dxfId="15" priority="1">
      <formula>AND(B4&lt;&gt;"", B4&lt;B5)</formula>
    </cfRule>
    <cfRule type="expression" dxfId="14" priority="2">
      <formula>AND(B4&lt;&gt;"", B4&gt;B5)</formula>
    </cfRule>
  </conditionalFormatting>
  <conditionalFormatting sqref="B10:BJ10">
    <cfRule type="expression" dxfId="13" priority="3">
      <formula>AND(B10&lt;&gt;"", B10&lt;B11)</formula>
    </cfRule>
    <cfRule type="expression" dxfId="12" priority="4">
      <formula>AND(B10&lt;&gt;"", B10&gt;B11)</formula>
    </cfRule>
  </conditionalFormatting>
  <conditionalFormatting sqref="B16:BJ16">
    <cfRule type="expression" dxfId="11" priority="5">
      <formula>AND(B16&lt;&gt;"", B16&lt;B17)</formula>
    </cfRule>
    <cfRule type="expression" dxfId="10" priority="6">
      <formula>AND(B16&lt;&gt;"", B16&gt;B17)</formula>
    </cfRule>
  </conditionalFormatting>
  <conditionalFormatting sqref="B22:BJ22">
    <cfRule type="expression" dxfId="9" priority="7">
      <formula>AND(B22&lt;&gt;"", B22&lt;B23)</formula>
    </cfRule>
    <cfRule type="expression" dxfId="8" priority="8">
      <formula>AND(B22&lt;&gt;"", B22&gt;B23)</formula>
    </cfRule>
  </conditionalFormatting>
  <conditionalFormatting sqref="B27:BJ27">
    <cfRule type="expression" dxfId="7" priority="9">
      <formula>AND(B27&lt;&gt;"", B27&lt;B28)</formula>
    </cfRule>
    <cfRule type="expression" dxfId="6" priority="10">
      <formula>AND(B27&lt;&gt;"", B27&gt;B28)</formula>
    </cfRule>
  </conditionalFormatting>
  <conditionalFormatting sqref="B32:BJ32">
    <cfRule type="expression" dxfId="5" priority="11">
      <formula>AND(B32&lt;&gt;"", B32&lt;B33)</formula>
    </cfRule>
    <cfRule type="expression" dxfId="4" priority="12">
      <formula>AND(B32&lt;&gt;"", B32&gt;B33)</formula>
    </cfRule>
  </conditionalFormatting>
  <conditionalFormatting sqref="B38:BJ38">
    <cfRule type="expression" dxfId="3" priority="13">
      <formula>AND(B38&lt;&gt;"", B38&lt;B39)</formula>
    </cfRule>
    <cfRule type="expression" dxfId="2" priority="14">
      <formula>AND(B38&lt;&gt;"", B38&gt;B39)</formula>
    </cfRule>
  </conditionalFormatting>
  <conditionalFormatting sqref="B44:BJ44">
    <cfRule type="expression" dxfId="1" priority="15">
      <formula>AND(B44&lt;&gt;"", B44&lt;B45)</formula>
    </cfRule>
    <cfRule type="expression" dxfId="0" priority="16">
      <formula>AND(B44&lt;&gt;"", B44&gt;B45)</formula>
    </cfRule>
  </conditionalFormatting>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000"/>
  <sheetViews>
    <sheetView workbookViewId="0">
      <pane xSplit="1" ySplit="1" topLeftCell="B2" activePane="bottomRight" state="frozen"/>
      <selection pane="topRight" activeCell="B1" sqref="B1"/>
      <selection pane="bottomLeft" activeCell="A2" sqref="A2"/>
      <selection pane="bottomRight" activeCell="A6" sqref="A6"/>
    </sheetView>
  </sheetViews>
  <sheetFormatPr baseColWidth="10" defaultColWidth="12.6640625" defaultRowHeight="15" customHeight="1" x14ac:dyDescent="0.2"/>
  <cols>
    <col min="1" max="1" width="50.83203125" customWidth="1"/>
    <col min="2" max="2" width="15" customWidth="1"/>
    <col min="3" max="11" width="13.5" customWidth="1"/>
    <col min="12" max="17" width="15.6640625" customWidth="1"/>
    <col min="18" max="18" width="15.83203125" customWidth="1"/>
    <col min="19" max="19" width="15.6640625" customWidth="1"/>
    <col min="20" max="20" width="17.33203125" customWidth="1"/>
    <col min="21" max="21" width="15.6640625" customWidth="1"/>
    <col min="22" max="24" width="18.83203125" customWidth="1"/>
    <col min="25" max="25" width="17" customWidth="1"/>
    <col min="26" max="26" width="15.6640625" customWidth="1"/>
    <col min="27" max="27" width="13.6640625" customWidth="1"/>
    <col min="28" max="28" width="14.6640625" customWidth="1"/>
  </cols>
  <sheetData>
    <row r="1" spans="1:27" ht="16" x14ac:dyDescent="0.2">
      <c r="A1" s="78" t="s">
        <v>278</v>
      </c>
      <c r="B1" s="79">
        <v>44713</v>
      </c>
      <c r="C1" s="79">
        <v>44805</v>
      </c>
      <c r="D1" s="79">
        <v>44896</v>
      </c>
      <c r="E1" s="79">
        <v>44986</v>
      </c>
      <c r="F1" s="79">
        <v>45078</v>
      </c>
      <c r="G1" s="79">
        <v>45170</v>
      </c>
      <c r="H1" s="79">
        <v>45261</v>
      </c>
      <c r="I1" s="79">
        <v>45352</v>
      </c>
      <c r="J1" s="79">
        <v>45444</v>
      </c>
      <c r="K1" s="79">
        <v>45536</v>
      </c>
      <c r="L1" s="79">
        <v>45627</v>
      </c>
      <c r="M1" s="79">
        <v>45658</v>
      </c>
      <c r="N1" s="79">
        <v>45689</v>
      </c>
      <c r="O1" s="79">
        <v>45717</v>
      </c>
      <c r="P1" s="79">
        <v>45748</v>
      </c>
      <c r="Q1" s="79">
        <v>45778</v>
      </c>
      <c r="R1" s="79">
        <v>45809</v>
      </c>
      <c r="S1" s="79">
        <v>45839</v>
      </c>
      <c r="T1" s="79">
        <v>45870</v>
      </c>
      <c r="U1" s="80">
        <v>45901</v>
      </c>
      <c r="V1" s="80">
        <v>45931</v>
      </c>
      <c r="W1" s="80">
        <v>45962</v>
      </c>
      <c r="X1" s="80">
        <v>45992</v>
      </c>
      <c r="Y1" s="80">
        <v>46023</v>
      </c>
      <c r="Z1" s="80">
        <v>46054</v>
      </c>
      <c r="AA1" t="s">
        <v>502</v>
      </c>
    </row>
    <row r="2" spans="1:27" ht="16" x14ac:dyDescent="0.2">
      <c r="A2" s="81" t="s">
        <v>279</v>
      </c>
      <c r="B2" s="82">
        <v>3031000</v>
      </c>
      <c r="C2" s="82">
        <v>5147000</v>
      </c>
      <c r="D2" s="82">
        <v>7230000</v>
      </c>
      <c r="E2" s="82">
        <v>2199000</v>
      </c>
      <c r="F2" s="82">
        <v>2974000</v>
      </c>
      <c r="G2" s="82">
        <v>4870000</v>
      </c>
      <c r="H2" s="82">
        <v>7076000</v>
      </c>
      <c r="I2" s="82">
        <v>2519000</v>
      </c>
      <c r="J2" s="82">
        <v>5696000</v>
      </c>
      <c r="K2" s="82">
        <v>8874000</v>
      </c>
      <c r="L2" s="82">
        <v>12252000</v>
      </c>
      <c r="M2" s="82">
        <v>998000</v>
      </c>
      <c r="N2" s="45">
        <f>1957000-M2</f>
        <v>959000</v>
      </c>
      <c r="O2" s="82">
        <f>3385000-SUM(M2:N2)</f>
        <v>1428000</v>
      </c>
      <c r="P2" s="82">
        <v>1908286</v>
      </c>
      <c r="Q2" s="82">
        <v>1343719.47</v>
      </c>
      <c r="R2" s="82">
        <f>8202000-SUM($M2:Q2)</f>
        <v>1564994.5300000003</v>
      </c>
      <c r="S2" s="82">
        <v>1214533.79</v>
      </c>
      <c r="T2" s="82">
        <v>1552749.03</v>
      </c>
      <c r="U2" s="82">
        <f>12705000-SUM($M2:T2)</f>
        <v>1735717.1800000016</v>
      </c>
      <c r="V2" s="83">
        <v>2341515.16</v>
      </c>
      <c r="W2" s="83">
        <v>1066373.3799999999</v>
      </c>
      <c r="X2" s="83">
        <v>1580714.28</v>
      </c>
      <c r="Y2" s="83">
        <v>1053000</v>
      </c>
      <c r="Z2" s="83">
        <v>2144000</v>
      </c>
      <c r="AA2" s="157">
        <f>Z2-Y2</f>
        <v>1091000</v>
      </c>
    </row>
    <row r="3" spans="1:27" ht="16" x14ac:dyDescent="0.2">
      <c r="A3" s="81" t="s">
        <v>280</v>
      </c>
      <c r="B3" s="82">
        <v>-112000</v>
      </c>
      <c r="C3" s="82">
        <v>-247000</v>
      </c>
      <c r="D3" s="82">
        <v>-322000</v>
      </c>
      <c r="E3" s="82">
        <v>-111000</v>
      </c>
      <c r="F3" s="82">
        <v>-194000</v>
      </c>
      <c r="G3" s="82">
        <v>-346000</v>
      </c>
      <c r="H3" s="82">
        <v>-515000</v>
      </c>
      <c r="I3" s="82">
        <v>-612000</v>
      </c>
      <c r="J3" s="82">
        <v>-1574000</v>
      </c>
      <c r="K3" s="82">
        <v>-2635000</v>
      </c>
      <c r="L3" s="82">
        <v>-3675000</v>
      </c>
      <c r="M3" s="82">
        <v>-415000</v>
      </c>
      <c r="N3" s="45">
        <f>-725000-M3</f>
        <v>-310000</v>
      </c>
      <c r="O3" s="82">
        <f>-1056000-SUM(M3:N3)</f>
        <v>-331000</v>
      </c>
      <c r="P3" s="82">
        <v>-195731</v>
      </c>
      <c r="Q3" s="82">
        <v>-254716.28</v>
      </c>
      <c r="R3" s="82">
        <f>-1627000-SUM(M3:Q3)</f>
        <v>-120552.71999999997</v>
      </c>
      <c r="S3" s="82">
        <v>-245747.17</v>
      </c>
      <c r="T3" s="82">
        <v>-109983.18</v>
      </c>
      <c r="U3" s="82">
        <f>-(SUM($M3:T3)+2407000)</f>
        <v>-424269.65000000014</v>
      </c>
      <c r="V3" s="83">
        <v>-239566.18</v>
      </c>
      <c r="W3" s="83">
        <v>-96599.85</v>
      </c>
      <c r="X3" s="83">
        <v>-181499.01</v>
      </c>
      <c r="Y3" s="83">
        <v>-208000</v>
      </c>
      <c r="Z3" s="83">
        <v>-388000</v>
      </c>
      <c r="AA3" s="157">
        <f t="shared" ref="AA3:AA12" si="0">Z3-Y3</f>
        <v>-180000</v>
      </c>
    </row>
    <row r="4" spans="1:27" ht="16" x14ac:dyDescent="0.2">
      <c r="A4" s="84" t="s">
        <v>281</v>
      </c>
      <c r="B4" s="85">
        <f t="shared" ref="B4:Z4" si="1">-B3/B2</f>
        <v>3.695150115473441E-2</v>
      </c>
      <c r="C4" s="85">
        <f t="shared" si="1"/>
        <v>4.7989119875655725E-2</v>
      </c>
      <c r="D4" s="85">
        <f t="shared" si="1"/>
        <v>4.4536652835408023E-2</v>
      </c>
      <c r="E4" s="85">
        <f t="shared" si="1"/>
        <v>5.0477489768076401E-2</v>
      </c>
      <c r="F4" s="85">
        <f t="shared" si="1"/>
        <v>6.5232010759919301E-2</v>
      </c>
      <c r="G4" s="85">
        <f t="shared" si="1"/>
        <v>7.1047227926078024E-2</v>
      </c>
      <c r="H4" s="85">
        <f t="shared" si="1"/>
        <v>7.2781232334652349E-2</v>
      </c>
      <c r="I4" s="85">
        <f t="shared" si="1"/>
        <v>0.24295355299722113</v>
      </c>
      <c r="J4" s="85">
        <f t="shared" si="1"/>
        <v>0.27633426966292135</v>
      </c>
      <c r="K4" s="85">
        <f t="shared" si="1"/>
        <v>0.29693486590038315</v>
      </c>
      <c r="L4" s="85">
        <f t="shared" si="1"/>
        <v>0.29995102840352594</v>
      </c>
      <c r="M4" s="85">
        <f t="shared" si="1"/>
        <v>0.41583166332665333</v>
      </c>
      <c r="N4" s="85">
        <f t="shared" si="1"/>
        <v>0.3232533889468196</v>
      </c>
      <c r="O4" s="85">
        <f t="shared" si="1"/>
        <v>0.23179271708683474</v>
      </c>
      <c r="P4" s="85">
        <f t="shared" si="1"/>
        <v>0.10256900695178815</v>
      </c>
      <c r="Q4" s="85">
        <f t="shared" si="1"/>
        <v>0.18956060821236742</v>
      </c>
      <c r="R4" s="85">
        <f t="shared" si="1"/>
        <v>7.7030761251286897E-2</v>
      </c>
      <c r="S4" s="85">
        <f t="shared" si="1"/>
        <v>0.20233868503567942</v>
      </c>
      <c r="T4" s="85">
        <f t="shared" si="1"/>
        <v>7.0831266273597343E-2</v>
      </c>
      <c r="U4" s="85">
        <f t="shared" si="1"/>
        <v>0.24443478170792765</v>
      </c>
      <c r="V4" s="85">
        <f t="shared" si="1"/>
        <v>0.10231246164556115</v>
      </c>
      <c r="W4" s="85">
        <f t="shared" si="1"/>
        <v>9.0587266910207395E-2</v>
      </c>
      <c r="X4" s="85">
        <f t="shared" si="1"/>
        <v>0.11482088337937961</v>
      </c>
      <c r="Y4" s="85">
        <f t="shared" si="1"/>
        <v>0.19753086419753085</v>
      </c>
      <c r="Z4" s="85">
        <f t="shared" si="1"/>
        <v>0.18097014925373134</v>
      </c>
      <c r="AA4" s="157">
        <f t="shared" si="0"/>
        <v>-1.6560714943799515E-2</v>
      </c>
    </row>
    <row r="5" spans="1:27" ht="16" x14ac:dyDescent="0.2">
      <c r="A5" s="87" t="s">
        <v>282</v>
      </c>
      <c r="B5" s="88">
        <v>2919000</v>
      </c>
      <c r="C5" s="88">
        <v>4900000</v>
      </c>
      <c r="D5" s="88">
        <v>6908000</v>
      </c>
      <c r="E5" s="88">
        <v>2088000</v>
      </c>
      <c r="F5" s="88">
        <v>2780000</v>
      </c>
      <c r="G5" s="88">
        <v>4524000</v>
      </c>
      <c r="H5" s="88">
        <v>6561000</v>
      </c>
      <c r="I5" s="88">
        <v>1907000</v>
      </c>
      <c r="J5" s="88">
        <v>4122000</v>
      </c>
      <c r="K5" s="88">
        <f t="shared" ref="K5:Z5" si="2">SUM(K2:K3)</f>
        <v>6239000</v>
      </c>
      <c r="L5" s="88">
        <f t="shared" si="2"/>
        <v>8577000</v>
      </c>
      <c r="M5" s="88">
        <f t="shared" si="2"/>
        <v>583000</v>
      </c>
      <c r="N5" s="88">
        <f t="shared" si="2"/>
        <v>649000</v>
      </c>
      <c r="O5" s="88">
        <f t="shared" si="2"/>
        <v>1097000</v>
      </c>
      <c r="P5" s="88">
        <f t="shared" si="2"/>
        <v>1712555</v>
      </c>
      <c r="Q5" s="88">
        <f t="shared" si="2"/>
        <v>1089003.19</v>
      </c>
      <c r="R5" s="88">
        <f t="shared" si="2"/>
        <v>1444441.8100000003</v>
      </c>
      <c r="S5" s="88">
        <f t="shared" si="2"/>
        <v>968786.62</v>
      </c>
      <c r="T5" s="88">
        <f t="shared" si="2"/>
        <v>1442765.85</v>
      </c>
      <c r="U5" s="88">
        <f t="shared" si="2"/>
        <v>1311447.5300000014</v>
      </c>
      <c r="V5" s="88">
        <f t="shared" si="2"/>
        <v>2101948.98</v>
      </c>
      <c r="W5" s="88">
        <f t="shared" si="2"/>
        <v>969773.52999999991</v>
      </c>
      <c r="X5" s="88">
        <f t="shared" si="2"/>
        <v>1399215.27</v>
      </c>
      <c r="Y5" s="88">
        <f t="shared" si="2"/>
        <v>845000</v>
      </c>
      <c r="Z5" s="88">
        <f t="shared" si="2"/>
        <v>1756000</v>
      </c>
      <c r="AA5" s="157">
        <f t="shared" si="0"/>
        <v>911000</v>
      </c>
    </row>
    <row r="6" spans="1:27" ht="16" x14ac:dyDescent="0.2">
      <c r="A6" s="81" t="s">
        <v>283</v>
      </c>
      <c r="B6" s="82">
        <v>357000</v>
      </c>
      <c r="C6" s="82">
        <v>656000</v>
      </c>
      <c r="D6" s="82">
        <v>880000</v>
      </c>
      <c r="E6" s="82">
        <v>262000</v>
      </c>
      <c r="F6" s="82">
        <v>699000</v>
      </c>
      <c r="G6" s="82">
        <v>874000</v>
      </c>
      <c r="H6" s="82">
        <v>1256000</v>
      </c>
      <c r="I6" s="82">
        <v>386000</v>
      </c>
      <c r="J6" s="82">
        <v>761000</v>
      </c>
      <c r="K6" s="82">
        <v>1093000</v>
      </c>
      <c r="L6" s="82">
        <v>1569000</v>
      </c>
      <c r="M6" s="82">
        <v>286000</v>
      </c>
      <c r="N6" s="45">
        <f>731000-M6</f>
        <v>445000</v>
      </c>
      <c r="O6" s="82">
        <f>1121000-SUM(M6:N6)</f>
        <v>390000</v>
      </c>
      <c r="P6" s="82">
        <v>566720</v>
      </c>
      <c r="Q6" s="82">
        <v>733525.58</v>
      </c>
      <c r="R6" s="82">
        <f>3124000-SUM(M6:Q6)</f>
        <v>702754.41999999993</v>
      </c>
      <c r="S6" s="82">
        <v>806638.8</v>
      </c>
      <c r="T6" s="82">
        <v>855943.36</v>
      </c>
      <c r="U6" s="82">
        <f>5540000-SUM($M6:T6)</f>
        <v>753417.83999999985</v>
      </c>
      <c r="V6" s="83">
        <v>1288378.57</v>
      </c>
      <c r="W6" s="83">
        <v>865868.25</v>
      </c>
      <c r="X6" s="83">
        <v>1031707.28</v>
      </c>
      <c r="Y6" s="83">
        <v>713000</v>
      </c>
      <c r="Z6" s="83">
        <v>1437000</v>
      </c>
      <c r="AA6" s="157">
        <f t="shared" si="0"/>
        <v>724000</v>
      </c>
    </row>
    <row r="7" spans="1:27" ht="16" x14ac:dyDescent="0.2">
      <c r="A7" s="81" t="s">
        <v>284</v>
      </c>
      <c r="B7" s="82">
        <v>1000</v>
      </c>
      <c r="C7" s="82">
        <v>231000</v>
      </c>
      <c r="D7" s="82">
        <v>263000</v>
      </c>
      <c r="E7" s="82">
        <v>19000</v>
      </c>
      <c r="F7" s="82">
        <v>538000</v>
      </c>
      <c r="G7" s="82">
        <v>1252000</v>
      </c>
      <c r="H7" s="82">
        <v>1282000</v>
      </c>
      <c r="I7" s="82">
        <v>1000</v>
      </c>
      <c r="J7" s="82">
        <v>1000</v>
      </c>
      <c r="K7" s="82">
        <v>1000</v>
      </c>
      <c r="L7" s="82">
        <v>1000</v>
      </c>
      <c r="M7" s="82">
        <v>0</v>
      </c>
      <c r="N7" s="45">
        <f>0-M7</f>
        <v>0</v>
      </c>
      <c r="O7" s="82">
        <v>0</v>
      </c>
      <c r="P7" s="82">
        <v>0</v>
      </c>
      <c r="Q7" s="89">
        <v>-724598.78</v>
      </c>
      <c r="R7" s="82">
        <f>-1706000-SUM(M7:Q7)</f>
        <v>-981401.22</v>
      </c>
      <c r="S7" s="82">
        <v>0</v>
      </c>
      <c r="T7" s="82">
        <v>-990373.36</v>
      </c>
      <c r="U7" s="82">
        <f>SUM($M7:T7)+2696000</f>
        <v>-373.35999999986961</v>
      </c>
      <c r="V7" s="83">
        <v>0</v>
      </c>
      <c r="W7" s="83">
        <v>-476229.42</v>
      </c>
      <c r="X7" s="83">
        <v>0</v>
      </c>
      <c r="Y7" s="83">
        <v>0</v>
      </c>
      <c r="Z7" s="83">
        <v>0</v>
      </c>
      <c r="AA7" s="157">
        <f t="shared" si="0"/>
        <v>0</v>
      </c>
    </row>
    <row r="8" spans="1:27" ht="16" x14ac:dyDescent="0.2">
      <c r="A8" s="81" t="s">
        <v>285</v>
      </c>
      <c r="B8" s="82">
        <v>-144000</v>
      </c>
      <c r="C8" s="82">
        <v>-245000</v>
      </c>
      <c r="D8" s="82">
        <v>-245000</v>
      </c>
      <c r="E8" s="82">
        <v>0</v>
      </c>
      <c r="F8" s="82">
        <v>0</v>
      </c>
      <c r="G8" s="82">
        <v>0</v>
      </c>
      <c r="H8" s="82">
        <v>0</v>
      </c>
      <c r="I8" s="82">
        <v>0</v>
      </c>
      <c r="J8" s="82">
        <v>0</v>
      </c>
      <c r="K8" s="82">
        <v>0</v>
      </c>
      <c r="L8" s="82">
        <v>-238000</v>
      </c>
      <c r="M8" s="82">
        <v>0</v>
      </c>
      <c r="N8" s="45">
        <f>-188000-M8</f>
        <v>-188000</v>
      </c>
      <c r="O8" s="82">
        <f>-305000-SUM(M8:N8)</f>
        <v>-117000</v>
      </c>
      <c r="P8" s="89">
        <v>0</v>
      </c>
      <c r="Q8" s="89">
        <v>-898013.89</v>
      </c>
      <c r="R8" s="82">
        <f>-1867000-SUM(M8:Q8)</f>
        <v>-663986.10999999987</v>
      </c>
      <c r="S8" s="82">
        <v>-844486.11</v>
      </c>
      <c r="T8" s="82">
        <v>-917944.44</v>
      </c>
      <c r="U8" s="82">
        <f>-(SUM($M8:T8)+4517000)</f>
        <v>-887569.45000000019</v>
      </c>
      <c r="V8" s="83">
        <v>-917944.45</v>
      </c>
      <c r="W8" s="83">
        <v>-858722.21</v>
      </c>
      <c r="X8" s="83">
        <v>-962823.51</v>
      </c>
      <c r="Y8" s="83">
        <v>-943000</v>
      </c>
      <c r="Z8" s="83">
        <v>-1779000</v>
      </c>
      <c r="AA8" s="157">
        <f t="shared" si="0"/>
        <v>-836000</v>
      </c>
    </row>
    <row r="9" spans="1:27" ht="16" x14ac:dyDescent="0.2">
      <c r="A9" s="87" t="s">
        <v>286</v>
      </c>
      <c r="B9" s="88">
        <v>3133000</v>
      </c>
      <c r="C9" s="88">
        <v>5542000</v>
      </c>
      <c r="D9" s="88">
        <v>7806000</v>
      </c>
      <c r="E9" s="88">
        <v>2369000</v>
      </c>
      <c r="F9" s="88">
        <v>4017000</v>
      </c>
      <c r="G9" s="88">
        <v>6650000</v>
      </c>
      <c r="H9" s="88">
        <v>9099000</v>
      </c>
      <c r="I9" s="88">
        <v>2294000</v>
      </c>
      <c r="J9" s="88">
        <v>4884000</v>
      </c>
      <c r="K9" s="88">
        <v>7333000</v>
      </c>
      <c r="L9" s="88">
        <f t="shared" ref="L9:Q9" si="3">SUM(L6:L8)+L5</f>
        <v>9909000</v>
      </c>
      <c r="M9" s="88">
        <f t="shared" si="3"/>
        <v>869000</v>
      </c>
      <c r="N9" s="88">
        <f t="shared" si="3"/>
        <v>906000</v>
      </c>
      <c r="O9" s="88">
        <f t="shared" si="3"/>
        <v>1370000</v>
      </c>
      <c r="P9" s="88">
        <f t="shared" si="3"/>
        <v>2279275</v>
      </c>
      <c r="Q9" s="88">
        <f t="shared" si="3"/>
        <v>199916.09999999986</v>
      </c>
      <c r="R9" s="88">
        <f t="shared" ref="R9:Y9" si="4">R5+SUM(R6:R8)</f>
        <v>501808.90000000037</v>
      </c>
      <c r="S9" s="88">
        <f t="shared" si="4"/>
        <v>930939.31</v>
      </c>
      <c r="T9" s="88">
        <f t="shared" si="4"/>
        <v>390391.41000000015</v>
      </c>
      <c r="U9" s="88">
        <f t="shared" si="4"/>
        <v>1176922.5600000012</v>
      </c>
      <c r="V9" s="88">
        <f t="shared" si="4"/>
        <v>2472383.1</v>
      </c>
      <c r="W9" s="88">
        <f t="shared" si="4"/>
        <v>500690.14999999997</v>
      </c>
      <c r="X9" s="88">
        <f t="shared" si="4"/>
        <v>1468099.04</v>
      </c>
      <c r="Y9" s="88">
        <f t="shared" si="4"/>
        <v>615000</v>
      </c>
      <c r="Z9" s="157">
        <f>Z5+Z6+Z8</f>
        <v>1414000</v>
      </c>
      <c r="AA9" s="157">
        <f t="shared" si="0"/>
        <v>799000</v>
      </c>
    </row>
    <row r="10" spans="1:27" ht="16" x14ac:dyDescent="0.2">
      <c r="A10" s="81" t="s">
        <v>287</v>
      </c>
      <c r="B10" s="82">
        <v>1886000</v>
      </c>
      <c r="C10" s="82">
        <v>1882000</v>
      </c>
      <c r="D10" s="82">
        <v>1597000</v>
      </c>
      <c r="E10" s="82">
        <v>-401000</v>
      </c>
      <c r="F10" s="82">
        <v>-512000</v>
      </c>
      <c r="G10" s="82">
        <v>-565000</v>
      </c>
      <c r="H10" s="82">
        <v>-602000</v>
      </c>
      <c r="I10" s="82">
        <v>67000</v>
      </c>
      <c r="J10" s="82">
        <v>65000</v>
      </c>
      <c r="K10" s="82">
        <v>171000</v>
      </c>
      <c r="L10" s="82">
        <v>144000</v>
      </c>
      <c r="M10" s="82">
        <v>-4000</v>
      </c>
      <c r="N10" s="45">
        <f>-47000-M10</f>
        <v>-43000</v>
      </c>
      <c r="O10" s="82">
        <f>-91000-SUM(M10:N10)</f>
        <v>-44000</v>
      </c>
      <c r="P10" s="82">
        <v>-27793</v>
      </c>
      <c r="Q10" s="82">
        <v>-155119.54999999999</v>
      </c>
      <c r="R10" s="82">
        <f>-444000-SUM(M10:Q10)</f>
        <v>-170087.45</v>
      </c>
      <c r="S10" s="82">
        <v>-159333.15</v>
      </c>
      <c r="T10" s="82">
        <v>-258050.5</v>
      </c>
      <c r="U10" s="82">
        <f>-(SUM($M10:T10)+1098000)</f>
        <v>-236616.34999999998</v>
      </c>
      <c r="V10" s="83">
        <v>-462793.95</v>
      </c>
      <c r="W10" s="83">
        <v>-466796.14</v>
      </c>
      <c r="X10" s="83">
        <v>-156531.81</v>
      </c>
      <c r="Y10" s="83">
        <v>-38000</v>
      </c>
      <c r="Z10" s="83">
        <v>-84000</v>
      </c>
      <c r="AA10" s="157">
        <f t="shared" si="0"/>
        <v>-46000</v>
      </c>
    </row>
    <row r="11" spans="1:27" ht="16" x14ac:dyDescent="0.2">
      <c r="A11" s="81" t="s">
        <v>288</v>
      </c>
      <c r="B11" s="82">
        <v>-4616000</v>
      </c>
      <c r="C11" s="82">
        <v>-7689000</v>
      </c>
      <c r="D11" s="82">
        <v>-13731000</v>
      </c>
      <c r="E11" s="82">
        <v>-3446000</v>
      </c>
      <c r="F11" s="82">
        <v>-7176000</v>
      </c>
      <c r="G11" s="82">
        <v>-11329000</v>
      </c>
      <c r="H11" s="82">
        <v>-15660000</v>
      </c>
      <c r="I11" s="82">
        <v>-4272000</v>
      </c>
      <c r="J11" s="82">
        <v>-8109000</v>
      </c>
      <c r="K11" s="82">
        <v>-12211000</v>
      </c>
      <c r="L11" s="82">
        <v>-16138000</v>
      </c>
      <c r="M11" s="82">
        <v>-1622000</v>
      </c>
      <c r="N11" s="45">
        <f>-2677000-M11</f>
        <v>-1055000</v>
      </c>
      <c r="O11" s="82">
        <f>-4358000-SUM(M11:N11)</f>
        <v>-1681000</v>
      </c>
      <c r="P11" s="82">
        <v>-1590408</v>
      </c>
      <c r="Q11" s="82">
        <v>-1955019.41</v>
      </c>
      <c r="R11" s="82">
        <f>-9500000-SUM(M11:Q11)</f>
        <v>-1596572.5899999999</v>
      </c>
      <c r="S11" s="82">
        <v>-1598596.95</v>
      </c>
      <c r="T11" s="82">
        <v>-1622859.01</v>
      </c>
      <c r="U11" s="82">
        <f>-(SUM($M11:T11)+13964000)</f>
        <v>-1242544.040000001</v>
      </c>
      <c r="V11" s="83">
        <v>-1908771.3</v>
      </c>
      <c r="W11" s="83">
        <v>-1615578.54</v>
      </c>
      <c r="X11" s="83">
        <v>-1791374.21</v>
      </c>
      <c r="Y11" s="83">
        <v>-2031000</v>
      </c>
      <c r="Z11" s="83">
        <v>-3703000</v>
      </c>
      <c r="AA11" s="157">
        <f t="shared" si="0"/>
        <v>-1672000</v>
      </c>
    </row>
    <row r="12" spans="1:27" ht="16" x14ac:dyDescent="0.2">
      <c r="A12" s="81" t="s">
        <v>289</v>
      </c>
      <c r="B12" s="82">
        <v>434000</v>
      </c>
      <c r="C12" s="82">
        <v>378000</v>
      </c>
      <c r="D12" s="82">
        <v>449000</v>
      </c>
      <c r="E12" s="82">
        <v>0</v>
      </c>
      <c r="F12" s="82">
        <v>-154000</v>
      </c>
      <c r="G12" s="82">
        <v>-174000</v>
      </c>
      <c r="H12" s="82">
        <v>-332000</v>
      </c>
      <c r="I12" s="82">
        <v>0</v>
      </c>
      <c r="J12" s="82">
        <v>0</v>
      </c>
      <c r="K12" s="82">
        <v>0</v>
      </c>
      <c r="L12" s="82">
        <v>0</v>
      </c>
      <c r="M12" s="82">
        <v>0</v>
      </c>
      <c r="N12" s="45">
        <f>0-M12</f>
        <v>0</v>
      </c>
      <c r="O12" s="82">
        <v>0</v>
      </c>
      <c r="P12" s="82">
        <v>0</v>
      </c>
      <c r="Q12" s="82">
        <v>0</v>
      </c>
      <c r="R12" s="82">
        <f t="shared" ref="R12:T12" si="5">0-SUM(M12:Q12)</f>
        <v>0</v>
      </c>
      <c r="S12" s="82">
        <f t="shared" si="5"/>
        <v>0</v>
      </c>
      <c r="T12" s="82">
        <f t="shared" si="5"/>
        <v>0</v>
      </c>
      <c r="U12" s="82">
        <f>SUM($M12:T12)+0</f>
        <v>0</v>
      </c>
      <c r="V12" s="83">
        <v>0</v>
      </c>
      <c r="W12" s="83"/>
      <c r="X12" s="83"/>
      <c r="Y12" s="83">
        <v>0</v>
      </c>
      <c r="Z12" s="83">
        <v>0</v>
      </c>
      <c r="AA12" s="157">
        <f t="shared" si="0"/>
        <v>0</v>
      </c>
    </row>
    <row r="13" spans="1:27" ht="16" x14ac:dyDescent="0.2">
      <c r="A13" s="87" t="s">
        <v>290</v>
      </c>
      <c r="B13" s="88">
        <v>837000</v>
      </c>
      <c r="C13" s="88">
        <v>113000</v>
      </c>
      <c r="D13" s="88">
        <v>-3879000</v>
      </c>
      <c r="E13" s="88">
        <v>-1478000</v>
      </c>
      <c r="F13" s="88">
        <v>-3825000</v>
      </c>
      <c r="G13" s="88">
        <v>-5418000</v>
      </c>
      <c r="H13" s="88">
        <v>-7495000</v>
      </c>
      <c r="I13" s="88">
        <v>-1911000</v>
      </c>
      <c r="J13" s="88">
        <v>-3160000</v>
      </c>
      <c r="K13" s="88">
        <v>-4707000</v>
      </c>
      <c r="L13" s="88">
        <f t="shared" ref="L13:Y13" si="6">SUM(L10:L12)+L9</f>
        <v>-6085000</v>
      </c>
      <c r="M13" s="88">
        <f t="shared" si="6"/>
        <v>-757000</v>
      </c>
      <c r="N13" s="88">
        <f t="shared" si="6"/>
        <v>-192000</v>
      </c>
      <c r="O13" s="88">
        <f t="shared" si="6"/>
        <v>-355000</v>
      </c>
      <c r="P13" s="88">
        <f t="shared" si="6"/>
        <v>661074</v>
      </c>
      <c r="Q13" s="88">
        <f t="shared" si="6"/>
        <v>-1910222.86</v>
      </c>
      <c r="R13" s="88">
        <f t="shared" si="6"/>
        <v>-1264851.1399999994</v>
      </c>
      <c r="S13" s="88">
        <f t="shared" si="6"/>
        <v>-826990.7899999998</v>
      </c>
      <c r="T13" s="88">
        <f t="shared" si="6"/>
        <v>-1490518.0999999999</v>
      </c>
      <c r="U13" s="88">
        <f t="shared" si="6"/>
        <v>-302237.82999999984</v>
      </c>
      <c r="V13" s="88">
        <f t="shared" si="6"/>
        <v>100817.85000000009</v>
      </c>
      <c r="W13" s="88">
        <f t="shared" si="6"/>
        <v>-1581684.5300000003</v>
      </c>
      <c r="X13" s="88">
        <f t="shared" si="6"/>
        <v>-479806.98</v>
      </c>
      <c r="Y13" s="88">
        <f t="shared" si="6"/>
        <v>-1454000</v>
      </c>
      <c r="Z13" s="157">
        <f>Z9+Z10+Z11</f>
        <v>-2373000</v>
      </c>
      <c r="AA13" s="157">
        <f>Z13-Y13</f>
        <v>-919000</v>
      </c>
    </row>
    <row r="14" spans="1:27" ht="16" x14ac:dyDescent="0.2">
      <c r="B14" s="90">
        <v>6</v>
      </c>
      <c r="C14" s="90">
        <v>9</v>
      </c>
      <c r="D14" s="90">
        <v>12</v>
      </c>
      <c r="E14" s="90">
        <v>3</v>
      </c>
      <c r="F14" s="90">
        <v>6</v>
      </c>
      <c r="G14" s="90">
        <v>9</v>
      </c>
      <c r="H14" s="90">
        <v>12</v>
      </c>
      <c r="I14" s="90">
        <v>3</v>
      </c>
      <c r="J14" s="90">
        <v>6</v>
      </c>
      <c r="K14" s="90">
        <v>9</v>
      </c>
      <c r="L14" s="90">
        <v>12</v>
      </c>
      <c r="M14" s="91">
        <v>1</v>
      </c>
      <c r="N14" s="91">
        <v>2</v>
      </c>
      <c r="V14" s="65" t="s">
        <v>291</v>
      </c>
      <c r="W14" s="65" t="s">
        <v>291</v>
      </c>
      <c r="X14" s="65" t="s">
        <v>291</v>
      </c>
      <c r="Y14" s="65" t="s">
        <v>291</v>
      </c>
    </row>
    <row r="15" spans="1:27" ht="16" x14ac:dyDescent="0.2">
      <c r="A15" s="78" t="s">
        <v>292</v>
      </c>
      <c r="B15" s="79">
        <v>44713</v>
      </c>
      <c r="C15" s="79">
        <v>44805</v>
      </c>
      <c r="D15" s="79">
        <v>44896</v>
      </c>
      <c r="E15" s="79">
        <v>44986</v>
      </c>
      <c r="F15" s="79">
        <v>45078</v>
      </c>
      <c r="G15" s="79">
        <v>45170</v>
      </c>
      <c r="H15" s="79">
        <v>45261</v>
      </c>
      <c r="I15" s="79">
        <v>45352</v>
      </c>
      <c r="J15" s="79">
        <v>45444</v>
      </c>
      <c r="K15" s="79">
        <v>45536</v>
      </c>
      <c r="L15" s="79">
        <v>45627</v>
      </c>
      <c r="M15" s="79">
        <v>45658</v>
      </c>
      <c r="N15" s="79">
        <v>45689</v>
      </c>
      <c r="O15" s="79">
        <v>45717</v>
      </c>
      <c r="P15" s="79">
        <v>45748</v>
      </c>
      <c r="Q15" s="79">
        <v>45778</v>
      </c>
      <c r="R15" s="79">
        <v>45809</v>
      </c>
      <c r="S15" s="79">
        <v>45839</v>
      </c>
      <c r="T15" s="79">
        <v>45870</v>
      </c>
      <c r="U15" s="80">
        <v>45901</v>
      </c>
      <c r="V15" s="80">
        <v>45931</v>
      </c>
      <c r="W15" s="80">
        <v>45931</v>
      </c>
      <c r="X15" s="80">
        <v>45992</v>
      </c>
      <c r="Y15" s="80">
        <v>46023</v>
      </c>
      <c r="Z15" s="80">
        <v>46054</v>
      </c>
    </row>
    <row r="16" spans="1:27" ht="16" x14ac:dyDescent="0.2">
      <c r="A16" s="92" t="s">
        <v>293</v>
      </c>
      <c r="B16" s="82">
        <v>2339000</v>
      </c>
      <c r="C16" s="82">
        <v>3307000</v>
      </c>
      <c r="D16" s="82">
        <v>5406000</v>
      </c>
      <c r="E16" s="82">
        <v>4330000</v>
      </c>
      <c r="F16" s="82">
        <v>4512000</v>
      </c>
      <c r="G16" s="82">
        <v>4995000</v>
      </c>
      <c r="H16" s="82">
        <v>6718000</v>
      </c>
      <c r="I16" s="82">
        <v>5575000</v>
      </c>
      <c r="J16" s="82">
        <v>5215000</v>
      </c>
      <c r="K16" s="82">
        <v>6889000</v>
      </c>
      <c r="L16" s="82">
        <v>11052000</v>
      </c>
      <c r="M16" s="82">
        <v>10315000</v>
      </c>
      <c r="N16" s="82">
        <v>10349000</v>
      </c>
      <c r="O16" s="82">
        <v>10201000</v>
      </c>
      <c r="P16" s="82">
        <v>6418014</v>
      </c>
      <c r="Q16" s="82"/>
      <c r="R16" s="82">
        <v>3424000</v>
      </c>
      <c r="U16" s="83">
        <v>4130000</v>
      </c>
      <c r="V16" s="83"/>
      <c r="W16" s="83"/>
      <c r="X16" s="83"/>
      <c r="Y16" s="83">
        <v>5222000</v>
      </c>
      <c r="Z16" s="83">
        <v>7042000</v>
      </c>
    </row>
    <row r="17" spans="1:27" ht="16" x14ac:dyDescent="0.2">
      <c r="A17" s="92" t="s">
        <v>294</v>
      </c>
      <c r="B17" s="82">
        <v>4458000</v>
      </c>
      <c r="C17" s="82">
        <v>5356000</v>
      </c>
      <c r="D17" s="82">
        <v>4906000</v>
      </c>
      <c r="E17" s="82">
        <v>7587000</v>
      </c>
      <c r="F17" s="82">
        <v>7267000</v>
      </c>
      <c r="G17" s="82">
        <v>6142000</v>
      </c>
      <c r="H17" s="82">
        <v>6825000</v>
      </c>
      <c r="I17" s="82">
        <v>8451000</v>
      </c>
      <c r="J17" s="82">
        <v>9034000</v>
      </c>
      <c r="K17" s="82">
        <v>8643000</v>
      </c>
      <c r="L17" s="82">
        <v>7734000</v>
      </c>
      <c r="M17" s="82">
        <v>7538000</v>
      </c>
      <c r="N17" s="82">
        <v>7236000</v>
      </c>
      <c r="O17" s="82">
        <v>7543000</v>
      </c>
      <c r="P17" s="82">
        <v>10336837</v>
      </c>
      <c r="Q17" s="82"/>
      <c r="R17" s="82">
        <v>11544000</v>
      </c>
      <c r="U17" s="83">
        <v>7770000</v>
      </c>
      <c r="V17" s="83"/>
      <c r="W17" s="83"/>
      <c r="X17" s="83"/>
      <c r="Y17" s="83">
        <v>7943000</v>
      </c>
      <c r="Z17" s="83">
        <v>10938000</v>
      </c>
    </row>
    <row r="18" spans="1:27" ht="16" x14ac:dyDescent="0.2">
      <c r="A18" s="92" t="s">
        <v>295</v>
      </c>
      <c r="B18" s="82">
        <v>6524000</v>
      </c>
      <c r="C18" s="82">
        <v>8079000</v>
      </c>
      <c r="D18" s="82">
        <v>10063000</v>
      </c>
      <c r="E18" s="82">
        <v>11779000</v>
      </c>
      <c r="F18" s="82">
        <v>11608000</v>
      </c>
      <c r="G18" s="82">
        <v>10980000</v>
      </c>
      <c r="H18" s="82">
        <v>13791000</v>
      </c>
      <c r="I18" s="82">
        <v>13851000</v>
      </c>
      <c r="J18" s="82">
        <v>13566000</v>
      </c>
      <c r="K18" s="82">
        <v>15240000</v>
      </c>
      <c r="L18" s="82">
        <v>17276000</v>
      </c>
      <c r="M18" s="82">
        <v>13842000</v>
      </c>
      <c r="N18" s="82">
        <v>17655000</v>
      </c>
      <c r="O18" s="82">
        <v>18747000</v>
      </c>
      <c r="P18" s="82">
        <v>17709968</v>
      </c>
      <c r="Q18" s="82"/>
      <c r="R18" s="82">
        <v>0</v>
      </c>
      <c r="U18" s="83">
        <v>12210000</v>
      </c>
      <c r="V18" s="83"/>
      <c r="W18" s="83"/>
      <c r="X18" s="83"/>
      <c r="Y18" s="83">
        <v>13241000</v>
      </c>
      <c r="Z18" s="83">
        <v>17906000</v>
      </c>
    </row>
    <row r="19" spans="1:27" ht="16" x14ac:dyDescent="0.2">
      <c r="A19" s="92" t="s">
        <v>296</v>
      </c>
      <c r="B19" s="82">
        <v>97373000</v>
      </c>
      <c r="C19" s="82">
        <v>100058000</v>
      </c>
      <c r="D19" s="82">
        <v>111072000</v>
      </c>
      <c r="E19" s="82">
        <v>116535000</v>
      </c>
      <c r="F19" s="82">
        <v>119344000</v>
      </c>
      <c r="G19" s="82">
        <v>130759000</v>
      </c>
      <c r="H19" s="82">
        <v>136571000</v>
      </c>
      <c r="I19" s="82">
        <v>152097000</v>
      </c>
      <c r="J19" s="82">
        <v>152920000</v>
      </c>
      <c r="K19" s="82">
        <v>160492000</v>
      </c>
      <c r="L19" s="82">
        <v>173957000</v>
      </c>
      <c r="M19" s="82">
        <v>175565000</v>
      </c>
      <c r="N19" s="82">
        <v>173917000</v>
      </c>
      <c r="O19" s="82">
        <v>184923000</v>
      </c>
      <c r="P19" s="82">
        <v>194537486</v>
      </c>
      <c r="Q19" s="82"/>
      <c r="R19" s="82">
        <v>202657000</v>
      </c>
      <c r="U19" s="83">
        <v>204013000</v>
      </c>
      <c r="V19" s="83"/>
      <c r="W19" s="83"/>
      <c r="X19" s="83"/>
      <c r="Y19" s="83">
        <v>196293000</v>
      </c>
      <c r="Z19" s="83">
        <v>196245000</v>
      </c>
    </row>
    <row r="20" spans="1:27" ht="16" x14ac:dyDescent="0.2">
      <c r="A20" s="84" t="s">
        <v>297</v>
      </c>
      <c r="B20" s="85">
        <f t="shared" ref="B20:L20" si="7">(B2/B14*12)/B19</f>
        <v>6.2255450689616215E-2</v>
      </c>
      <c r="C20" s="85">
        <f t="shared" si="7"/>
        <v>6.8586886272628531E-2</v>
      </c>
      <c r="D20" s="85">
        <f t="shared" si="7"/>
        <v>6.509291270527226E-2</v>
      </c>
      <c r="E20" s="85">
        <f t="shared" si="7"/>
        <v>7.5479469687218428E-2</v>
      </c>
      <c r="F20" s="85">
        <f t="shared" si="7"/>
        <v>4.9839120525539619E-2</v>
      </c>
      <c r="G20" s="85">
        <f t="shared" si="7"/>
        <v>4.9658787030593184E-2</v>
      </c>
      <c r="H20" s="85">
        <f t="shared" si="7"/>
        <v>5.1811878070747081E-2</v>
      </c>
      <c r="I20" s="85">
        <f t="shared" si="7"/>
        <v>6.6247197512113984E-2</v>
      </c>
      <c r="J20" s="85">
        <f t="shared" si="7"/>
        <v>7.4496468741825791E-2</v>
      </c>
      <c r="K20" s="85">
        <f t="shared" si="7"/>
        <v>7.3723300849886597E-2</v>
      </c>
      <c r="L20" s="85">
        <f t="shared" si="7"/>
        <v>7.0431198514575438E-2</v>
      </c>
      <c r="M20" s="85">
        <f t="shared" ref="M20:R20" si="8">(M2*12)/M19</f>
        <v>6.8214051775695617E-2</v>
      </c>
      <c r="N20" s="85">
        <f t="shared" si="8"/>
        <v>6.6169494643996851E-2</v>
      </c>
      <c r="O20" s="85">
        <f t="shared" si="8"/>
        <v>9.2665595950747068E-2</v>
      </c>
      <c r="P20" s="85">
        <f t="shared" si="8"/>
        <v>0.11771218221664487</v>
      </c>
      <c r="Q20" s="85" t="e">
        <f t="shared" si="8"/>
        <v>#DIV/0!</v>
      </c>
      <c r="R20" s="85">
        <f t="shared" si="8"/>
        <v>9.2668569849548757E-2</v>
      </c>
      <c r="S20" s="86"/>
      <c r="T20" s="86"/>
      <c r="U20" s="85">
        <f t="shared" ref="U20:Z20" si="9">(U2*12)/U19</f>
        <v>0.1020945045658856</v>
      </c>
      <c r="V20" s="85" t="e">
        <f t="shared" si="9"/>
        <v>#DIV/0!</v>
      </c>
      <c r="W20" s="85" t="e">
        <f t="shared" si="9"/>
        <v>#DIV/0!</v>
      </c>
      <c r="X20" s="85" t="e">
        <f t="shared" si="9"/>
        <v>#DIV/0!</v>
      </c>
      <c r="Y20" s="85">
        <f>(Y2*12)/Y19</f>
        <v>6.4373156454891417E-2</v>
      </c>
      <c r="Z20" s="85">
        <f t="shared" si="9"/>
        <v>0.13110142933577926</v>
      </c>
      <c r="AA20" s="86"/>
    </row>
    <row r="21" spans="1:27" ht="15.75" customHeight="1" x14ac:dyDescent="0.2">
      <c r="A21" s="92" t="s">
        <v>298</v>
      </c>
      <c r="B21" s="82">
        <v>117285000</v>
      </c>
      <c r="C21" s="82">
        <v>125400000</v>
      </c>
      <c r="D21" s="82">
        <v>134270000</v>
      </c>
      <c r="E21" s="82">
        <v>151502000</v>
      </c>
      <c r="F21" s="82">
        <v>166160000</v>
      </c>
      <c r="G21" s="82">
        <v>186115000</v>
      </c>
      <c r="H21" s="82">
        <v>203482000</v>
      </c>
      <c r="I21" s="82">
        <v>198647000</v>
      </c>
      <c r="J21" s="82">
        <v>208366000</v>
      </c>
      <c r="K21" s="82">
        <v>216152000</v>
      </c>
      <c r="L21" s="82">
        <v>231653000</v>
      </c>
      <c r="M21" s="82">
        <v>233750000</v>
      </c>
      <c r="N21" s="82">
        <v>242718000</v>
      </c>
      <c r="O21" s="82">
        <v>247111000</v>
      </c>
      <c r="P21" s="82">
        <v>253062289</v>
      </c>
      <c r="Q21" s="82"/>
      <c r="R21" s="82">
        <v>271081000</v>
      </c>
      <c r="U21" s="83">
        <v>270589000</v>
      </c>
      <c r="V21" s="83"/>
      <c r="W21" s="83"/>
      <c r="X21" s="83"/>
      <c r="Y21" s="83">
        <v>252127000</v>
      </c>
      <c r="Z21" s="83">
        <v>252751000</v>
      </c>
    </row>
    <row r="22" spans="1:27" ht="15.75" customHeight="1" x14ac:dyDescent="0.2">
      <c r="A22" s="93" t="s">
        <v>299</v>
      </c>
      <c r="B22" s="88">
        <v>227979000</v>
      </c>
      <c r="C22" s="88">
        <v>242200000</v>
      </c>
      <c r="D22" s="88">
        <v>265717000</v>
      </c>
      <c r="E22" s="88">
        <v>291733000</v>
      </c>
      <c r="F22" s="88">
        <v>308891000</v>
      </c>
      <c r="G22" s="88">
        <v>338991000</v>
      </c>
      <c r="H22" s="88">
        <v>367387000</v>
      </c>
      <c r="I22" s="88">
        <v>378621000</v>
      </c>
      <c r="J22" s="88">
        <v>389101000</v>
      </c>
      <c r="K22" s="88">
        <v>407416000</v>
      </c>
      <c r="L22" s="88">
        <f t="shared" ref="L22:R22" si="10">L21+L19+L18+L17+L16</f>
        <v>441672000</v>
      </c>
      <c r="M22" s="88">
        <f t="shared" si="10"/>
        <v>441010000</v>
      </c>
      <c r="N22" s="88">
        <f t="shared" si="10"/>
        <v>451875000</v>
      </c>
      <c r="O22" s="88">
        <f t="shared" si="10"/>
        <v>468525000</v>
      </c>
      <c r="P22" s="88">
        <f t="shared" si="10"/>
        <v>482064594</v>
      </c>
      <c r="Q22" s="88">
        <f t="shared" si="10"/>
        <v>0</v>
      </c>
      <c r="R22" s="88">
        <f t="shared" si="10"/>
        <v>488706000</v>
      </c>
      <c r="U22" s="88">
        <f t="shared" ref="U22:Z22" si="11">U21+U19+U18+U17+U16</f>
        <v>498712000</v>
      </c>
      <c r="V22" s="88">
        <f t="shared" si="11"/>
        <v>0</v>
      </c>
      <c r="W22" s="88">
        <f t="shared" si="11"/>
        <v>0</v>
      </c>
      <c r="X22" s="88">
        <f t="shared" si="11"/>
        <v>0</v>
      </c>
      <c r="Y22" s="88">
        <f t="shared" si="11"/>
        <v>474826000</v>
      </c>
      <c r="Z22" s="88">
        <f t="shared" si="11"/>
        <v>484882000</v>
      </c>
    </row>
    <row r="23" spans="1:27" ht="15.75" customHeight="1" x14ac:dyDescent="0.2">
      <c r="M23" s="94">
        <v>1</v>
      </c>
      <c r="N23" s="94">
        <v>2</v>
      </c>
    </row>
    <row r="24" spans="1:27" ht="15.75" customHeight="1" x14ac:dyDescent="0.2">
      <c r="A24" s="78" t="s">
        <v>300</v>
      </c>
      <c r="B24" s="79">
        <v>44713</v>
      </c>
      <c r="C24" s="79">
        <v>44805</v>
      </c>
      <c r="D24" s="79">
        <v>44896</v>
      </c>
      <c r="E24" s="79">
        <v>44986</v>
      </c>
      <c r="F24" s="79">
        <v>45078</v>
      </c>
      <c r="G24" s="79">
        <v>45170</v>
      </c>
      <c r="H24" s="79">
        <v>45261</v>
      </c>
      <c r="I24" s="79">
        <v>45352</v>
      </c>
      <c r="J24" s="79">
        <v>45444</v>
      </c>
      <c r="K24" s="79">
        <v>45536</v>
      </c>
      <c r="L24" s="79">
        <v>45627</v>
      </c>
      <c r="M24" s="79">
        <v>45658</v>
      </c>
      <c r="N24" s="79">
        <v>45689</v>
      </c>
      <c r="O24" s="79">
        <v>45717</v>
      </c>
      <c r="P24" s="79">
        <v>45748</v>
      </c>
      <c r="Q24" s="79">
        <v>45778</v>
      </c>
      <c r="R24" s="79">
        <v>45809</v>
      </c>
      <c r="S24" s="79">
        <v>45839</v>
      </c>
      <c r="T24" s="79">
        <v>45870</v>
      </c>
      <c r="U24" s="80">
        <v>45901</v>
      </c>
      <c r="V24" s="80">
        <v>45931</v>
      </c>
      <c r="W24" s="80">
        <v>45931</v>
      </c>
      <c r="X24" s="80">
        <v>45992</v>
      </c>
      <c r="Y24" s="80">
        <v>46023</v>
      </c>
      <c r="Z24" s="80">
        <v>46054</v>
      </c>
    </row>
    <row r="25" spans="1:27" ht="15.75" customHeight="1" x14ac:dyDescent="0.2">
      <c r="A25" s="92" t="s">
        <v>301</v>
      </c>
      <c r="B25" s="82">
        <v>544000</v>
      </c>
      <c r="C25" s="82">
        <v>6371000</v>
      </c>
      <c r="D25" s="82">
        <v>1962000</v>
      </c>
      <c r="E25" s="82">
        <v>3241000</v>
      </c>
      <c r="F25" s="82">
        <v>2397000</v>
      </c>
      <c r="G25" s="82">
        <v>3151000</v>
      </c>
      <c r="H25" s="82">
        <v>945000</v>
      </c>
      <c r="I25" s="82">
        <v>113000</v>
      </c>
      <c r="J25" s="82">
        <v>634000</v>
      </c>
      <c r="K25" s="82">
        <v>458000</v>
      </c>
      <c r="L25" s="82">
        <v>334000</v>
      </c>
      <c r="M25" s="82">
        <v>678000</v>
      </c>
      <c r="N25" s="82">
        <v>65000</v>
      </c>
      <c r="O25" s="82">
        <v>443000</v>
      </c>
      <c r="P25" s="82">
        <v>279981</v>
      </c>
      <c r="Q25" s="82">
        <v>1501430.3</v>
      </c>
      <c r="R25" s="82">
        <v>253000</v>
      </c>
      <c r="S25" s="82">
        <v>661157.80000000005</v>
      </c>
      <c r="T25" s="82">
        <v>62726.5</v>
      </c>
      <c r="U25" s="83">
        <v>121000</v>
      </c>
      <c r="V25" s="83">
        <v>401123.31</v>
      </c>
      <c r="W25" s="83">
        <v>687768.41</v>
      </c>
      <c r="X25" s="83">
        <v>290091.79999957402</v>
      </c>
      <c r="Y25" s="83">
        <v>160000</v>
      </c>
      <c r="Z25" s="83">
        <v>813000</v>
      </c>
    </row>
    <row r="26" spans="1:27" ht="15.75" customHeight="1" x14ac:dyDescent="0.2">
      <c r="A26" s="92" t="s">
        <v>302</v>
      </c>
      <c r="B26" s="82">
        <v>6209000</v>
      </c>
      <c r="C26" s="82">
        <v>6678000</v>
      </c>
      <c r="D26" s="82">
        <v>6905000</v>
      </c>
      <c r="E26" s="82">
        <v>6430000</v>
      </c>
      <c r="F26" s="82">
        <v>6187000</v>
      </c>
      <c r="G26" s="82">
        <v>1298000</v>
      </c>
      <c r="H26" s="82">
        <v>1996000</v>
      </c>
      <c r="I26" s="82">
        <v>1476000</v>
      </c>
      <c r="J26" s="82">
        <v>1516000</v>
      </c>
      <c r="K26" s="82">
        <v>6208000</v>
      </c>
      <c r="L26" s="82">
        <v>25517000</v>
      </c>
      <c r="M26" s="82">
        <v>24388000</v>
      </c>
      <c r="N26" s="82">
        <v>24356000</v>
      </c>
      <c r="O26" s="82">
        <v>38503000</v>
      </c>
      <c r="P26" s="89">
        <v>50875285</v>
      </c>
      <c r="Q26" s="89">
        <v>50875229.590000004</v>
      </c>
      <c r="R26" s="82">
        <v>61878000</v>
      </c>
      <c r="S26" s="82">
        <v>72564876.739999995</v>
      </c>
      <c r="T26" s="82">
        <v>72334954.549999997</v>
      </c>
      <c r="U26" s="83">
        <v>69199000</v>
      </c>
      <c r="V26" s="83">
        <v>77800817.459999993</v>
      </c>
      <c r="W26" s="83">
        <v>72500789.700000003</v>
      </c>
      <c r="X26" s="83">
        <v>64999893.120000049</v>
      </c>
      <c r="Y26" s="83">
        <v>63365000</v>
      </c>
      <c r="Z26" s="83">
        <v>61408000</v>
      </c>
    </row>
    <row r="27" spans="1:27" ht="15.75" customHeight="1" x14ac:dyDescent="0.2">
      <c r="A27" s="92" t="s">
        <v>303</v>
      </c>
      <c r="B27" s="82">
        <v>-1683000</v>
      </c>
      <c r="C27" s="82">
        <v>-1495000</v>
      </c>
      <c r="D27" s="82">
        <v>-1548000</v>
      </c>
      <c r="E27" s="82">
        <v>-1550000</v>
      </c>
      <c r="F27" s="82">
        <v>-1221000</v>
      </c>
      <c r="G27" s="82">
        <v>-403000</v>
      </c>
      <c r="H27" s="82">
        <v>-403000</v>
      </c>
      <c r="I27" s="82">
        <v>-403000</v>
      </c>
      <c r="J27" s="82">
        <v>-403000</v>
      </c>
      <c r="K27" s="82">
        <v>-403000</v>
      </c>
      <c r="L27" s="82">
        <v>-403000</v>
      </c>
      <c r="M27" s="82">
        <v>-403000</v>
      </c>
      <c r="N27" s="82">
        <v>-403000</v>
      </c>
      <c r="O27" s="89">
        <v>-2503000</v>
      </c>
      <c r="P27" s="82">
        <v>-2503265</v>
      </c>
      <c r="Q27" s="82">
        <v>-3227863.73</v>
      </c>
      <c r="R27" s="82">
        <v>-4209000</v>
      </c>
      <c r="S27" s="82">
        <v>-4209174.63</v>
      </c>
      <c r="T27" s="82">
        <v>-5199547.99</v>
      </c>
      <c r="U27" s="83">
        <v>-5200000</v>
      </c>
      <c r="V27" s="83">
        <v>-5199547.99</v>
      </c>
      <c r="W27" s="83">
        <v>-5675777.4100000001</v>
      </c>
      <c r="X27" s="83">
        <v>-5675777.4100000001</v>
      </c>
      <c r="Y27" s="83">
        <v>-5676000</v>
      </c>
      <c r="Z27" s="83">
        <v>-5676000</v>
      </c>
    </row>
    <row r="28" spans="1:27" ht="15.75" customHeight="1" x14ac:dyDescent="0.2">
      <c r="A28" s="92" t="s">
        <v>209</v>
      </c>
      <c r="B28" s="82">
        <v>325000</v>
      </c>
      <c r="C28" s="82">
        <v>1231000</v>
      </c>
      <c r="D28" s="82">
        <v>6980000</v>
      </c>
      <c r="E28" s="82">
        <v>7253000</v>
      </c>
      <c r="F28" s="82">
        <v>7160000</v>
      </c>
      <c r="G28" s="82">
        <v>11824000</v>
      </c>
      <c r="H28" s="82">
        <v>11779000</v>
      </c>
      <c r="I28" s="82">
        <v>11677000</v>
      </c>
      <c r="J28" s="82">
        <v>11821000</v>
      </c>
      <c r="K28" s="82">
        <v>11405000</v>
      </c>
      <c r="L28" s="82">
        <v>11266000</v>
      </c>
      <c r="M28" s="82">
        <v>11398000</v>
      </c>
      <c r="N28" s="82">
        <v>13552000</v>
      </c>
      <c r="O28" s="82">
        <v>12011000</v>
      </c>
      <c r="P28" s="82">
        <v>12321419</v>
      </c>
      <c r="Q28" s="82">
        <v>12473028.689999999</v>
      </c>
      <c r="R28" s="82">
        <v>11183000</v>
      </c>
      <c r="S28" s="82">
        <v>11623339</v>
      </c>
      <c r="T28" s="82">
        <v>12428383.68</v>
      </c>
      <c r="U28" s="83">
        <v>13152000</v>
      </c>
      <c r="V28" s="83">
        <v>13035760.869999999</v>
      </c>
      <c r="W28" s="83">
        <v>11717400.369999999</v>
      </c>
      <c r="X28" s="83">
        <v>12311004.459999956</v>
      </c>
      <c r="Y28" s="83">
        <v>12186000</v>
      </c>
      <c r="Z28" s="83">
        <v>12264000</v>
      </c>
    </row>
    <row r="29" spans="1:27" ht="15.75" customHeight="1" x14ac:dyDescent="0.2">
      <c r="A29" s="92" t="s">
        <v>211</v>
      </c>
      <c r="B29" s="82">
        <v>1630000</v>
      </c>
      <c r="C29" s="82">
        <v>2000000</v>
      </c>
      <c r="D29" s="82">
        <v>2472000</v>
      </c>
      <c r="E29" s="82">
        <v>1696000</v>
      </c>
      <c r="F29" s="82">
        <v>1675000</v>
      </c>
      <c r="G29" s="82">
        <v>1529000</v>
      </c>
      <c r="H29" s="82">
        <v>1549000</v>
      </c>
      <c r="I29" s="82">
        <v>1511000</v>
      </c>
      <c r="J29" s="82">
        <v>1460000</v>
      </c>
      <c r="K29" s="82">
        <v>1419000</v>
      </c>
      <c r="L29" s="82">
        <v>1382000</v>
      </c>
      <c r="M29" s="82">
        <v>1617000</v>
      </c>
      <c r="N29" s="82">
        <v>1450000</v>
      </c>
      <c r="O29" s="82">
        <v>2747000</v>
      </c>
      <c r="P29" s="82">
        <v>4619536</v>
      </c>
      <c r="Q29" s="82">
        <f>2271537.47+3494711.12+1037057.22</f>
        <v>6803305.8099999996</v>
      </c>
      <c r="R29" s="82">
        <v>7792000</v>
      </c>
      <c r="S29" s="82">
        <v>4781463.68</v>
      </c>
      <c r="T29" s="82">
        <v>5390587.6100000003</v>
      </c>
      <c r="U29" s="83">
        <v>6322000</v>
      </c>
      <c r="V29" s="83">
        <v>7862888.9900000002</v>
      </c>
      <c r="W29" s="83">
        <v>7908494.3799999999</v>
      </c>
      <c r="X29" s="83">
        <v>10047809.969999999</v>
      </c>
      <c r="Y29" s="83">
        <v>11203000</v>
      </c>
      <c r="Z29" s="83">
        <v>12406000</v>
      </c>
    </row>
    <row r="30" spans="1:27" ht="15.75" customHeight="1" x14ac:dyDescent="0.2">
      <c r="A30" s="92" t="s">
        <v>213</v>
      </c>
      <c r="B30" s="82">
        <v>132000</v>
      </c>
      <c r="C30" s="82">
        <v>114000</v>
      </c>
      <c r="D30" s="82">
        <v>96000</v>
      </c>
      <c r="E30" s="82">
        <v>109000</v>
      </c>
      <c r="F30" s="82">
        <v>180000</v>
      </c>
      <c r="G30" s="82">
        <v>174000</v>
      </c>
      <c r="H30" s="82">
        <v>207000</v>
      </c>
      <c r="I30" s="82">
        <v>208000</v>
      </c>
      <c r="J30" s="82">
        <v>210000</v>
      </c>
      <c r="K30" s="82">
        <v>208000</v>
      </c>
      <c r="L30" s="82">
        <v>238000</v>
      </c>
      <c r="M30" s="82">
        <v>235000</v>
      </c>
      <c r="N30" s="82">
        <v>232000</v>
      </c>
      <c r="O30" s="82">
        <v>243000</v>
      </c>
      <c r="P30" s="82">
        <v>242599</v>
      </c>
      <c r="Q30" s="82">
        <v>642052.93000000005</v>
      </c>
      <c r="R30" s="82">
        <v>300000</v>
      </c>
      <c r="S30" s="82">
        <v>656383.1</v>
      </c>
      <c r="T30" s="82">
        <v>656383.1</v>
      </c>
      <c r="U30" s="83">
        <v>301000</v>
      </c>
      <c r="V30" s="83">
        <v>684494.31</v>
      </c>
      <c r="W30" s="83">
        <v>684494.31</v>
      </c>
      <c r="X30" s="83">
        <v>684494.30999999959</v>
      </c>
      <c r="Y30" s="83">
        <v>452000</v>
      </c>
      <c r="Z30" s="83">
        <v>394000</v>
      </c>
    </row>
    <row r="31" spans="1:27" ht="15.75" customHeight="1" x14ac:dyDescent="0.2">
      <c r="A31" s="92" t="s">
        <v>304</v>
      </c>
      <c r="B31" s="82"/>
      <c r="C31" s="82"/>
      <c r="D31" s="82"/>
      <c r="E31" s="82"/>
      <c r="F31" s="82"/>
      <c r="G31" s="82"/>
      <c r="H31" s="82"/>
      <c r="I31" s="82"/>
      <c r="J31" s="82"/>
      <c r="K31" s="82"/>
      <c r="L31" s="82"/>
      <c r="M31" s="82"/>
      <c r="N31" s="82"/>
      <c r="O31" s="82"/>
      <c r="P31" s="82"/>
      <c r="Q31" s="82">
        <v>-354157.06</v>
      </c>
      <c r="R31" s="82">
        <v>0</v>
      </c>
      <c r="S31" s="82">
        <v>-354947.44</v>
      </c>
      <c r="T31" s="82">
        <v>-355342.63</v>
      </c>
      <c r="U31" s="83">
        <v>0</v>
      </c>
      <c r="V31" s="83">
        <v>-356133.01</v>
      </c>
      <c r="W31" s="83">
        <v>-356528.2</v>
      </c>
      <c r="X31" s="83">
        <v>-356923.39000000007</v>
      </c>
      <c r="Y31" s="83">
        <v>0</v>
      </c>
    </row>
    <row r="32" spans="1:27" ht="15.75" customHeight="1" x14ac:dyDescent="0.2">
      <c r="A32" s="92" t="s">
        <v>305</v>
      </c>
      <c r="B32" s="82">
        <v>505000</v>
      </c>
      <c r="C32" s="82">
        <v>449000</v>
      </c>
      <c r="D32" s="82">
        <v>520000</v>
      </c>
      <c r="E32" s="82">
        <v>521000</v>
      </c>
      <c r="F32" s="82">
        <v>366000</v>
      </c>
      <c r="G32" s="82">
        <v>346000</v>
      </c>
      <c r="H32" s="82">
        <v>268000</v>
      </c>
      <c r="I32" s="82">
        <v>346000</v>
      </c>
      <c r="J32" s="82">
        <v>346000</v>
      </c>
      <c r="K32" s="82">
        <v>346000</v>
      </c>
      <c r="L32" s="82">
        <v>346000</v>
      </c>
      <c r="M32" s="82">
        <v>346000</v>
      </c>
      <c r="N32" s="82">
        <v>346000</v>
      </c>
      <c r="O32" s="82">
        <v>1082000</v>
      </c>
      <c r="P32" s="82">
        <v>1082189</v>
      </c>
      <c r="Q32" s="82">
        <v>1082189.3</v>
      </c>
      <c r="R32" s="82">
        <v>1082000</v>
      </c>
      <c r="S32" s="82">
        <v>1082189.3</v>
      </c>
      <c r="T32" s="82">
        <v>1082189.3</v>
      </c>
      <c r="U32" s="83">
        <v>1082000</v>
      </c>
      <c r="V32" s="83">
        <v>1082189.3</v>
      </c>
      <c r="W32" s="83">
        <v>1082189.3</v>
      </c>
      <c r="X32" s="83">
        <v>1082189.3</v>
      </c>
      <c r="Y32" s="83">
        <v>1361000</v>
      </c>
      <c r="Z32" s="83">
        <v>1669000</v>
      </c>
    </row>
    <row r="33" spans="1:26" ht="15.75" customHeight="1" x14ac:dyDescent="0.2">
      <c r="A33" s="93" t="s">
        <v>306</v>
      </c>
      <c r="B33" s="88">
        <f t="shared" ref="B33:Z33" si="12">SUM(B25:B32)</f>
        <v>7662000</v>
      </c>
      <c r="C33" s="88">
        <f t="shared" si="12"/>
        <v>15348000</v>
      </c>
      <c r="D33" s="88">
        <f t="shared" si="12"/>
        <v>17387000</v>
      </c>
      <c r="E33" s="88">
        <f t="shared" si="12"/>
        <v>17700000</v>
      </c>
      <c r="F33" s="88">
        <f t="shared" si="12"/>
        <v>16744000</v>
      </c>
      <c r="G33" s="88">
        <f t="shared" si="12"/>
        <v>17919000</v>
      </c>
      <c r="H33" s="88">
        <f t="shared" si="12"/>
        <v>16341000</v>
      </c>
      <c r="I33" s="88">
        <f t="shared" si="12"/>
        <v>14928000</v>
      </c>
      <c r="J33" s="88">
        <f t="shared" si="12"/>
        <v>15584000</v>
      </c>
      <c r="K33" s="88">
        <f t="shared" si="12"/>
        <v>19641000</v>
      </c>
      <c r="L33" s="88">
        <f t="shared" si="12"/>
        <v>38680000</v>
      </c>
      <c r="M33" s="88">
        <f t="shared" si="12"/>
        <v>38259000</v>
      </c>
      <c r="N33" s="88">
        <f t="shared" si="12"/>
        <v>39598000</v>
      </c>
      <c r="O33" s="88">
        <f t="shared" si="12"/>
        <v>52526000</v>
      </c>
      <c r="P33" s="88">
        <f t="shared" si="12"/>
        <v>66917744</v>
      </c>
      <c r="Q33" s="88">
        <f t="shared" si="12"/>
        <v>69795215.829999998</v>
      </c>
      <c r="R33" s="88">
        <f t="shared" si="12"/>
        <v>78279000</v>
      </c>
      <c r="S33" s="88">
        <f t="shared" si="12"/>
        <v>86805287.549999997</v>
      </c>
      <c r="T33" s="88">
        <f t="shared" si="12"/>
        <v>86400334.120000005</v>
      </c>
      <c r="U33" s="88">
        <f t="shared" si="12"/>
        <v>84977000</v>
      </c>
      <c r="V33" s="88">
        <f t="shared" si="12"/>
        <v>95311593.239999995</v>
      </c>
      <c r="W33" s="88">
        <f t="shared" si="12"/>
        <v>88548830.859999999</v>
      </c>
      <c r="X33" s="88">
        <f t="shared" si="12"/>
        <v>83382782.159999579</v>
      </c>
      <c r="Y33" s="88">
        <f t="shared" si="12"/>
        <v>83051000</v>
      </c>
      <c r="Z33" s="88">
        <f t="shared" si="12"/>
        <v>83278000</v>
      </c>
    </row>
    <row r="34" spans="1:26" ht="15.75" customHeight="1" x14ac:dyDescent="0.2">
      <c r="A34" s="92"/>
      <c r="B34" s="82"/>
      <c r="C34" s="82"/>
      <c r="D34" s="82"/>
      <c r="E34" s="82"/>
      <c r="F34" s="82"/>
      <c r="G34" s="82"/>
      <c r="H34" s="82"/>
      <c r="I34" s="82"/>
      <c r="J34" s="82"/>
      <c r="K34" s="82"/>
      <c r="L34" s="82"/>
    </row>
    <row r="35" spans="1:26" ht="15.75" customHeight="1" x14ac:dyDescent="0.2">
      <c r="A35" s="92" t="s">
        <v>307</v>
      </c>
      <c r="B35" s="82">
        <v>1058000</v>
      </c>
      <c r="C35" s="82">
        <v>115000</v>
      </c>
      <c r="D35" s="82">
        <v>17000</v>
      </c>
      <c r="E35" s="82">
        <v>50000</v>
      </c>
      <c r="F35" s="82">
        <v>89000</v>
      </c>
      <c r="G35" s="82">
        <v>142000</v>
      </c>
      <c r="H35" s="82">
        <v>114000</v>
      </c>
      <c r="I35" s="82">
        <v>255000</v>
      </c>
      <c r="J35" s="82">
        <v>59000</v>
      </c>
      <c r="K35" s="82">
        <v>139000</v>
      </c>
      <c r="L35" s="82">
        <v>60000</v>
      </c>
      <c r="M35" s="82">
        <v>75000</v>
      </c>
      <c r="N35" s="82">
        <v>358000</v>
      </c>
      <c r="O35" s="82">
        <v>0</v>
      </c>
      <c r="P35" s="82">
        <v>86288</v>
      </c>
      <c r="Q35" s="82">
        <v>164643.18</v>
      </c>
      <c r="R35" s="82">
        <v>81000</v>
      </c>
      <c r="S35" s="82">
        <v>119104.48</v>
      </c>
      <c r="T35" s="82">
        <v>101245.29</v>
      </c>
      <c r="U35" s="83">
        <v>374000</v>
      </c>
      <c r="V35" s="83">
        <v>178760.11</v>
      </c>
      <c r="W35" s="83">
        <v>72353.39</v>
      </c>
      <c r="X35" s="83">
        <v>66838.969999997935</v>
      </c>
      <c r="Y35" s="83">
        <v>378000</v>
      </c>
      <c r="Z35" s="83">
        <v>94000</v>
      </c>
    </row>
    <row r="36" spans="1:26" ht="15.75" customHeight="1" x14ac:dyDescent="0.2">
      <c r="A36" s="92" t="s">
        <v>308</v>
      </c>
      <c r="B36" s="82">
        <v>1477000</v>
      </c>
      <c r="C36" s="82">
        <v>10611000</v>
      </c>
      <c r="D36" s="82">
        <v>10405000</v>
      </c>
      <c r="E36" s="82">
        <v>9400000</v>
      </c>
      <c r="F36" s="82">
        <v>8803000</v>
      </c>
      <c r="G36" s="82">
        <v>8206000</v>
      </c>
      <c r="H36" s="82">
        <v>7609000</v>
      </c>
      <c r="I36" s="82">
        <v>7459000</v>
      </c>
      <c r="J36" s="82">
        <v>6862000</v>
      </c>
      <c r="K36" s="82">
        <v>11265000</v>
      </c>
      <c r="L36" s="82">
        <v>10465000</v>
      </c>
      <c r="M36" s="82">
        <v>10334000</v>
      </c>
      <c r="N36" s="82">
        <v>10465000</v>
      </c>
      <c r="O36" s="82">
        <v>24549000</v>
      </c>
      <c r="P36" s="82">
        <v>34468353</v>
      </c>
      <c r="Q36" s="82">
        <v>38468353.240000002</v>
      </c>
      <c r="R36" s="82">
        <v>47070000</v>
      </c>
      <c r="S36" s="89">
        <v>55574614.969999999</v>
      </c>
      <c r="T36" s="82">
        <f>55574614.97</f>
        <v>55574614.969999999</v>
      </c>
      <c r="U36" s="83">
        <v>55327000</v>
      </c>
      <c r="V36" s="83">
        <v>64675004.530000001</v>
      </c>
      <c r="W36" s="83">
        <v>59840977.829999998</v>
      </c>
      <c r="X36" s="83">
        <v>54586439.979999989</v>
      </c>
      <c r="Y36" s="83">
        <v>54268000</v>
      </c>
      <c r="Z36" s="83">
        <v>54268000</v>
      </c>
    </row>
    <row r="37" spans="1:26" ht="15.75" customHeight="1" x14ac:dyDescent="0.2">
      <c r="A37" s="92" t="s">
        <v>309</v>
      </c>
      <c r="B37" s="82">
        <v>95000</v>
      </c>
      <c r="C37" s="82">
        <v>155000</v>
      </c>
      <c r="D37" s="82">
        <v>497000</v>
      </c>
      <c r="E37" s="82">
        <v>450000</v>
      </c>
      <c r="F37" s="82">
        <v>316000</v>
      </c>
      <c r="G37" s="82">
        <v>461000</v>
      </c>
      <c r="H37" s="82">
        <v>348000</v>
      </c>
      <c r="I37" s="82">
        <v>633000</v>
      </c>
      <c r="J37" s="82">
        <v>1021000</v>
      </c>
      <c r="K37" s="82">
        <v>1011000</v>
      </c>
      <c r="L37" s="82">
        <v>1552000</v>
      </c>
      <c r="M37" s="82">
        <v>1563000</v>
      </c>
      <c r="N37" s="82">
        <v>2074000</v>
      </c>
      <c r="O37" s="82">
        <v>2501000</v>
      </c>
      <c r="P37" s="82">
        <v>3168518</v>
      </c>
      <c r="Q37" s="82">
        <v>3433525.28</v>
      </c>
      <c r="R37" s="82">
        <v>2454000</v>
      </c>
      <c r="S37" s="82">
        <v>2876758.83</v>
      </c>
      <c r="T37" s="82">
        <v>3492117.78</v>
      </c>
      <c r="U37" s="83">
        <v>3121000</v>
      </c>
      <c r="V37" s="83">
        <v>3759750</v>
      </c>
      <c r="W37" s="83">
        <v>3441035.39</v>
      </c>
      <c r="X37" s="83">
        <f>4483008.93-X38</f>
        <v>4250057.4399999985</v>
      </c>
      <c r="Y37" s="83">
        <v>4668000</v>
      </c>
      <c r="Z37" s="83">
        <v>5417000</v>
      </c>
    </row>
    <row r="38" spans="1:26" ht="15.75" customHeight="1" x14ac:dyDescent="0.2">
      <c r="A38" s="92" t="s">
        <v>310</v>
      </c>
      <c r="B38" s="82">
        <v>185000</v>
      </c>
      <c r="C38" s="82">
        <v>310000</v>
      </c>
      <c r="D38" s="82">
        <v>335000</v>
      </c>
      <c r="E38" s="82">
        <v>505000</v>
      </c>
      <c r="F38" s="82">
        <v>41000</v>
      </c>
      <c r="G38" s="82">
        <v>229000</v>
      </c>
      <c r="H38" s="82">
        <v>356000</v>
      </c>
      <c r="I38" s="82">
        <v>80000</v>
      </c>
      <c r="J38" s="82">
        <v>62000</v>
      </c>
      <c r="K38" s="82">
        <v>223000</v>
      </c>
      <c r="L38" s="82">
        <v>31000</v>
      </c>
      <c r="M38" s="82">
        <v>398000</v>
      </c>
      <c r="N38" s="82">
        <v>585000</v>
      </c>
      <c r="O38" s="82">
        <v>600000</v>
      </c>
      <c r="P38" s="82">
        <v>645113</v>
      </c>
      <c r="Q38" s="82">
        <v>669184.69999999995</v>
      </c>
      <c r="R38" s="82">
        <v>296000</v>
      </c>
      <c r="S38" s="82">
        <v>352413.85</v>
      </c>
      <c r="T38" s="82">
        <v>463869.94</v>
      </c>
      <c r="U38" s="83">
        <v>501000</v>
      </c>
      <c r="V38" s="83">
        <v>582334.27</v>
      </c>
      <c r="W38" s="83">
        <v>673578.63</v>
      </c>
      <c r="X38" s="83">
        <v>232951.49000000133</v>
      </c>
      <c r="Y38" s="83">
        <v>398000</v>
      </c>
      <c r="Z38" s="83">
        <v>508000</v>
      </c>
    </row>
    <row r="39" spans="1:26" ht="15.75" customHeight="1" x14ac:dyDescent="0.2">
      <c r="A39" s="92" t="s">
        <v>311</v>
      </c>
      <c r="B39" s="82">
        <v>0</v>
      </c>
      <c r="C39" s="82">
        <v>0</v>
      </c>
      <c r="D39" s="82">
        <v>0</v>
      </c>
      <c r="E39" s="82">
        <v>0</v>
      </c>
      <c r="F39" s="82">
        <v>0</v>
      </c>
      <c r="G39" s="82">
        <v>0</v>
      </c>
      <c r="H39" s="82">
        <v>0</v>
      </c>
      <c r="I39" s="82">
        <v>0</v>
      </c>
      <c r="J39" s="82">
        <v>2250000</v>
      </c>
      <c r="K39" s="82">
        <v>0</v>
      </c>
      <c r="L39" s="82">
        <v>0</v>
      </c>
      <c r="M39" s="82">
        <v>0</v>
      </c>
      <c r="N39" s="82">
        <v>0</v>
      </c>
      <c r="O39" s="82">
        <v>0</v>
      </c>
      <c r="R39" s="82">
        <v>0</v>
      </c>
      <c r="S39" s="82">
        <v>0</v>
      </c>
      <c r="T39" s="82">
        <v>0</v>
      </c>
      <c r="U39" s="83">
        <v>0</v>
      </c>
      <c r="V39" s="83">
        <v>0</v>
      </c>
      <c r="W39" s="83">
        <v>0</v>
      </c>
      <c r="X39" s="83">
        <v>0</v>
      </c>
      <c r="Y39" s="83">
        <v>0</v>
      </c>
    </row>
    <row r="40" spans="1:26" ht="15.75" customHeight="1" x14ac:dyDescent="0.2">
      <c r="A40" s="92" t="s">
        <v>312</v>
      </c>
      <c r="B40" s="82">
        <v>44000</v>
      </c>
      <c r="C40" s="82">
        <v>120000</v>
      </c>
      <c r="D40" s="82">
        <v>88000</v>
      </c>
      <c r="E40" s="82">
        <v>44000</v>
      </c>
      <c r="F40" s="82">
        <v>92000</v>
      </c>
      <c r="G40" s="82">
        <v>71000</v>
      </c>
      <c r="H40" s="82">
        <v>164000</v>
      </c>
      <c r="I40" s="82">
        <v>270000</v>
      </c>
      <c r="J40" s="82">
        <v>211000</v>
      </c>
      <c r="K40" s="82">
        <v>294000</v>
      </c>
      <c r="L40" s="82">
        <v>1094000</v>
      </c>
      <c r="M40" s="82">
        <v>1114000</v>
      </c>
      <c r="N40" s="82">
        <v>1485000</v>
      </c>
      <c r="O40" s="82">
        <v>1900000</v>
      </c>
      <c r="P40" s="82">
        <v>2355861</v>
      </c>
      <c r="Q40" s="82">
        <v>2720411.44</v>
      </c>
      <c r="R40" s="82">
        <v>2744000</v>
      </c>
      <c r="S40" s="82">
        <v>3021912.78</v>
      </c>
      <c r="T40" s="82">
        <v>3340183.86</v>
      </c>
      <c r="U40" s="83">
        <v>3268000</v>
      </c>
      <c r="V40" s="83">
        <v>3726144.4</v>
      </c>
      <c r="W40" s="83">
        <v>3808299.48</v>
      </c>
      <c r="X40" s="83">
        <v>4221361.9999999981</v>
      </c>
      <c r="Y40" s="83">
        <v>4732000</v>
      </c>
      <c r="Z40" s="83">
        <v>5272000</v>
      </c>
    </row>
    <row r="41" spans="1:26" ht="15.75" customHeight="1" x14ac:dyDescent="0.2">
      <c r="A41" s="92" t="s">
        <v>313</v>
      </c>
      <c r="B41" s="82">
        <v>0</v>
      </c>
      <c r="C41" s="82">
        <v>0</v>
      </c>
      <c r="D41" s="82">
        <v>0</v>
      </c>
      <c r="E41" s="82">
        <v>185000</v>
      </c>
      <c r="F41" s="82">
        <v>185000</v>
      </c>
      <c r="G41" s="82">
        <v>185000</v>
      </c>
      <c r="H41" s="82">
        <v>0</v>
      </c>
      <c r="I41" s="82">
        <v>232000</v>
      </c>
      <c r="J41" s="82">
        <v>368000</v>
      </c>
      <c r="K41" s="82">
        <v>506000</v>
      </c>
      <c r="L41" s="82">
        <v>653000</v>
      </c>
      <c r="M41" s="82">
        <v>707000</v>
      </c>
      <c r="N41" s="82">
        <v>755000</v>
      </c>
      <c r="O41" s="82">
        <v>1185000</v>
      </c>
      <c r="P41" s="82">
        <v>1038792</v>
      </c>
      <c r="Q41" s="82">
        <v>1094502.69</v>
      </c>
      <c r="R41" s="82">
        <v>1152000</v>
      </c>
      <c r="S41" s="82">
        <v>1207415.1000000001</v>
      </c>
      <c r="T41" s="82">
        <v>1265752.69</v>
      </c>
      <c r="U41" s="83">
        <v>1158000</v>
      </c>
      <c r="V41" s="83">
        <v>1060969.8899999999</v>
      </c>
      <c r="W41" s="83">
        <v>965640.63</v>
      </c>
      <c r="X41" s="83">
        <v>757993.75000000023</v>
      </c>
      <c r="Y41" s="83">
        <v>792000</v>
      </c>
      <c r="Z41" s="83">
        <v>826000</v>
      </c>
    </row>
    <row r="42" spans="1:26" ht="15.75" customHeight="1" x14ac:dyDescent="0.2">
      <c r="A42" s="93" t="s">
        <v>314</v>
      </c>
      <c r="B42" s="88">
        <v>2859000</v>
      </c>
      <c r="C42" s="88">
        <v>11312000</v>
      </c>
      <c r="D42" s="88">
        <v>11342000</v>
      </c>
      <c r="E42" s="88">
        <v>10634000</v>
      </c>
      <c r="F42" s="88">
        <v>9525000</v>
      </c>
      <c r="G42" s="88">
        <v>9294000</v>
      </c>
      <c r="H42" s="88">
        <v>8591000</v>
      </c>
      <c r="I42" s="88">
        <v>8929000</v>
      </c>
      <c r="J42" s="88">
        <v>10833000</v>
      </c>
      <c r="K42" s="88">
        <v>13438000</v>
      </c>
      <c r="L42" s="88">
        <f t="shared" ref="L42:Z42" si="13">SUM(L35:L41)</f>
        <v>13855000</v>
      </c>
      <c r="M42" s="88">
        <f t="shared" si="13"/>
        <v>14191000</v>
      </c>
      <c r="N42" s="88">
        <f t="shared" si="13"/>
        <v>15722000</v>
      </c>
      <c r="O42" s="88">
        <f t="shared" si="13"/>
        <v>30735000</v>
      </c>
      <c r="P42" s="88">
        <f t="shared" si="13"/>
        <v>41762925</v>
      </c>
      <c r="Q42" s="88">
        <f t="shared" si="13"/>
        <v>46550620.530000001</v>
      </c>
      <c r="R42" s="88">
        <f t="shared" si="13"/>
        <v>53797000</v>
      </c>
      <c r="S42" s="88">
        <f t="shared" si="13"/>
        <v>63152220.009999998</v>
      </c>
      <c r="T42" s="88">
        <f t="shared" si="13"/>
        <v>64237784.529999994</v>
      </c>
      <c r="U42" s="88">
        <f t="shared" si="13"/>
        <v>63749000</v>
      </c>
      <c r="V42" s="88">
        <f t="shared" si="13"/>
        <v>73982963.200000003</v>
      </c>
      <c r="W42" s="88">
        <f t="shared" si="13"/>
        <v>68801885.349999994</v>
      </c>
      <c r="X42" s="88">
        <f t="shared" si="13"/>
        <v>64115643.629999988</v>
      </c>
      <c r="Y42" s="88">
        <f t="shared" si="13"/>
        <v>65236000</v>
      </c>
      <c r="Z42" s="88">
        <f t="shared" si="13"/>
        <v>66385000</v>
      </c>
    </row>
    <row r="43" spans="1:26" ht="15.75" customHeight="1" x14ac:dyDescent="0.2">
      <c r="A43" s="92"/>
      <c r="B43" s="82"/>
      <c r="C43" s="82"/>
      <c r="D43" s="82"/>
      <c r="E43" s="82"/>
      <c r="F43" s="82"/>
      <c r="G43" s="82"/>
      <c r="H43" s="82"/>
      <c r="I43" s="82"/>
      <c r="J43" s="82"/>
      <c r="K43" s="82"/>
      <c r="L43" s="82"/>
    </row>
    <row r="44" spans="1:26" ht="15.75" customHeight="1" x14ac:dyDescent="0.2">
      <c r="A44" s="92" t="s">
        <v>315</v>
      </c>
      <c r="B44" s="82">
        <v>3564000</v>
      </c>
      <c r="C44" s="82">
        <v>3564000</v>
      </c>
      <c r="D44" s="82">
        <v>3564000</v>
      </c>
      <c r="E44" s="82">
        <v>3564000</v>
      </c>
      <c r="F44" s="82">
        <v>3564000</v>
      </c>
      <c r="G44" s="82">
        <v>3564000</v>
      </c>
      <c r="H44" s="82">
        <v>3564000</v>
      </c>
      <c r="I44" s="82">
        <v>3564000</v>
      </c>
      <c r="J44" s="82">
        <v>3564000</v>
      </c>
      <c r="K44" s="82">
        <v>3564000</v>
      </c>
      <c r="L44" s="82">
        <v>4277000</v>
      </c>
      <c r="M44" s="82">
        <v>4277000</v>
      </c>
      <c r="N44" s="82">
        <v>4277000</v>
      </c>
      <c r="O44" s="82">
        <v>4277000</v>
      </c>
      <c r="P44" s="82">
        <v>4276689</v>
      </c>
      <c r="Q44" s="82">
        <v>4276689</v>
      </c>
      <c r="R44" s="82">
        <v>4277000</v>
      </c>
      <c r="S44" s="82">
        <v>4276688.95</v>
      </c>
      <c r="T44" s="82">
        <v>4276688.95</v>
      </c>
      <c r="U44" s="83">
        <v>4277000</v>
      </c>
      <c r="V44" s="83">
        <v>51331428.899999999</v>
      </c>
      <c r="W44" s="83">
        <v>51331428.899999999</v>
      </c>
      <c r="X44" s="83">
        <v>4739995.9500000011</v>
      </c>
      <c r="Y44" s="83">
        <v>4740000</v>
      </c>
      <c r="Z44" s="83">
        <v>4740000</v>
      </c>
    </row>
    <row r="45" spans="1:26" ht="15.75" customHeight="1" x14ac:dyDescent="0.2">
      <c r="A45" s="92" t="s">
        <v>316</v>
      </c>
      <c r="B45" s="82">
        <v>4568000</v>
      </c>
      <c r="C45" s="82">
        <v>4568000</v>
      </c>
      <c r="D45" s="82">
        <v>10568000</v>
      </c>
      <c r="E45" s="82">
        <v>13068000</v>
      </c>
      <c r="F45" s="82">
        <v>15568000</v>
      </c>
      <c r="G45" s="82">
        <v>18568000</v>
      </c>
      <c r="H45" s="82">
        <v>19768000</v>
      </c>
      <c r="I45" s="82">
        <v>19768000</v>
      </c>
      <c r="J45" s="82">
        <v>19768000</v>
      </c>
      <c r="K45" s="82">
        <v>22768000</v>
      </c>
      <c r="L45" s="82">
        <v>22768000</v>
      </c>
      <c r="M45" s="82">
        <v>22768000</v>
      </c>
      <c r="N45" s="82">
        <v>22768000</v>
      </c>
      <c r="O45" s="89">
        <v>22768000</v>
      </c>
      <c r="P45" s="89">
        <v>25267520</v>
      </c>
      <c r="Q45" s="89">
        <v>25267519.949999999</v>
      </c>
      <c r="R45" s="82">
        <v>27768000</v>
      </c>
      <c r="S45" s="82">
        <v>27767519.949999999</v>
      </c>
      <c r="T45" s="82">
        <v>27767519.949999999</v>
      </c>
      <c r="U45" s="83">
        <v>27768000</v>
      </c>
      <c r="V45" s="83">
        <v>0</v>
      </c>
      <c r="W45" s="83">
        <v>0</v>
      </c>
      <c r="X45" s="83">
        <v>14767519.949999999</v>
      </c>
      <c r="Y45" s="83">
        <v>14768000</v>
      </c>
      <c r="Z45" s="83">
        <v>14768000</v>
      </c>
    </row>
    <row r="46" spans="1:26" ht="15.75" customHeight="1" x14ac:dyDescent="0.2">
      <c r="A46" s="92" t="s">
        <v>317</v>
      </c>
      <c r="B46" s="82">
        <v>0</v>
      </c>
      <c r="C46" s="82">
        <v>0</v>
      </c>
      <c r="D46" s="82">
        <v>0</v>
      </c>
      <c r="E46" s="82">
        <v>0</v>
      </c>
      <c r="F46" s="82">
        <v>0</v>
      </c>
      <c r="G46" s="82">
        <v>0</v>
      </c>
      <c r="H46" s="82">
        <v>0</v>
      </c>
      <c r="I46" s="82">
        <v>0</v>
      </c>
      <c r="J46" s="82">
        <v>0</v>
      </c>
      <c r="K46" s="82">
        <v>0</v>
      </c>
      <c r="L46" s="82">
        <v>19287000</v>
      </c>
      <c r="M46" s="82">
        <v>19287000</v>
      </c>
      <c r="N46" s="82">
        <v>19287000</v>
      </c>
      <c r="O46" s="82">
        <v>19287000</v>
      </c>
      <c r="P46" s="82">
        <v>19287220</v>
      </c>
      <c r="Q46" s="82">
        <v>19287220</v>
      </c>
      <c r="R46" s="82">
        <v>19287000</v>
      </c>
      <c r="S46" s="82">
        <v>19287220</v>
      </c>
      <c r="T46" s="82">
        <v>19287220</v>
      </c>
      <c r="U46" s="83">
        <v>19287000</v>
      </c>
      <c r="V46" s="83">
        <v>0</v>
      </c>
      <c r="W46" s="83">
        <v>0</v>
      </c>
      <c r="X46" s="83">
        <v>31823913</v>
      </c>
      <c r="Y46" s="83">
        <v>31824000</v>
      </c>
      <c r="Z46" s="83">
        <v>31824000</v>
      </c>
    </row>
    <row r="47" spans="1:26" ht="15.75" customHeight="1" x14ac:dyDescent="0.2">
      <c r="A47" s="92" t="s">
        <v>318</v>
      </c>
      <c r="B47" s="82">
        <v>-3329000</v>
      </c>
      <c r="C47" s="82">
        <v>-4096000</v>
      </c>
      <c r="D47" s="82">
        <v>-8087000</v>
      </c>
      <c r="E47" s="82">
        <v>-9565000</v>
      </c>
      <c r="F47" s="82">
        <v>-11912000</v>
      </c>
      <c r="G47" s="82">
        <v>-13506000</v>
      </c>
      <c r="H47" s="82">
        <v>-15582000</v>
      </c>
      <c r="I47" s="82">
        <v>-17332000</v>
      </c>
      <c r="J47" s="82">
        <v>-18581000</v>
      </c>
      <c r="K47" s="82">
        <v>-20128000</v>
      </c>
      <c r="L47" s="82">
        <v>-21507000</v>
      </c>
      <c r="M47" s="82">
        <v>-22264000</v>
      </c>
      <c r="N47" s="82">
        <v>-22456000</v>
      </c>
      <c r="O47" s="82">
        <v>-24541000</v>
      </c>
      <c r="P47" s="82">
        <v>-23034714</v>
      </c>
      <c r="Q47" s="82">
        <v>-23034714</v>
      </c>
      <c r="R47" s="82">
        <v>-26851000</v>
      </c>
      <c r="S47" s="82">
        <v>-23034714.030000001</v>
      </c>
      <c r="T47" s="82">
        <v>-23034714.030000001</v>
      </c>
      <c r="U47" s="83">
        <v>-30104000</v>
      </c>
      <c r="V47" s="83">
        <v>-30002798.859999999</v>
      </c>
      <c r="W47" s="83">
        <v>-31584483.390000001</v>
      </c>
      <c r="X47" s="83">
        <v>-32064290.370000001</v>
      </c>
      <c r="Y47" s="83">
        <v>-33518000</v>
      </c>
      <c r="Z47" s="83">
        <v>-34437000</v>
      </c>
    </row>
    <row r="48" spans="1:26" ht="15.75" customHeight="1" x14ac:dyDescent="0.2">
      <c r="A48" s="92" t="s">
        <v>319</v>
      </c>
      <c r="B48" s="82"/>
      <c r="C48" s="82"/>
      <c r="D48" s="82"/>
      <c r="E48" s="82"/>
      <c r="F48" s="82"/>
      <c r="G48" s="82"/>
      <c r="H48" s="82"/>
      <c r="I48" s="82"/>
      <c r="J48" s="82"/>
      <c r="K48" s="82"/>
      <c r="L48" s="82"/>
      <c r="M48" s="82"/>
      <c r="N48" s="82"/>
      <c r="O48" s="82"/>
      <c r="P48" s="82"/>
      <c r="Q48" s="82">
        <v>-2552119.5699999998</v>
      </c>
      <c r="R48" s="95"/>
      <c r="S48" s="82">
        <v>-4643647.18</v>
      </c>
      <c r="T48" s="82">
        <v>-6134165.2800000003</v>
      </c>
      <c r="U48" s="83">
        <v>0</v>
      </c>
      <c r="V48" s="83">
        <v>0</v>
      </c>
      <c r="W48" s="83">
        <v>0</v>
      </c>
      <c r="X48" s="83">
        <v>0</v>
      </c>
      <c r="Y48" s="83">
        <v>0</v>
      </c>
    </row>
    <row r="49" spans="1:28" ht="15.75" customHeight="1" x14ac:dyDescent="0.2">
      <c r="A49" s="92" t="s">
        <v>320</v>
      </c>
      <c r="B49" s="82"/>
      <c r="C49" s="82"/>
      <c r="D49" s="82"/>
      <c r="E49" s="82"/>
      <c r="F49" s="82"/>
      <c r="G49" s="82"/>
      <c r="H49" s="82"/>
      <c r="I49" s="82"/>
      <c r="J49" s="82"/>
      <c r="K49" s="82"/>
      <c r="L49" s="82"/>
      <c r="M49" s="82"/>
      <c r="N49" s="82"/>
      <c r="O49" s="82"/>
      <c r="P49" s="89">
        <v>-641897</v>
      </c>
      <c r="Q49" s="89">
        <v>0</v>
      </c>
      <c r="R49" s="82">
        <v>0</v>
      </c>
      <c r="S49" s="82">
        <v>0</v>
      </c>
      <c r="T49" s="82">
        <v>0</v>
      </c>
      <c r="U49" s="83">
        <v>0</v>
      </c>
      <c r="V49" s="83">
        <v>0</v>
      </c>
      <c r="W49" s="83">
        <v>0</v>
      </c>
      <c r="X49" s="83">
        <v>0</v>
      </c>
      <c r="Y49" s="83">
        <v>0</v>
      </c>
    </row>
    <row r="50" spans="1:28" ht="15.75" customHeight="1" x14ac:dyDescent="0.2">
      <c r="A50" s="93" t="s">
        <v>321</v>
      </c>
      <c r="B50" s="88">
        <v>4803000</v>
      </c>
      <c r="C50" s="88">
        <v>4036000</v>
      </c>
      <c r="D50" s="88">
        <v>6045000</v>
      </c>
      <c r="E50" s="88">
        <v>7067000</v>
      </c>
      <c r="F50" s="88">
        <v>7220000</v>
      </c>
      <c r="G50" s="88">
        <v>8626000</v>
      </c>
      <c r="H50" s="88">
        <v>7750000</v>
      </c>
      <c r="I50" s="88">
        <v>6000000</v>
      </c>
      <c r="J50" s="88">
        <v>4751000</v>
      </c>
      <c r="K50" s="88">
        <v>6204000</v>
      </c>
      <c r="L50" s="88">
        <f t="shared" ref="L50:O50" si="14">SUM(L44:L47)</f>
        <v>24825000</v>
      </c>
      <c r="M50" s="88">
        <f t="shared" si="14"/>
        <v>24068000</v>
      </c>
      <c r="N50" s="88">
        <f t="shared" si="14"/>
        <v>23876000</v>
      </c>
      <c r="O50" s="88">
        <f t="shared" si="14"/>
        <v>21791000</v>
      </c>
      <c r="P50" s="88">
        <f t="shared" ref="P50:Z50" si="15">SUM(P44:P49)</f>
        <v>25154818</v>
      </c>
      <c r="Q50" s="88">
        <f t="shared" si="15"/>
        <v>23244595.380000003</v>
      </c>
      <c r="R50" s="88">
        <f t="shared" si="15"/>
        <v>24481000</v>
      </c>
      <c r="S50" s="88">
        <f t="shared" si="15"/>
        <v>23653067.689999998</v>
      </c>
      <c r="T50" s="88">
        <f t="shared" si="15"/>
        <v>22162549.589999996</v>
      </c>
      <c r="U50" s="88">
        <f t="shared" si="15"/>
        <v>21228000</v>
      </c>
      <c r="V50" s="88">
        <f t="shared" si="15"/>
        <v>21328630.039999999</v>
      </c>
      <c r="W50" s="88">
        <f t="shared" si="15"/>
        <v>19746945.509999998</v>
      </c>
      <c r="X50" s="88">
        <f t="shared" si="15"/>
        <v>19267138.529999997</v>
      </c>
      <c r="Y50" s="88">
        <f t="shared" si="15"/>
        <v>17814000</v>
      </c>
      <c r="Z50" s="88">
        <f t="shared" si="15"/>
        <v>16895000</v>
      </c>
    </row>
    <row r="51" spans="1:28" ht="15.75" customHeight="1" x14ac:dyDescent="0.2">
      <c r="A51" s="92"/>
      <c r="B51" s="82"/>
      <c r="C51" s="82"/>
      <c r="D51" s="82"/>
      <c r="E51" s="82"/>
      <c r="F51" s="82"/>
      <c r="G51" s="82"/>
      <c r="H51" s="82"/>
      <c r="I51" s="82"/>
      <c r="J51" s="82"/>
      <c r="K51" s="82"/>
      <c r="L51" s="82"/>
    </row>
    <row r="52" spans="1:28" ht="15.75" customHeight="1" x14ac:dyDescent="0.2">
      <c r="A52" s="93" t="s">
        <v>322</v>
      </c>
      <c r="B52" s="88">
        <f t="shared" ref="B52:Z52" si="16">B33-B42-B50</f>
        <v>0</v>
      </c>
      <c r="C52" s="88">
        <f t="shared" si="16"/>
        <v>0</v>
      </c>
      <c r="D52" s="88">
        <f t="shared" si="16"/>
        <v>0</v>
      </c>
      <c r="E52" s="88">
        <f t="shared" si="16"/>
        <v>-1000</v>
      </c>
      <c r="F52" s="88">
        <f t="shared" si="16"/>
        <v>-1000</v>
      </c>
      <c r="G52" s="88">
        <f t="shared" si="16"/>
        <v>-1000</v>
      </c>
      <c r="H52" s="88">
        <f t="shared" si="16"/>
        <v>0</v>
      </c>
      <c r="I52" s="88">
        <f t="shared" si="16"/>
        <v>-1000</v>
      </c>
      <c r="J52" s="88">
        <f t="shared" si="16"/>
        <v>0</v>
      </c>
      <c r="K52" s="88">
        <f t="shared" si="16"/>
        <v>-1000</v>
      </c>
      <c r="L52" s="88">
        <f t="shared" si="16"/>
        <v>0</v>
      </c>
      <c r="M52" s="88">
        <f t="shared" si="16"/>
        <v>0</v>
      </c>
      <c r="N52" s="88">
        <f t="shared" si="16"/>
        <v>0</v>
      </c>
      <c r="O52" s="88">
        <f t="shared" si="16"/>
        <v>0</v>
      </c>
      <c r="P52" s="88">
        <f t="shared" si="16"/>
        <v>1</v>
      </c>
      <c r="Q52" s="88">
        <f t="shared" si="16"/>
        <v>-8.0000005662441254E-2</v>
      </c>
      <c r="R52" s="88">
        <f t="shared" si="16"/>
        <v>1000</v>
      </c>
      <c r="S52" s="88">
        <f t="shared" si="16"/>
        <v>-0.14999999850988388</v>
      </c>
      <c r="T52" s="88">
        <f t="shared" si="16"/>
        <v>0</v>
      </c>
      <c r="U52" s="88">
        <f t="shared" si="16"/>
        <v>0</v>
      </c>
      <c r="V52" s="88">
        <f t="shared" si="16"/>
        <v>0</v>
      </c>
      <c r="W52" s="88">
        <f t="shared" si="16"/>
        <v>0</v>
      </c>
      <c r="X52" s="159">
        <f t="shared" si="16"/>
        <v>-4.0605664253234863E-7</v>
      </c>
      <c r="Y52" s="88">
        <f t="shared" si="16"/>
        <v>1000</v>
      </c>
      <c r="Z52" s="88">
        <f t="shared" si="16"/>
        <v>-2000</v>
      </c>
    </row>
    <row r="53" spans="1:28" ht="15.75" customHeight="1" x14ac:dyDescent="0.2">
      <c r="AB53" s="33">
        <v>42657562.770000003</v>
      </c>
    </row>
    <row r="54" spans="1:28" ht="15.75" customHeight="1" x14ac:dyDescent="0.2">
      <c r="A54" s="44" t="s">
        <v>323</v>
      </c>
      <c r="B54" s="45">
        <f t="shared" ref="B54:Y54" si="17">B33-B28</f>
        <v>7337000</v>
      </c>
      <c r="C54" s="45">
        <f t="shared" si="17"/>
        <v>14117000</v>
      </c>
      <c r="D54" s="45">
        <f t="shared" si="17"/>
        <v>10407000</v>
      </c>
      <c r="E54" s="45">
        <f t="shared" si="17"/>
        <v>10447000</v>
      </c>
      <c r="F54" s="45">
        <f t="shared" si="17"/>
        <v>9584000</v>
      </c>
      <c r="G54" s="45">
        <f t="shared" si="17"/>
        <v>6095000</v>
      </c>
      <c r="H54" s="45">
        <f t="shared" si="17"/>
        <v>4562000</v>
      </c>
      <c r="I54" s="45">
        <f t="shared" si="17"/>
        <v>3251000</v>
      </c>
      <c r="J54" s="45">
        <f t="shared" si="17"/>
        <v>3763000</v>
      </c>
      <c r="K54" s="45">
        <f t="shared" si="17"/>
        <v>8236000</v>
      </c>
      <c r="L54" s="45">
        <f t="shared" si="17"/>
        <v>27414000</v>
      </c>
      <c r="M54" s="45">
        <f t="shared" si="17"/>
        <v>26861000</v>
      </c>
      <c r="N54" s="45">
        <f t="shared" si="17"/>
        <v>26046000</v>
      </c>
      <c r="O54" s="45">
        <f t="shared" si="17"/>
        <v>40515000</v>
      </c>
      <c r="P54" s="45">
        <f t="shared" si="17"/>
        <v>54596325</v>
      </c>
      <c r="Q54" s="45">
        <f t="shared" si="17"/>
        <v>57322187.140000001</v>
      </c>
      <c r="R54" s="45">
        <f t="shared" si="17"/>
        <v>67096000</v>
      </c>
      <c r="S54" s="45">
        <f t="shared" si="17"/>
        <v>75181948.549999997</v>
      </c>
      <c r="T54" s="45">
        <f t="shared" si="17"/>
        <v>73971950.439999998</v>
      </c>
      <c r="U54" s="45">
        <f t="shared" si="17"/>
        <v>71825000</v>
      </c>
      <c r="V54" s="45">
        <f t="shared" si="17"/>
        <v>82275832.36999999</v>
      </c>
      <c r="W54" s="45">
        <f t="shared" si="17"/>
        <v>76831430.489999995</v>
      </c>
      <c r="X54" s="45">
        <f t="shared" si="17"/>
        <v>71071777.69999963</v>
      </c>
      <c r="Y54" s="45">
        <f t="shared" si="17"/>
        <v>70865000</v>
      </c>
      <c r="Z54" s="45">
        <f t="shared" ref="Z54" si="18">Z33-Z28</f>
        <v>71014000</v>
      </c>
      <c r="AB54" s="74">
        <f>AB53-Y72</f>
        <v>24979963.980000004</v>
      </c>
    </row>
    <row r="55" spans="1:28" ht="15.75" customHeight="1" x14ac:dyDescent="0.2">
      <c r="A55" s="44" t="s">
        <v>324</v>
      </c>
      <c r="B55" s="45">
        <f t="shared" ref="B55:Y55" si="19">B50-B28</f>
        <v>4478000</v>
      </c>
      <c r="C55" s="45">
        <f t="shared" si="19"/>
        <v>2805000</v>
      </c>
      <c r="D55" s="45">
        <f t="shared" si="19"/>
        <v>-935000</v>
      </c>
      <c r="E55" s="45">
        <f t="shared" si="19"/>
        <v>-186000</v>
      </c>
      <c r="F55" s="45">
        <f t="shared" si="19"/>
        <v>60000</v>
      </c>
      <c r="G55" s="45">
        <f t="shared" si="19"/>
        <v>-3198000</v>
      </c>
      <c r="H55" s="45">
        <f t="shared" si="19"/>
        <v>-4029000</v>
      </c>
      <c r="I55" s="45">
        <f t="shared" si="19"/>
        <v>-5677000</v>
      </c>
      <c r="J55" s="45">
        <f t="shared" si="19"/>
        <v>-7070000</v>
      </c>
      <c r="K55" s="45">
        <f t="shared" si="19"/>
        <v>-5201000</v>
      </c>
      <c r="L55" s="45">
        <f t="shared" si="19"/>
        <v>13559000</v>
      </c>
      <c r="M55" s="45">
        <f t="shared" si="19"/>
        <v>12670000</v>
      </c>
      <c r="N55" s="45">
        <f t="shared" si="19"/>
        <v>10324000</v>
      </c>
      <c r="O55" s="45">
        <f t="shared" si="19"/>
        <v>9780000</v>
      </c>
      <c r="P55" s="45">
        <f t="shared" si="19"/>
        <v>12833399</v>
      </c>
      <c r="Q55" s="45">
        <f t="shared" si="19"/>
        <v>10771566.690000003</v>
      </c>
      <c r="R55" s="45">
        <f t="shared" si="19"/>
        <v>13298000</v>
      </c>
      <c r="S55" s="45">
        <f t="shared" si="19"/>
        <v>12029728.689999998</v>
      </c>
      <c r="T55" s="45">
        <f t="shared" si="19"/>
        <v>9734165.9099999964</v>
      </c>
      <c r="U55" s="45">
        <f t="shared" si="19"/>
        <v>8076000</v>
      </c>
      <c r="V55" s="45">
        <f t="shared" si="19"/>
        <v>8292869.1699999999</v>
      </c>
      <c r="W55" s="45">
        <f t="shared" si="19"/>
        <v>8029545.1399999987</v>
      </c>
      <c r="X55" s="45">
        <f t="shared" si="19"/>
        <v>6956134.0700000413</v>
      </c>
      <c r="Y55" s="45">
        <f t="shared" si="19"/>
        <v>5628000</v>
      </c>
      <c r="Z55" s="45">
        <f t="shared" ref="Z55" si="20">Z50-Z28</f>
        <v>4631000</v>
      </c>
    </row>
    <row r="56" spans="1:28" ht="15.75" customHeight="1" x14ac:dyDescent="0.2">
      <c r="A56" s="44"/>
      <c r="B56" s="45"/>
      <c r="C56" s="45"/>
      <c r="D56" s="45"/>
      <c r="E56" s="45"/>
      <c r="F56" s="45"/>
      <c r="G56" s="45"/>
      <c r="H56" s="45"/>
      <c r="I56" s="45"/>
      <c r="J56" s="45"/>
      <c r="K56" s="45"/>
      <c r="L56" s="45"/>
    </row>
    <row r="57" spans="1:28" ht="15.75" customHeight="1" x14ac:dyDescent="0.2">
      <c r="A57" s="44" t="s">
        <v>325</v>
      </c>
      <c r="B57" s="96">
        <f t="shared" ref="B57:Y57" si="21">B42/B55</f>
        <v>0.63845466726217059</v>
      </c>
      <c r="C57" s="96">
        <f t="shared" si="21"/>
        <v>4.0327985739750449</v>
      </c>
      <c r="D57" s="96">
        <f t="shared" si="21"/>
        <v>-12.13048128342246</v>
      </c>
      <c r="E57" s="96">
        <f t="shared" si="21"/>
        <v>-57.172043010752688</v>
      </c>
      <c r="F57" s="96">
        <f t="shared" si="21"/>
        <v>158.75</v>
      </c>
      <c r="G57" s="96">
        <f t="shared" si="21"/>
        <v>-2.9061913696060038</v>
      </c>
      <c r="H57" s="96">
        <f t="shared" si="21"/>
        <v>-2.1322908910399603</v>
      </c>
      <c r="I57" s="96">
        <f t="shared" si="21"/>
        <v>-1.5728377664259292</v>
      </c>
      <c r="J57" s="96">
        <f t="shared" si="21"/>
        <v>-1.5322489391796323</v>
      </c>
      <c r="K57" s="96">
        <f t="shared" si="21"/>
        <v>-2.5837338973274369</v>
      </c>
      <c r="L57" s="96">
        <f t="shared" si="21"/>
        <v>1.0218305184748138</v>
      </c>
      <c r="M57" s="96">
        <f t="shared" si="21"/>
        <v>1.1200473559589581</v>
      </c>
      <c r="N57" s="96">
        <f t="shared" si="21"/>
        <v>1.5228593568384348</v>
      </c>
      <c r="O57" s="96">
        <f t="shared" si="21"/>
        <v>3.1426380368098159</v>
      </c>
      <c r="P57" s="96">
        <f t="shared" si="21"/>
        <v>3.2542372445522809</v>
      </c>
      <c r="Q57" s="96">
        <f t="shared" si="21"/>
        <v>4.3216202312720382</v>
      </c>
      <c r="R57" s="96">
        <f t="shared" si="21"/>
        <v>4.0454955632425929</v>
      </c>
      <c r="S57" s="96">
        <f t="shared" si="21"/>
        <v>5.2496794929794888</v>
      </c>
      <c r="T57" s="96">
        <f t="shared" si="21"/>
        <v>6.5992078955638034</v>
      </c>
      <c r="U57" s="96">
        <f t="shared" si="21"/>
        <v>7.8936354631005452</v>
      </c>
      <c r="V57" s="96">
        <f t="shared" si="21"/>
        <v>8.9212746135726153</v>
      </c>
      <c r="W57" s="96">
        <f t="shared" si="21"/>
        <v>8.5685906424831444</v>
      </c>
      <c r="X57" s="96">
        <f t="shared" si="21"/>
        <v>9.2171374192619044</v>
      </c>
      <c r="Y57" s="96">
        <f t="shared" si="21"/>
        <v>11.591329068941009</v>
      </c>
      <c r="Z57" s="96">
        <f t="shared" ref="Z57" si="22">Z42/Z55</f>
        <v>14.334916864608076</v>
      </c>
      <c r="AA57" s="96"/>
    </row>
    <row r="58" spans="1:28" ht="15.75" customHeight="1" x14ac:dyDescent="0.2">
      <c r="A58" s="44" t="s">
        <v>326</v>
      </c>
      <c r="B58" s="97">
        <f t="shared" ref="B58:Y58" si="23">B42/B26</f>
        <v>0.46046062167820906</v>
      </c>
      <c r="C58" s="97">
        <f t="shared" si="23"/>
        <v>1.6939203354297694</v>
      </c>
      <c r="D58" s="97">
        <f t="shared" si="23"/>
        <v>1.6425778421433743</v>
      </c>
      <c r="E58" s="97">
        <f t="shared" si="23"/>
        <v>1.653810264385692</v>
      </c>
      <c r="F58" s="97">
        <f t="shared" si="23"/>
        <v>1.5395183449167609</v>
      </c>
      <c r="G58" s="97">
        <f t="shared" si="23"/>
        <v>7.1602465331278893</v>
      </c>
      <c r="H58" s="97">
        <f t="shared" si="23"/>
        <v>4.3041082164328657</v>
      </c>
      <c r="I58" s="97">
        <f t="shared" si="23"/>
        <v>6.0494579945799458</v>
      </c>
      <c r="J58" s="97">
        <f t="shared" si="23"/>
        <v>7.1457783641160946</v>
      </c>
      <c r="K58" s="97">
        <f t="shared" si="23"/>
        <v>2.164626288659794</v>
      </c>
      <c r="L58" s="97">
        <f t="shared" si="23"/>
        <v>0.54297135243171224</v>
      </c>
      <c r="M58" s="97">
        <f t="shared" si="23"/>
        <v>0.58188453337707069</v>
      </c>
      <c r="N58" s="97">
        <f t="shared" si="23"/>
        <v>0.64550829364427653</v>
      </c>
      <c r="O58" s="97">
        <f t="shared" si="23"/>
        <v>0.79824948705295695</v>
      </c>
      <c r="P58" s="97">
        <f t="shared" si="23"/>
        <v>0.82088827610498893</v>
      </c>
      <c r="Q58" s="97">
        <f t="shared" si="23"/>
        <v>0.91499578292124217</v>
      </c>
      <c r="R58" s="97">
        <f t="shared" si="23"/>
        <v>0.86940431171013932</v>
      </c>
      <c r="S58" s="97">
        <f t="shared" si="23"/>
        <v>0.87028632648649629</v>
      </c>
      <c r="T58" s="97">
        <f t="shared" si="23"/>
        <v>0.88806006625188372</v>
      </c>
      <c r="U58" s="97">
        <f t="shared" si="23"/>
        <v>0.92124163643983292</v>
      </c>
      <c r="V58" s="97">
        <f t="shared" si="23"/>
        <v>0.95092783874715869</v>
      </c>
      <c r="W58" s="97">
        <f t="shared" si="23"/>
        <v>0.94898118537321241</v>
      </c>
      <c r="X58" s="97">
        <f t="shared" si="23"/>
        <v>0.986396139323374</v>
      </c>
      <c r="Y58" s="97">
        <f t="shared" si="23"/>
        <v>1.0295273415923618</v>
      </c>
      <c r="Z58" s="97">
        <f t="shared" ref="Z58" si="24">Z42/Z26</f>
        <v>1.0810480719124544</v>
      </c>
      <c r="AA58" s="97"/>
    </row>
    <row r="59" spans="1:28" ht="15.75" customHeight="1" x14ac:dyDescent="0.2">
      <c r="A59" s="44" t="s">
        <v>327</v>
      </c>
      <c r="B59" s="97"/>
      <c r="C59" s="97"/>
      <c r="D59" s="97"/>
      <c r="E59" s="97"/>
      <c r="F59" s="97"/>
      <c r="G59" s="97"/>
      <c r="H59" s="97"/>
      <c r="I59" s="97"/>
      <c r="J59" s="97"/>
      <c r="K59" s="97"/>
      <c r="L59" s="97"/>
      <c r="M59" s="97">
        <f t="shared" ref="M59:Y59" si="25">(M35+M36-M25)/(M26+M27)</f>
        <v>0.40571190327287887</v>
      </c>
      <c r="N59" s="97">
        <f t="shared" si="25"/>
        <v>0.44912954535966265</v>
      </c>
      <c r="O59" s="97">
        <f t="shared" si="25"/>
        <v>0.66961111111111116</v>
      </c>
      <c r="P59" s="97">
        <f t="shared" si="25"/>
        <v>0.70856375235104918</v>
      </c>
      <c r="Q59" s="97">
        <f t="shared" si="25"/>
        <v>0.77929945233702791</v>
      </c>
      <c r="R59" s="97">
        <f t="shared" si="25"/>
        <v>0.81322721045969237</v>
      </c>
      <c r="S59" s="97">
        <f t="shared" si="25"/>
        <v>0.80509101583712783</v>
      </c>
      <c r="T59" s="97">
        <f t="shared" si="25"/>
        <v>0.82837263687824159</v>
      </c>
      <c r="U59" s="97">
        <f t="shared" si="25"/>
        <v>0.8684510695479617</v>
      </c>
      <c r="V59" s="97">
        <f t="shared" si="25"/>
        <v>0.88776190554950085</v>
      </c>
      <c r="W59" s="97">
        <f t="shared" si="25"/>
        <v>0.88627836764143442</v>
      </c>
      <c r="X59" s="97">
        <f t="shared" si="25"/>
        <v>0.91637585321540005</v>
      </c>
      <c r="Y59" s="97">
        <f t="shared" si="25"/>
        <v>0.94447815008060465</v>
      </c>
      <c r="Z59" s="97">
        <f t="shared" ref="Z59" si="26">(Z35+Z36-Z25)/(Z26+Z27)</f>
        <v>0.96083040264121156</v>
      </c>
      <c r="AA59" s="97"/>
    </row>
    <row r="60" spans="1:28" ht="15.75" customHeight="1" x14ac:dyDescent="0.2">
      <c r="A60" s="44" t="s">
        <v>328</v>
      </c>
      <c r="B60" s="97">
        <f t="shared" ref="B60:Y60" si="27">B55/B54</f>
        <v>0.61033119803734492</v>
      </c>
      <c r="C60" s="97">
        <f t="shared" si="27"/>
        <v>0.19869660692781752</v>
      </c>
      <c r="D60" s="97">
        <f t="shared" si="27"/>
        <v>-8.9843374651676758E-2</v>
      </c>
      <c r="E60" s="97">
        <f t="shared" si="27"/>
        <v>-1.7804154302670624E-2</v>
      </c>
      <c r="F60" s="97">
        <f t="shared" si="27"/>
        <v>6.2604340567612689E-3</v>
      </c>
      <c r="G60" s="97">
        <f t="shared" si="27"/>
        <v>-0.52469237079573416</v>
      </c>
      <c r="H60" s="97">
        <f t="shared" si="27"/>
        <v>-0.88316527838667247</v>
      </c>
      <c r="I60" s="97">
        <f t="shared" si="27"/>
        <v>-1.7462319286373424</v>
      </c>
      <c r="J60" s="97">
        <f t="shared" si="27"/>
        <v>-1.8788200903534413</v>
      </c>
      <c r="K60" s="97">
        <f t="shared" si="27"/>
        <v>-0.63149587178241862</v>
      </c>
      <c r="L60" s="97">
        <f t="shared" si="27"/>
        <v>0.49460129860655139</v>
      </c>
      <c r="M60" s="97">
        <f t="shared" si="27"/>
        <v>0.47168757678418527</v>
      </c>
      <c r="N60" s="97">
        <f t="shared" si="27"/>
        <v>0.39637564309298934</v>
      </c>
      <c r="O60" s="97">
        <f t="shared" si="27"/>
        <v>0.24139207700851537</v>
      </c>
      <c r="P60" s="97">
        <f t="shared" si="27"/>
        <v>0.23505975905887438</v>
      </c>
      <c r="Q60" s="97">
        <f t="shared" si="27"/>
        <v>0.18791269537033237</v>
      </c>
      <c r="R60" s="97">
        <f t="shared" si="27"/>
        <v>0.19819363300345774</v>
      </c>
      <c r="S60" s="97">
        <f t="shared" si="27"/>
        <v>0.16000820571974916</v>
      </c>
      <c r="T60" s="97">
        <f t="shared" si="27"/>
        <v>0.13159266251733562</v>
      </c>
      <c r="U60" s="97">
        <f t="shared" si="27"/>
        <v>0.11243995823181344</v>
      </c>
      <c r="V60" s="97">
        <f t="shared" si="27"/>
        <v>0.10079350072942934</v>
      </c>
      <c r="W60" s="97">
        <f t="shared" si="27"/>
        <v>0.10450859874390969</v>
      </c>
      <c r="X60" s="97">
        <f t="shared" si="27"/>
        <v>9.7874772449937988E-2</v>
      </c>
      <c r="Y60" s="97">
        <f t="shared" si="27"/>
        <v>7.9418612855429338E-2</v>
      </c>
      <c r="Z60" s="97">
        <f t="shared" ref="Z60" si="28">Z55/Z54</f>
        <v>6.521249331117808E-2</v>
      </c>
      <c r="AA60" s="97"/>
    </row>
    <row r="61" spans="1:28" ht="15.75" customHeight="1" x14ac:dyDescent="0.2">
      <c r="A61" s="44" t="s">
        <v>329</v>
      </c>
      <c r="B61" s="97"/>
      <c r="C61" s="97"/>
      <c r="D61" s="97"/>
      <c r="E61" s="97"/>
      <c r="F61" s="97"/>
      <c r="G61" s="97"/>
      <c r="H61" s="97"/>
      <c r="I61" s="97"/>
      <c r="J61" s="97"/>
      <c r="K61" s="97"/>
      <c r="L61" s="98">
        <f t="shared" ref="L61:Z61" si="29">(SUM(A2:L2)+SUM(A6:L6))/L73</f>
        <v>0.49128634808850791</v>
      </c>
      <c r="M61" s="98">
        <f t="shared" si="29"/>
        <v>0.48811198617072427</v>
      </c>
      <c r="N61" s="98">
        <f t="shared" si="29"/>
        <v>0.46343952440106628</v>
      </c>
      <c r="O61" s="98">
        <f t="shared" si="29"/>
        <v>0.40301369049051589</v>
      </c>
      <c r="P61" s="98">
        <f t="shared" si="29"/>
        <v>0.34426086824615243</v>
      </c>
      <c r="Q61" s="98">
        <f t="shared" si="29"/>
        <v>0.33571750720231874</v>
      </c>
      <c r="R61" s="98">
        <f t="shared" si="29"/>
        <v>0.31486238398452482</v>
      </c>
      <c r="S61" s="98">
        <f t="shared" si="29"/>
        <v>0.28804192472788165</v>
      </c>
      <c r="T61" s="98">
        <f t="shared" si="29"/>
        <v>0.25722046370475515</v>
      </c>
      <c r="U61" s="98">
        <f t="shared" si="29"/>
        <v>0.25859564365354504</v>
      </c>
      <c r="V61" s="98">
        <f t="shared" si="29"/>
        <v>0.23798805198548822</v>
      </c>
      <c r="W61" s="98">
        <f t="shared" si="29"/>
        <v>0.20002340945893637</v>
      </c>
      <c r="X61" s="98">
        <f t="shared" si="29"/>
        <v>0.14549507141481727</v>
      </c>
      <c r="Y61" s="98">
        <f>(SUM(N2:Y2)+SUM(N6:Y6))/Y73</f>
        <v>0.15180120921280146</v>
      </c>
      <c r="Z61" s="98">
        <f t="shared" si="29"/>
        <v>0.16607487961781767</v>
      </c>
      <c r="AA61" s="97"/>
    </row>
    <row r="62" spans="1:28" ht="15.75" customHeight="1" x14ac:dyDescent="0.2">
      <c r="A62" s="44" t="s">
        <v>330</v>
      </c>
      <c r="B62" s="97"/>
      <c r="C62" s="97"/>
      <c r="D62" s="97"/>
      <c r="E62" s="97"/>
      <c r="F62" s="97"/>
      <c r="G62" s="97"/>
      <c r="H62" s="97"/>
      <c r="I62" s="97"/>
      <c r="J62" s="97"/>
      <c r="K62" s="97"/>
      <c r="L62" s="97">
        <f t="shared" ref="L62:X62" si="30">(SUM(A13:L13))/L73</f>
        <v>-0.25730636659627659</v>
      </c>
      <c r="M62" s="97">
        <f t="shared" si="30"/>
        <v>-0.25621723758061576</v>
      </c>
      <c r="N62" s="97">
        <f t="shared" si="30"/>
        <v>-0.25698135975207564</v>
      </c>
      <c r="O62" s="97">
        <f t="shared" si="30"/>
        <v>-0.23983150715470222</v>
      </c>
      <c r="P62" s="97">
        <f t="shared" si="30"/>
        <v>-0.19809746612342946</v>
      </c>
      <c r="Q62" s="97">
        <f t="shared" si="30"/>
        <v>-0.19683796398965217</v>
      </c>
      <c r="R62" s="97">
        <f t="shared" si="30"/>
        <v>-0.17527368055047823</v>
      </c>
      <c r="S62" s="97">
        <f t="shared" si="30"/>
        <v>-0.14711211175125161</v>
      </c>
      <c r="T62" s="97">
        <f t="shared" si="30"/>
        <v>-0.11570118757357634</v>
      </c>
      <c r="U62" s="97">
        <f t="shared" si="30"/>
        <v>-0.10873787743846482</v>
      </c>
      <c r="V62" s="97">
        <f t="shared" si="30"/>
        <v>-8.9273370156370255E-2</v>
      </c>
      <c r="W62" s="97">
        <f t="shared" si="30"/>
        <v>-7.4440321589532205E-2</v>
      </c>
      <c r="X62" s="97">
        <f t="shared" si="30"/>
        <v>-4.6250918463917844E-2</v>
      </c>
      <c r="Y62" s="97" t="s">
        <v>501</v>
      </c>
      <c r="Z62" s="97">
        <f>Z13/Z73</f>
        <v>-1.3552793916744382E-2</v>
      </c>
      <c r="AA62" s="97"/>
    </row>
    <row r="63" spans="1:28" ht="15.75" customHeight="1" x14ac:dyDescent="0.2"/>
    <row r="64" spans="1:28" ht="15.75" customHeight="1" x14ac:dyDescent="0.2">
      <c r="A64" s="44" t="s">
        <v>331</v>
      </c>
      <c r="L64" s="99">
        <f>(((L6))/L26)+L20</f>
        <v>0.13191961799962462</v>
      </c>
      <c r="M64" s="99">
        <f t="shared" ref="M64:Z64" si="31">(((M6)*12)/M26)+M20</f>
        <v>0.20893899847079156</v>
      </c>
      <c r="N64" s="99">
        <f t="shared" si="31"/>
        <v>0.28541731858881536</v>
      </c>
      <c r="O64" s="99">
        <f t="shared" si="31"/>
        <v>0.21421456616086057</v>
      </c>
      <c r="P64" s="99">
        <f t="shared" si="31"/>
        <v>0.25138494689992874</v>
      </c>
      <c r="Q64" s="99" t="e">
        <f t="shared" si="31"/>
        <v>#DIV/0!</v>
      </c>
      <c r="R64" s="99">
        <f t="shared" si="31"/>
        <v>0.22895372838731659</v>
      </c>
      <c r="S64" s="99">
        <f t="shared" si="31"/>
        <v>0.13339326179361194</v>
      </c>
      <c r="T64" s="99">
        <f t="shared" si="31"/>
        <v>0.14199663750255306</v>
      </c>
      <c r="U64" s="99">
        <f t="shared" si="31"/>
        <v>0.23274688509161573</v>
      </c>
      <c r="V64" s="99" t="e">
        <f t="shared" si="31"/>
        <v>#DIV/0!</v>
      </c>
      <c r="W64" s="99" t="e">
        <f t="shared" si="31"/>
        <v>#DIV/0!</v>
      </c>
      <c r="X64" s="99" t="e">
        <f t="shared" si="31"/>
        <v>#DIV/0!</v>
      </c>
      <c r="Y64" s="158">
        <f>(((Y6)*12)/Y26)+Y20</f>
        <v>0.19940037968538143</v>
      </c>
      <c r="Z64" s="99">
        <f t="shared" si="31"/>
        <v>0.41191174720967194</v>
      </c>
      <c r="AA64" s="99"/>
    </row>
    <row r="65" spans="1:28" ht="15.75" customHeight="1" x14ac:dyDescent="0.2">
      <c r="A65" s="44" t="s">
        <v>332</v>
      </c>
      <c r="L65" s="66">
        <f>-((L8))/(L35+L36)</f>
        <v>2.2612826603325416E-2</v>
      </c>
      <c r="M65" s="66">
        <f t="shared" ref="M65:U65" si="32">-((M8)*12)/(M35+M36)</f>
        <v>0</v>
      </c>
      <c r="N65" s="66">
        <f t="shared" si="32"/>
        <v>0.20844497828698144</v>
      </c>
      <c r="O65" s="66">
        <f t="shared" si="32"/>
        <v>5.719173897103752E-2</v>
      </c>
      <c r="P65" s="66">
        <f t="shared" si="32"/>
        <v>0</v>
      </c>
      <c r="Q65" s="66">
        <f t="shared" si="32"/>
        <v>0.27893685912546151</v>
      </c>
      <c r="R65" s="66">
        <f t="shared" si="32"/>
        <v>0.16898545778456445</v>
      </c>
      <c r="S65" s="66">
        <f t="shared" si="32"/>
        <v>0.18195648306624279</v>
      </c>
      <c r="T65" s="66">
        <f t="shared" si="32"/>
        <v>0.19784756317297358</v>
      </c>
      <c r="U65" s="66">
        <f t="shared" si="32"/>
        <v>0.19121440189583674</v>
      </c>
      <c r="V65" s="66">
        <f t="shared" ref="V65:Z65" si="33">-((V3)*12)/(V35+V36)</f>
        <v>4.4327328967837698E-2</v>
      </c>
      <c r="W65" s="66">
        <f t="shared" si="33"/>
        <v>1.9347917673671965E-2</v>
      </c>
      <c r="X65" s="66">
        <f t="shared" si="33"/>
        <v>3.985100549946053E-2</v>
      </c>
      <c r="Y65" s="66">
        <f t="shared" si="33"/>
        <v>4.5675804267466973E-2</v>
      </c>
      <c r="Z65" s="66">
        <f t="shared" si="33"/>
        <v>8.5648062985173468E-2</v>
      </c>
      <c r="AA65" s="66"/>
    </row>
    <row r="66" spans="1:28" ht="15.75" customHeight="1" x14ac:dyDescent="0.2"/>
    <row r="67" spans="1:28" ht="15.75" customHeight="1" x14ac:dyDescent="0.2">
      <c r="A67" s="33" t="s">
        <v>333</v>
      </c>
      <c r="B67" s="45"/>
      <c r="L67" s="74">
        <v>89555941.719999984</v>
      </c>
      <c r="N67" s="74">
        <v>93410014</v>
      </c>
      <c r="O67" s="74">
        <v>103972448</v>
      </c>
      <c r="P67" s="74">
        <v>108185067</v>
      </c>
      <c r="Q67" s="74">
        <v>115121760</v>
      </c>
      <c r="R67" s="74">
        <v>120654788</v>
      </c>
      <c r="S67" s="74">
        <v>126121513</v>
      </c>
      <c r="T67" s="100">
        <v>123607290</v>
      </c>
      <c r="U67" s="74">
        <v>119792326</v>
      </c>
      <c r="V67" s="101">
        <v>138785251</v>
      </c>
      <c r="W67" s="101">
        <v>134990514</v>
      </c>
      <c r="X67" s="101">
        <v>125321850</v>
      </c>
      <c r="Y67" s="101">
        <v>118738388</v>
      </c>
      <c r="Z67" s="101">
        <v>119489195</v>
      </c>
      <c r="AA67" s="101"/>
    </row>
    <row r="68" spans="1:28" ht="15.75" customHeight="1" x14ac:dyDescent="0.2">
      <c r="A68" s="33" t="s">
        <v>334</v>
      </c>
      <c r="B68" s="45"/>
      <c r="L68" s="74">
        <v>4634468.57</v>
      </c>
      <c r="N68" s="74">
        <v>3620615.25</v>
      </c>
      <c r="O68" s="74">
        <v>3950723.8</v>
      </c>
      <c r="P68" s="74">
        <v>2666354.0099999998</v>
      </c>
      <c r="Q68" s="74">
        <v>8186639.5699999994</v>
      </c>
      <c r="R68" s="74">
        <v>8930882.1399999969</v>
      </c>
      <c r="S68" s="74">
        <v>12476127.810000001</v>
      </c>
      <c r="T68" s="74">
        <v>13829800.1</v>
      </c>
      <c r="U68" s="74">
        <v>15831567.470000001</v>
      </c>
      <c r="V68" s="101">
        <v>16170808.42</v>
      </c>
      <c r="W68" s="101">
        <v>14734137.819999998</v>
      </c>
      <c r="X68" s="101">
        <v>9542620.4700000007</v>
      </c>
      <c r="Y68" s="101">
        <v>8046442.2399999993</v>
      </c>
      <c r="Z68" s="101">
        <v>8046442.2399999993</v>
      </c>
      <c r="AA68" s="101"/>
    </row>
    <row r="69" spans="1:28" ht="15.75" customHeight="1" x14ac:dyDescent="0.2">
      <c r="A69" s="44" t="s">
        <v>335</v>
      </c>
      <c r="B69" s="102"/>
      <c r="C69" s="44"/>
      <c r="D69" s="44"/>
      <c r="E69" s="44"/>
      <c r="F69" s="44"/>
      <c r="G69" s="44"/>
      <c r="H69" s="44"/>
      <c r="I69" s="44"/>
      <c r="J69" s="44"/>
      <c r="K69" s="44"/>
      <c r="L69" s="102">
        <f>L68/L67</f>
        <v>5.1749425900626901E-2</v>
      </c>
      <c r="M69" s="44"/>
      <c r="N69" s="102">
        <f t="shared" ref="N69:Z69" si="34">N68/N67</f>
        <v>3.8760461485424891E-2</v>
      </c>
      <c r="O69" s="102">
        <f t="shared" si="34"/>
        <v>3.7997795339011348E-2</v>
      </c>
      <c r="P69" s="102">
        <f t="shared" si="34"/>
        <v>2.4646229687134175E-2</v>
      </c>
      <c r="Q69" s="102">
        <f t="shared" si="34"/>
        <v>7.1112877096389068E-2</v>
      </c>
      <c r="R69" s="102">
        <f t="shared" si="34"/>
        <v>7.4020122102406716E-2</v>
      </c>
      <c r="S69" s="102">
        <f t="shared" si="34"/>
        <v>9.8921488596477591E-2</v>
      </c>
      <c r="T69" s="102">
        <f t="shared" si="34"/>
        <v>0.11188498752783917</v>
      </c>
      <c r="U69" s="102">
        <f t="shared" si="34"/>
        <v>0.13215844452339962</v>
      </c>
      <c r="V69" s="102">
        <f t="shared" si="34"/>
        <v>0.11651676459481995</v>
      </c>
      <c r="W69" s="102">
        <f t="shared" si="34"/>
        <v>0.10914943119632835</v>
      </c>
      <c r="X69" s="102">
        <f t="shared" si="34"/>
        <v>7.6144905856400949E-2</v>
      </c>
      <c r="Y69" s="102">
        <f t="shared" si="34"/>
        <v>6.7766140129845789E-2</v>
      </c>
      <c r="Z69" s="102">
        <f t="shared" si="34"/>
        <v>6.7340333492078505E-2</v>
      </c>
      <c r="AA69" s="102"/>
      <c r="AB69" s="44"/>
    </row>
    <row r="70" spans="1:28" ht="15.75" customHeight="1" x14ac:dyDescent="0.2"/>
    <row r="71" spans="1:28" ht="15.75" customHeight="1" x14ac:dyDescent="0.2">
      <c r="A71" s="33" t="s">
        <v>275</v>
      </c>
      <c r="B71" s="45"/>
      <c r="L71" s="74">
        <v>158674030.89000008</v>
      </c>
      <c r="M71" s="103">
        <v>162820727.97999999</v>
      </c>
      <c r="N71" s="74">
        <v>166967425.06000015</v>
      </c>
      <c r="O71" s="74">
        <v>179694254.25000021</v>
      </c>
      <c r="P71" s="74">
        <v>191325325.10999995</v>
      </c>
      <c r="Q71" s="74">
        <v>194739941.17999968</v>
      </c>
      <c r="R71" s="74">
        <v>202249462.93000016</v>
      </c>
      <c r="S71" s="74">
        <v>206120570.48000032</v>
      </c>
      <c r="T71" s="74">
        <v>205729956.93000016</v>
      </c>
      <c r="U71" s="74">
        <v>203264566.95999974</v>
      </c>
      <c r="V71" s="74">
        <v>206607668.3099997</v>
      </c>
      <c r="W71" s="74">
        <v>203607857.61999956</v>
      </c>
      <c r="X71" s="74">
        <v>199173187.80000001</v>
      </c>
      <c r="Y71" s="74">
        <v>194893294.62999982</v>
      </c>
      <c r="Z71" s="74">
        <v>192854185.61000013</v>
      </c>
      <c r="AA71" s="74"/>
    </row>
    <row r="72" spans="1:28" ht="15.75" customHeight="1" x14ac:dyDescent="0.2">
      <c r="A72" s="33" t="s">
        <v>336</v>
      </c>
      <c r="B72" s="45"/>
      <c r="L72" s="74">
        <v>14845487.159999998</v>
      </c>
      <c r="M72" s="103">
        <v>15426273.35</v>
      </c>
      <c r="N72" s="74">
        <v>16007059.539999999</v>
      </c>
      <c r="O72" s="74">
        <v>15987656.789999999</v>
      </c>
      <c r="P72" s="74">
        <v>16048343.129999999</v>
      </c>
      <c r="Q72" s="74">
        <v>16145587.999999998</v>
      </c>
      <c r="R72" s="74">
        <v>16288856.079999998</v>
      </c>
      <c r="S72" s="74">
        <v>15769208.810000001</v>
      </c>
      <c r="T72" s="74">
        <v>15597864.500000002</v>
      </c>
      <c r="U72" s="74">
        <v>15751740.700000001</v>
      </c>
      <c r="V72" s="74">
        <v>14737138.049999999</v>
      </c>
      <c r="W72" s="74">
        <v>15489199.600000001</v>
      </c>
      <c r="X72" s="74">
        <v>17589326.140000001</v>
      </c>
      <c r="Y72" s="74">
        <v>17677598.789999999</v>
      </c>
      <c r="Z72" s="74">
        <v>17761137.300000004</v>
      </c>
      <c r="AA72" s="74"/>
    </row>
    <row r="73" spans="1:28" ht="15.75" customHeight="1" x14ac:dyDescent="0.2">
      <c r="A73" s="44" t="s">
        <v>115</v>
      </c>
      <c r="B73" s="104"/>
      <c r="C73" s="44"/>
      <c r="D73" s="44"/>
      <c r="E73" s="44"/>
      <c r="F73" s="44"/>
      <c r="G73" s="44"/>
      <c r="H73" s="44"/>
      <c r="I73" s="44"/>
      <c r="J73" s="44"/>
      <c r="K73" s="44"/>
      <c r="L73" s="105">
        <f t="shared" ref="L73:Z73" si="35">L71-L72</f>
        <v>143828543.73000008</v>
      </c>
      <c r="M73" s="105">
        <f t="shared" si="35"/>
        <v>147394454.63</v>
      </c>
      <c r="N73" s="105">
        <f t="shared" si="35"/>
        <v>150960365.52000016</v>
      </c>
      <c r="O73" s="105">
        <f t="shared" si="35"/>
        <v>163706597.46000022</v>
      </c>
      <c r="P73" s="105">
        <f t="shared" si="35"/>
        <v>175276981.97999996</v>
      </c>
      <c r="Q73" s="105">
        <f t="shared" si="35"/>
        <v>178594353.17999968</v>
      </c>
      <c r="R73" s="105">
        <f t="shared" si="35"/>
        <v>185960606.85000014</v>
      </c>
      <c r="S73" s="105">
        <f t="shared" si="35"/>
        <v>190351361.67000031</v>
      </c>
      <c r="T73" s="105">
        <f t="shared" si="35"/>
        <v>190132092.43000016</v>
      </c>
      <c r="U73" s="105">
        <f t="shared" si="35"/>
        <v>187512826.25999975</v>
      </c>
      <c r="V73" s="105">
        <f t="shared" si="35"/>
        <v>191870530.25999969</v>
      </c>
      <c r="W73" s="105">
        <f t="shared" si="35"/>
        <v>188118658.01999956</v>
      </c>
      <c r="X73" s="105">
        <f t="shared" si="35"/>
        <v>181583861.66000003</v>
      </c>
      <c r="Y73" s="105">
        <f t="shared" si="35"/>
        <v>177215695.83999982</v>
      </c>
      <c r="Z73" s="105">
        <f t="shared" si="35"/>
        <v>175093048.31000012</v>
      </c>
      <c r="AA73" s="105"/>
      <c r="AB73" s="44"/>
    </row>
    <row r="74" spans="1:28" ht="15.75" customHeight="1" x14ac:dyDescent="0.2">
      <c r="AA74" s="74"/>
      <c r="AB74" s="66"/>
    </row>
    <row r="75" spans="1:28" ht="15.75" customHeight="1" x14ac:dyDescent="0.2">
      <c r="A75" s="33" t="s">
        <v>337</v>
      </c>
      <c r="B75" s="45"/>
      <c r="L75" s="74">
        <v>13450833.6</v>
      </c>
      <c r="N75" s="74">
        <v>15244089.16</v>
      </c>
      <c r="O75" s="74">
        <v>18519737.45999999</v>
      </c>
      <c r="P75" s="74">
        <v>17304485.040000003</v>
      </c>
      <c r="Q75" s="74">
        <v>23097241.490000006</v>
      </c>
      <c r="R75" s="74">
        <v>24800094.860000003</v>
      </c>
      <c r="S75" s="74">
        <v>28370436.339999992</v>
      </c>
      <c r="T75" s="74">
        <v>30137088.809999987</v>
      </c>
      <c r="U75" s="74">
        <v>32207708.719999995</v>
      </c>
      <c r="V75" s="101">
        <v>32815647.789999999</v>
      </c>
      <c r="W75" s="101">
        <v>29712387.239999998</v>
      </c>
      <c r="X75" s="101">
        <v>29235457.509999998</v>
      </c>
      <c r="Y75" s="101">
        <v>29432300.339999992</v>
      </c>
      <c r="Z75" s="101">
        <v>28408233.079999994</v>
      </c>
      <c r="AA75" s="101"/>
    </row>
    <row r="76" spans="1:28" ht="15.75" customHeight="1" x14ac:dyDescent="0.2">
      <c r="A76" s="33" t="s">
        <v>338</v>
      </c>
      <c r="B76" s="45"/>
      <c r="L76" s="74">
        <v>4982049.459999999</v>
      </c>
      <c r="N76" s="74">
        <v>18297544.190000001</v>
      </c>
      <c r="O76" s="74">
        <v>22634464.650000002</v>
      </c>
      <c r="P76" s="74">
        <v>13816953.419999994</v>
      </c>
      <c r="Q76" s="74">
        <v>8481049.2199999988</v>
      </c>
      <c r="R76" s="74">
        <v>19066745.920000002</v>
      </c>
      <c r="S76" s="74">
        <v>17517028.669999998</v>
      </c>
      <c r="T76" s="74">
        <v>11052483.27</v>
      </c>
      <c r="U76" s="74">
        <v>27349982.730000008</v>
      </c>
      <c r="V76" s="101">
        <v>2776085.0300000003</v>
      </c>
      <c r="W76" s="101">
        <v>18114125.300000001</v>
      </c>
      <c r="X76" s="101">
        <v>3787273.8699999996</v>
      </c>
      <c r="Y76" s="101">
        <v>3655728.7</v>
      </c>
      <c r="Z76" s="101">
        <v>6054453.3300000001</v>
      </c>
      <c r="AA76" s="101"/>
    </row>
    <row r="77" spans="1:28" ht="15.75" customHeight="1" x14ac:dyDescent="0.2"/>
    <row r="78" spans="1:28" ht="15.75" customHeight="1" x14ac:dyDescent="0.2">
      <c r="A78" s="44" t="s">
        <v>339</v>
      </c>
      <c r="B78" s="102"/>
      <c r="C78" s="44"/>
      <c r="D78" s="44"/>
      <c r="E78" s="44"/>
      <c r="F78" s="44"/>
      <c r="G78" s="44"/>
      <c r="H78" s="44"/>
      <c r="I78" s="44"/>
      <c r="J78" s="44"/>
      <c r="K78" s="44"/>
      <c r="L78" s="102">
        <f>L75/L73</f>
        <v>9.3519917890918583E-2</v>
      </c>
      <c r="M78" s="44"/>
      <c r="N78" s="102">
        <f t="shared" ref="N78:Y78" si="36">N75/N73</f>
        <v>0.10098073827186362</v>
      </c>
      <c r="O78" s="102">
        <f t="shared" si="36"/>
        <v>0.11312761823496496</v>
      </c>
      <c r="P78" s="102">
        <f t="shared" si="36"/>
        <v>9.8726511858668001E-2</v>
      </c>
      <c r="Q78" s="102">
        <f t="shared" si="36"/>
        <v>0.12932794950532964</v>
      </c>
      <c r="R78" s="102">
        <f t="shared" si="36"/>
        <v>0.13336208824057183</v>
      </c>
      <c r="S78" s="102">
        <f t="shared" si="36"/>
        <v>0.14904246594875406</v>
      </c>
      <c r="T78" s="102">
        <f t="shared" si="36"/>
        <v>0.1585060597862793</v>
      </c>
      <c r="U78" s="102">
        <f t="shared" si="36"/>
        <v>0.17176269678396153</v>
      </c>
      <c r="V78" s="102">
        <f t="shared" si="36"/>
        <v>0.17103016156536499</v>
      </c>
      <c r="W78" s="102">
        <f t="shared" si="36"/>
        <v>0.15794492451057762</v>
      </c>
      <c r="X78" s="102">
        <f t="shared" si="36"/>
        <v>0.16100251003991117</v>
      </c>
      <c r="Y78" s="102">
        <f t="shared" si="36"/>
        <v>0.16608179202463594</v>
      </c>
      <c r="Z78" s="102">
        <f>Z75/Z73</f>
        <v>0.1622464932457145</v>
      </c>
      <c r="AA78" s="102"/>
      <c r="AB78" s="44"/>
    </row>
    <row r="79" spans="1:28" ht="15.75" customHeight="1" x14ac:dyDescent="0.2">
      <c r="A79" s="44" t="s">
        <v>340</v>
      </c>
      <c r="B79" s="102"/>
      <c r="C79" s="44"/>
      <c r="D79" s="44"/>
      <c r="E79" s="44"/>
      <c r="F79" s="44"/>
      <c r="G79" s="44"/>
      <c r="H79" s="44"/>
      <c r="I79" s="44"/>
      <c r="J79" s="44"/>
      <c r="K79" s="44"/>
      <c r="L79" s="102">
        <f>L76/L73</f>
        <v>3.4638809034682812E-2</v>
      </c>
      <c r="M79" s="44"/>
      <c r="N79" s="102">
        <f t="shared" ref="N79:Z79" si="37">N76/N73</f>
        <v>0.12120760390962242</v>
      </c>
      <c r="O79" s="102">
        <f t="shared" si="37"/>
        <v>0.13826238527454868</v>
      </c>
      <c r="P79" s="102">
        <f t="shared" si="37"/>
        <v>7.8829252215083107E-2</v>
      </c>
      <c r="Q79" s="102">
        <f t="shared" si="37"/>
        <v>4.7487779254992535E-2</v>
      </c>
      <c r="R79" s="102">
        <f t="shared" si="37"/>
        <v>0.10253110184448716</v>
      </c>
      <c r="S79" s="102">
        <f t="shared" si="37"/>
        <v>9.2024709023979162E-2</v>
      </c>
      <c r="T79" s="102">
        <f t="shared" si="37"/>
        <v>5.8130550864626547E-2</v>
      </c>
      <c r="U79" s="102">
        <f t="shared" si="37"/>
        <v>0.14585659698860989</v>
      </c>
      <c r="V79" s="102">
        <f t="shared" si="37"/>
        <v>1.4468532641454559E-2</v>
      </c>
      <c r="W79" s="102">
        <f t="shared" si="37"/>
        <v>9.6290955350501292E-2</v>
      </c>
      <c r="X79" s="102">
        <f t="shared" si="37"/>
        <v>2.0856885823319148E-2</v>
      </c>
      <c r="Y79" s="102">
        <f t="shared" si="37"/>
        <v>2.0628695910212123E-2</v>
      </c>
      <c r="Z79" s="102">
        <f t="shared" si="37"/>
        <v>3.457849062791267E-2</v>
      </c>
      <c r="AA79" s="102"/>
      <c r="AB79" s="44"/>
    </row>
    <row r="80" spans="1:28"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0D0D0"/>
  </sheetPr>
  <dimension ref="A1:FA1000"/>
  <sheetViews>
    <sheetView workbookViewId="0">
      <pane xSplit="1" ySplit="1" topLeftCell="CH2" activePane="bottomRight" state="frozen"/>
      <selection pane="topRight" activeCell="B1" sqref="B1"/>
      <selection pane="bottomLeft" activeCell="A2" sqref="A2"/>
      <selection pane="bottomRight" activeCell="B2" sqref="B2"/>
    </sheetView>
  </sheetViews>
  <sheetFormatPr baseColWidth="10" defaultColWidth="12.6640625" defaultRowHeight="15" customHeight="1" outlineLevelRow="1" x14ac:dyDescent="0.2"/>
  <cols>
    <col min="1" max="1" width="41.5" customWidth="1"/>
    <col min="2" max="7" width="9.6640625" hidden="1" customWidth="1"/>
    <col min="8" max="24" width="11.1640625" hidden="1" customWidth="1"/>
    <col min="25" max="71" width="12.1640625" hidden="1" customWidth="1"/>
    <col min="72" max="85" width="13.1640625" hidden="1" customWidth="1"/>
    <col min="86" max="95" width="13.1640625" customWidth="1"/>
    <col min="96" max="96" width="15.6640625" customWidth="1"/>
    <col min="97" max="108" width="13.1640625" customWidth="1"/>
    <col min="109" max="118" width="12.1640625" customWidth="1"/>
    <col min="119" max="119" width="13.33203125" customWidth="1"/>
    <col min="120" max="141" width="12.1640625" customWidth="1"/>
    <col min="142" max="144" width="13.33203125" customWidth="1"/>
    <col min="145" max="148" width="12.1640625" customWidth="1"/>
    <col min="149" max="149" width="13.1640625" customWidth="1"/>
    <col min="150" max="154" width="12.1640625" customWidth="1"/>
    <col min="155" max="155" width="13.33203125" customWidth="1"/>
    <col min="156" max="157" width="12.1640625" customWidth="1"/>
  </cols>
  <sheetData>
    <row r="1" spans="1:157" x14ac:dyDescent="0.2">
      <c r="B1" s="106">
        <v>42736</v>
      </c>
      <c r="C1" s="106">
        <v>42767</v>
      </c>
      <c r="D1" s="106">
        <v>42795</v>
      </c>
      <c r="E1" s="106">
        <v>42826</v>
      </c>
      <c r="F1" s="106">
        <v>42856</v>
      </c>
      <c r="G1" s="106">
        <v>42887</v>
      </c>
      <c r="H1" s="106">
        <v>42917</v>
      </c>
      <c r="I1" s="106">
        <v>42948</v>
      </c>
      <c r="J1" s="106">
        <v>42979</v>
      </c>
      <c r="K1" s="106">
        <v>43009</v>
      </c>
      <c r="L1" s="106">
        <v>43040</v>
      </c>
      <c r="M1" s="106">
        <v>43070</v>
      </c>
      <c r="N1" s="106">
        <v>43101</v>
      </c>
      <c r="O1" s="106">
        <v>43132</v>
      </c>
      <c r="P1" s="106">
        <v>43160</v>
      </c>
      <c r="Q1" s="106">
        <v>43191</v>
      </c>
      <c r="R1" s="106">
        <v>43221</v>
      </c>
      <c r="S1" s="106">
        <v>43252</v>
      </c>
      <c r="T1" s="106">
        <v>43282</v>
      </c>
      <c r="U1" s="106">
        <v>43313</v>
      </c>
      <c r="V1" s="106">
        <v>43344</v>
      </c>
      <c r="W1" s="106">
        <v>43374</v>
      </c>
      <c r="X1" s="106">
        <v>43405</v>
      </c>
      <c r="Y1" s="106">
        <v>43435</v>
      </c>
      <c r="Z1" s="106">
        <v>43466</v>
      </c>
      <c r="AA1" s="106">
        <v>43497</v>
      </c>
      <c r="AB1" s="106">
        <v>43525</v>
      </c>
      <c r="AC1" s="106">
        <v>43556</v>
      </c>
      <c r="AD1" s="106">
        <v>43586</v>
      </c>
      <c r="AE1" s="106">
        <v>43617</v>
      </c>
      <c r="AF1" s="106">
        <v>43647</v>
      </c>
      <c r="AG1" s="106">
        <v>43678</v>
      </c>
      <c r="AH1" s="106">
        <v>43709</v>
      </c>
      <c r="AI1" s="106">
        <v>43739</v>
      </c>
      <c r="AJ1" s="106">
        <v>43770</v>
      </c>
      <c r="AK1" s="106">
        <v>43800</v>
      </c>
      <c r="AL1" s="106">
        <v>43831</v>
      </c>
      <c r="AM1" s="106">
        <v>43862</v>
      </c>
      <c r="AN1" s="106">
        <v>43891</v>
      </c>
      <c r="AO1" s="106">
        <v>43922</v>
      </c>
      <c r="AP1" s="106">
        <v>43952</v>
      </c>
      <c r="AQ1" s="106">
        <v>43983</v>
      </c>
      <c r="AR1" s="106">
        <v>44013</v>
      </c>
      <c r="AS1" s="106">
        <v>44044</v>
      </c>
      <c r="AT1" s="106">
        <v>44075</v>
      </c>
      <c r="AU1" s="106">
        <v>44105</v>
      </c>
      <c r="AV1" s="106">
        <v>44136</v>
      </c>
      <c r="AW1" s="106">
        <v>44166</v>
      </c>
      <c r="AX1" s="106">
        <v>44197</v>
      </c>
      <c r="AY1" s="106">
        <v>44228</v>
      </c>
      <c r="AZ1" s="106">
        <v>44256</v>
      </c>
      <c r="BA1" s="106">
        <v>44287</v>
      </c>
      <c r="BB1" s="106">
        <v>44317</v>
      </c>
      <c r="BC1" s="106">
        <v>44348</v>
      </c>
      <c r="BD1" s="106">
        <v>44378</v>
      </c>
      <c r="BE1" s="106">
        <v>44409</v>
      </c>
      <c r="BF1" s="106">
        <v>44440</v>
      </c>
      <c r="BG1" s="106">
        <v>44470</v>
      </c>
      <c r="BH1" s="106">
        <v>44501</v>
      </c>
      <c r="BI1" s="106">
        <v>44531</v>
      </c>
      <c r="BJ1" s="106">
        <v>44562</v>
      </c>
      <c r="BK1" s="106">
        <v>44593</v>
      </c>
      <c r="BL1" s="106">
        <v>44621</v>
      </c>
      <c r="BM1" s="106">
        <v>44652</v>
      </c>
      <c r="BN1" s="106">
        <v>44682</v>
      </c>
      <c r="BO1" s="106">
        <v>44713</v>
      </c>
      <c r="BP1" s="106">
        <v>44743</v>
      </c>
      <c r="BQ1" s="106">
        <v>44774</v>
      </c>
      <c r="BR1" s="106">
        <v>44805</v>
      </c>
      <c r="BS1" s="106">
        <v>44835</v>
      </c>
      <c r="BT1" s="106">
        <v>44866</v>
      </c>
      <c r="BU1" s="106">
        <v>44896</v>
      </c>
      <c r="BV1" s="106">
        <v>44927</v>
      </c>
      <c r="BW1" s="106">
        <v>44958</v>
      </c>
      <c r="BX1" s="106">
        <v>44986</v>
      </c>
      <c r="BY1" s="106">
        <v>45017</v>
      </c>
      <c r="BZ1" s="106">
        <v>45047</v>
      </c>
      <c r="CA1" s="106">
        <v>45078</v>
      </c>
      <c r="CB1" s="106">
        <v>45108</v>
      </c>
      <c r="CC1" s="106">
        <v>45139</v>
      </c>
      <c r="CD1" s="106">
        <v>45170</v>
      </c>
      <c r="CE1" s="106">
        <v>45200</v>
      </c>
      <c r="CF1" s="106">
        <v>45231</v>
      </c>
      <c r="CG1" s="106">
        <v>45261</v>
      </c>
      <c r="CH1" s="106">
        <v>45292</v>
      </c>
      <c r="CI1" s="106">
        <v>45323</v>
      </c>
      <c r="CJ1" s="106">
        <v>45352</v>
      </c>
      <c r="CK1" s="106">
        <v>45383</v>
      </c>
      <c r="CL1" s="106">
        <v>45413</v>
      </c>
      <c r="CM1" s="106">
        <v>45444</v>
      </c>
      <c r="CN1" s="106">
        <v>45474</v>
      </c>
      <c r="CO1" s="106">
        <v>45505</v>
      </c>
      <c r="CP1" s="106">
        <v>45536</v>
      </c>
      <c r="CQ1" s="107">
        <v>45566</v>
      </c>
      <c r="CR1" s="106">
        <v>45597</v>
      </c>
      <c r="CS1" s="106">
        <v>45627</v>
      </c>
      <c r="CT1" s="106">
        <v>45658</v>
      </c>
      <c r="CU1" s="106">
        <v>45689</v>
      </c>
      <c r="CV1" s="106">
        <v>45717</v>
      </c>
      <c r="CW1" s="106">
        <v>45748</v>
      </c>
      <c r="CX1" s="106">
        <v>45778</v>
      </c>
      <c r="CY1" s="106">
        <v>45809</v>
      </c>
      <c r="CZ1" s="106">
        <v>45839</v>
      </c>
      <c r="DA1" s="106">
        <v>45870</v>
      </c>
      <c r="DB1" s="106">
        <v>45901</v>
      </c>
      <c r="DC1" s="108">
        <v>45931</v>
      </c>
      <c r="DD1" s="106">
        <v>45962</v>
      </c>
      <c r="DE1" s="106">
        <v>45992</v>
      </c>
      <c r="DF1" s="106">
        <v>46023</v>
      </c>
      <c r="DG1" s="106">
        <v>46054</v>
      </c>
      <c r="DH1" s="106">
        <v>46082</v>
      </c>
      <c r="DI1" s="106">
        <v>46113</v>
      </c>
      <c r="DJ1" s="106">
        <v>46143</v>
      </c>
      <c r="DK1" s="106">
        <v>46174</v>
      </c>
      <c r="DL1" s="106">
        <v>46204</v>
      </c>
      <c r="DM1" s="106">
        <v>46235</v>
      </c>
      <c r="DN1" s="106">
        <v>46266</v>
      </c>
      <c r="DO1" s="106">
        <v>46296</v>
      </c>
      <c r="DP1" s="106">
        <v>46327</v>
      </c>
      <c r="DQ1" s="106">
        <v>46357</v>
      </c>
      <c r="DR1" s="106">
        <v>46388</v>
      </c>
      <c r="DS1" s="106">
        <v>46419</v>
      </c>
      <c r="DT1" s="106">
        <v>46447</v>
      </c>
      <c r="DU1" s="106">
        <v>46478</v>
      </c>
      <c r="DV1" s="106">
        <v>46508</v>
      </c>
      <c r="DW1" s="106">
        <v>46539</v>
      </c>
      <c r="DX1" s="106">
        <v>46569</v>
      </c>
      <c r="DY1" s="106">
        <v>46600</v>
      </c>
      <c r="DZ1" s="106">
        <v>46631</v>
      </c>
      <c r="EA1" s="106">
        <v>46661</v>
      </c>
      <c r="EB1" s="106">
        <v>46692</v>
      </c>
      <c r="EC1" s="106">
        <v>46722</v>
      </c>
      <c r="ED1" s="106">
        <v>46753</v>
      </c>
      <c r="EE1" s="106">
        <v>46784</v>
      </c>
      <c r="EF1" s="106">
        <v>46813</v>
      </c>
      <c r="EG1" s="106">
        <v>46844</v>
      </c>
      <c r="EH1" s="106">
        <v>46874</v>
      </c>
      <c r="EI1" s="106">
        <v>46905</v>
      </c>
      <c r="EJ1" s="106">
        <v>46935</v>
      </c>
      <c r="EK1" s="106">
        <v>46966</v>
      </c>
      <c r="EL1" s="106">
        <v>46997</v>
      </c>
      <c r="EM1" s="106">
        <v>47027</v>
      </c>
      <c r="EN1" s="106">
        <v>47058</v>
      </c>
      <c r="EO1" s="106">
        <v>47088</v>
      </c>
      <c r="EP1" s="106">
        <v>47119</v>
      </c>
      <c r="EQ1" s="106">
        <v>47150</v>
      </c>
      <c r="ER1" s="106">
        <v>47178</v>
      </c>
      <c r="ES1" s="106">
        <v>47209</v>
      </c>
      <c r="ET1" s="106">
        <v>47239</v>
      </c>
      <c r="EU1" s="106">
        <v>47270</v>
      </c>
      <c r="EV1" s="106">
        <v>47300</v>
      </c>
      <c r="EW1" s="106">
        <v>47331</v>
      </c>
      <c r="EX1" s="106">
        <v>47362</v>
      </c>
      <c r="EY1" s="106">
        <v>47392</v>
      </c>
      <c r="EZ1" s="106">
        <v>47423</v>
      </c>
      <c r="FA1" s="106">
        <v>47453</v>
      </c>
    </row>
    <row r="2" spans="1:157" x14ac:dyDescent="0.2">
      <c r="A2" s="44" t="s">
        <v>341</v>
      </c>
      <c r="B2" s="104" t="e">
        <f t="shared" ref="B2:CG2" si="0">B52*B46/12</f>
        <v>#REF!</v>
      </c>
      <c r="C2" s="104" t="e">
        <f t="shared" si="0"/>
        <v>#REF!</v>
      </c>
      <c r="D2" s="104" t="e">
        <f t="shared" si="0"/>
        <v>#REF!</v>
      </c>
      <c r="E2" s="104" t="e">
        <f t="shared" si="0"/>
        <v>#REF!</v>
      </c>
      <c r="F2" s="104" t="e">
        <f t="shared" si="0"/>
        <v>#REF!</v>
      </c>
      <c r="G2" s="104" t="e">
        <f t="shared" si="0"/>
        <v>#REF!</v>
      </c>
      <c r="H2" s="104" t="e">
        <f t="shared" si="0"/>
        <v>#REF!</v>
      </c>
      <c r="I2" s="104" t="e">
        <f t="shared" si="0"/>
        <v>#REF!</v>
      </c>
      <c r="J2" s="104" t="e">
        <f t="shared" si="0"/>
        <v>#REF!</v>
      </c>
      <c r="K2" s="104" t="e">
        <f t="shared" si="0"/>
        <v>#REF!</v>
      </c>
      <c r="L2" s="104" t="e">
        <f t="shared" si="0"/>
        <v>#REF!</v>
      </c>
      <c r="M2" s="104" t="e">
        <f t="shared" si="0"/>
        <v>#REF!</v>
      </c>
      <c r="N2" s="104" t="e">
        <f t="shared" si="0"/>
        <v>#REF!</v>
      </c>
      <c r="O2" s="104" t="e">
        <f t="shared" si="0"/>
        <v>#REF!</v>
      </c>
      <c r="P2" s="104" t="e">
        <f t="shared" si="0"/>
        <v>#REF!</v>
      </c>
      <c r="Q2" s="104" t="e">
        <f t="shared" si="0"/>
        <v>#REF!</v>
      </c>
      <c r="R2" s="104" t="e">
        <f t="shared" si="0"/>
        <v>#REF!</v>
      </c>
      <c r="S2" s="104" t="e">
        <f t="shared" si="0"/>
        <v>#REF!</v>
      </c>
      <c r="T2" s="104" t="e">
        <f t="shared" si="0"/>
        <v>#REF!</v>
      </c>
      <c r="U2" s="104" t="e">
        <f t="shared" si="0"/>
        <v>#REF!</v>
      </c>
      <c r="V2" s="104" t="e">
        <f t="shared" si="0"/>
        <v>#REF!</v>
      </c>
      <c r="W2" s="104" t="e">
        <f t="shared" si="0"/>
        <v>#REF!</v>
      </c>
      <c r="X2" s="104" t="e">
        <f t="shared" si="0"/>
        <v>#REF!</v>
      </c>
      <c r="Y2" s="104" t="e">
        <f t="shared" si="0"/>
        <v>#REF!</v>
      </c>
      <c r="Z2" s="104" t="e">
        <f t="shared" si="0"/>
        <v>#REF!</v>
      </c>
      <c r="AA2" s="104" t="e">
        <f t="shared" si="0"/>
        <v>#REF!</v>
      </c>
      <c r="AB2" s="104" t="e">
        <f t="shared" si="0"/>
        <v>#REF!</v>
      </c>
      <c r="AC2" s="104" t="e">
        <f t="shared" si="0"/>
        <v>#REF!</v>
      </c>
      <c r="AD2" s="104" t="e">
        <f t="shared" si="0"/>
        <v>#REF!</v>
      </c>
      <c r="AE2" s="104" t="e">
        <f t="shared" si="0"/>
        <v>#REF!</v>
      </c>
      <c r="AF2" s="104" t="e">
        <f t="shared" si="0"/>
        <v>#REF!</v>
      </c>
      <c r="AG2" s="104" t="e">
        <f t="shared" si="0"/>
        <v>#REF!</v>
      </c>
      <c r="AH2" s="104" t="e">
        <f t="shared" si="0"/>
        <v>#REF!</v>
      </c>
      <c r="AI2" s="104" t="e">
        <f t="shared" si="0"/>
        <v>#REF!</v>
      </c>
      <c r="AJ2" s="104" t="e">
        <f t="shared" si="0"/>
        <v>#REF!</v>
      </c>
      <c r="AK2" s="104" t="e">
        <f t="shared" si="0"/>
        <v>#REF!</v>
      </c>
      <c r="AL2" s="104" t="e">
        <f t="shared" si="0"/>
        <v>#REF!</v>
      </c>
      <c r="AM2" s="104" t="e">
        <f t="shared" si="0"/>
        <v>#REF!</v>
      </c>
      <c r="AN2" s="104" t="e">
        <f t="shared" si="0"/>
        <v>#REF!</v>
      </c>
      <c r="AO2" s="104" t="e">
        <f t="shared" si="0"/>
        <v>#REF!</v>
      </c>
      <c r="AP2" s="104" t="e">
        <f t="shared" si="0"/>
        <v>#REF!</v>
      </c>
      <c r="AQ2" s="104" t="e">
        <f t="shared" si="0"/>
        <v>#REF!</v>
      </c>
      <c r="AR2" s="104" t="e">
        <f t="shared" si="0"/>
        <v>#REF!</v>
      </c>
      <c r="AS2" s="104" t="e">
        <f t="shared" si="0"/>
        <v>#REF!</v>
      </c>
      <c r="AT2" s="104" t="e">
        <f t="shared" si="0"/>
        <v>#REF!</v>
      </c>
      <c r="AU2" s="104" t="e">
        <f t="shared" si="0"/>
        <v>#REF!</v>
      </c>
      <c r="AV2" s="104" t="e">
        <f t="shared" si="0"/>
        <v>#REF!</v>
      </c>
      <c r="AW2" s="104" t="e">
        <f t="shared" si="0"/>
        <v>#REF!</v>
      </c>
      <c r="AX2" s="104" t="e">
        <f t="shared" si="0"/>
        <v>#REF!</v>
      </c>
      <c r="AY2" s="104" t="e">
        <f t="shared" si="0"/>
        <v>#REF!</v>
      </c>
      <c r="AZ2" s="104" t="e">
        <f t="shared" si="0"/>
        <v>#REF!</v>
      </c>
      <c r="BA2" s="104" t="e">
        <f t="shared" si="0"/>
        <v>#REF!</v>
      </c>
      <c r="BB2" s="104" t="e">
        <f t="shared" si="0"/>
        <v>#REF!</v>
      </c>
      <c r="BC2" s="104" t="e">
        <f t="shared" si="0"/>
        <v>#REF!</v>
      </c>
      <c r="BD2" s="104" t="e">
        <f t="shared" si="0"/>
        <v>#REF!</v>
      </c>
      <c r="BE2" s="104" t="e">
        <f t="shared" si="0"/>
        <v>#REF!</v>
      </c>
      <c r="BF2" s="104" t="e">
        <f t="shared" si="0"/>
        <v>#REF!</v>
      </c>
      <c r="BG2" s="104" t="e">
        <f t="shared" si="0"/>
        <v>#REF!</v>
      </c>
      <c r="BH2" s="104" t="e">
        <f t="shared" si="0"/>
        <v>#REF!</v>
      </c>
      <c r="BI2" s="104" t="e">
        <f t="shared" si="0"/>
        <v>#REF!</v>
      </c>
      <c r="BJ2" s="104" t="e">
        <f t="shared" si="0"/>
        <v>#REF!</v>
      </c>
      <c r="BK2" s="104" t="e">
        <f t="shared" si="0"/>
        <v>#REF!</v>
      </c>
      <c r="BL2" s="104" t="e">
        <f t="shared" si="0"/>
        <v>#REF!</v>
      </c>
      <c r="BM2" s="104" t="e">
        <f t="shared" si="0"/>
        <v>#REF!</v>
      </c>
      <c r="BN2" s="104" t="e">
        <f t="shared" si="0"/>
        <v>#REF!</v>
      </c>
      <c r="BO2" s="104" t="e">
        <f t="shared" si="0"/>
        <v>#REF!</v>
      </c>
      <c r="BP2" s="104" t="e">
        <f t="shared" si="0"/>
        <v>#REF!</v>
      </c>
      <c r="BQ2" s="104" t="e">
        <f t="shared" si="0"/>
        <v>#REF!</v>
      </c>
      <c r="BR2" s="104" t="e">
        <f t="shared" si="0"/>
        <v>#REF!</v>
      </c>
      <c r="BS2" s="104" t="e">
        <f t="shared" si="0"/>
        <v>#REF!</v>
      </c>
      <c r="BT2" s="104" t="e">
        <f t="shared" si="0"/>
        <v>#REF!</v>
      </c>
      <c r="BU2" s="104" t="e">
        <f t="shared" si="0"/>
        <v>#REF!</v>
      </c>
      <c r="BV2" s="104" t="e">
        <f t="shared" si="0"/>
        <v>#REF!</v>
      </c>
      <c r="BW2" s="104" t="e">
        <f t="shared" si="0"/>
        <v>#REF!</v>
      </c>
      <c r="BX2" s="104" t="e">
        <f t="shared" si="0"/>
        <v>#REF!</v>
      </c>
      <c r="BY2" s="104" t="e">
        <f t="shared" si="0"/>
        <v>#REF!</v>
      </c>
      <c r="BZ2" s="104" t="e">
        <f t="shared" si="0"/>
        <v>#REF!</v>
      </c>
      <c r="CA2" s="104" t="e">
        <f t="shared" si="0"/>
        <v>#REF!</v>
      </c>
      <c r="CB2" s="104" t="e">
        <f t="shared" si="0"/>
        <v>#REF!</v>
      </c>
      <c r="CC2" s="104" t="e">
        <f t="shared" si="0"/>
        <v>#REF!</v>
      </c>
      <c r="CD2" s="104" t="e">
        <f t="shared" si="0"/>
        <v>#REF!</v>
      </c>
      <c r="CE2" s="104" t="e">
        <f t="shared" si="0"/>
        <v>#REF!</v>
      </c>
      <c r="CF2" s="104" t="e">
        <f t="shared" si="0"/>
        <v>#REF!</v>
      </c>
      <c r="CG2" s="104" t="e">
        <f t="shared" si="0"/>
        <v>#REF!</v>
      </c>
      <c r="CH2" s="104">
        <v>17680.752900307722</v>
      </c>
      <c r="CI2" s="104">
        <v>17631.547004402284</v>
      </c>
      <c r="CJ2" s="104">
        <v>17771.454136213983</v>
      </c>
      <c r="CK2" s="104">
        <v>17390.615515464851</v>
      </c>
      <c r="CL2" s="104">
        <v>17744.960116844679</v>
      </c>
      <c r="CM2" s="104">
        <v>18224.778388810464</v>
      </c>
      <c r="CN2" s="104">
        <v>18220.482270102209</v>
      </c>
      <c r="CO2" s="104">
        <v>18457.066646474563</v>
      </c>
      <c r="CP2" s="104">
        <v>92383.1889253353</v>
      </c>
      <c r="CQ2" s="109">
        <v>97493.856881429776</v>
      </c>
      <c r="CR2" s="104">
        <v>370452.24207360839</v>
      </c>
      <c r="CS2" s="104">
        <v>370104.55339660199</v>
      </c>
      <c r="CT2" s="104">
        <v>369788.24849092949</v>
      </c>
      <c r="CU2" s="104">
        <v>653527.01881299249</v>
      </c>
      <c r="CV2" s="104">
        <v>867596.46990695596</v>
      </c>
      <c r="CW2" s="104">
        <v>1365097.4664089067</v>
      </c>
      <c r="CX2" s="104">
        <v>1577717.7371925928</v>
      </c>
      <c r="CY2" s="104">
        <v>1794483.5449354572</v>
      </c>
      <c r="CZ2" s="104">
        <v>1797754.1868537832</v>
      </c>
      <c r="DA2" s="104">
        <v>1802069.3590310484</v>
      </c>
      <c r="DB2" s="104">
        <v>1800032.5497521358</v>
      </c>
      <c r="DC2" s="110">
        <v>1803977.5400940098</v>
      </c>
      <c r="DD2" s="104">
        <v>1808662.6592785115</v>
      </c>
      <c r="DE2" s="104">
        <v>1813038.5977160009</v>
      </c>
      <c r="DF2" s="104">
        <v>1815206.1123936723</v>
      </c>
      <c r="DG2" s="104">
        <v>1820111.472975099</v>
      </c>
      <c r="DH2" s="104">
        <v>1824580.0050274327</v>
      </c>
      <c r="DI2" s="104">
        <v>1831553.4181021254</v>
      </c>
      <c r="DJ2" s="104">
        <v>1833679.0781590226</v>
      </c>
      <c r="DK2" s="104">
        <v>1838117.8583601424</v>
      </c>
      <c r="DL2" s="104">
        <v>1840940.2673201503</v>
      </c>
      <c r="DM2" s="104">
        <v>1843972.6341029361</v>
      </c>
      <c r="DN2" s="104">
        <v>1841067.7038311656</v>
      </c>
      <c r="DO2" s="104">
        <v>1839090.2882807495</v>
      </c>
      <c r="DP2" s="104">
        <v>1842276.6093082712</v>
      </c>
      <c r="DQ2" s="104">
        <v>1845919.0471564257</v>
      </c>
      <c r="DR2" s="104">
        <v>1852897.9660214649</v>
      </c>
      <c r="DS2" s="104">
        <v>1855184.5606837468</v>
      </c>
      <c r="DT2" s="104">
        <v>1859231.1640131625</v>
      </c>
      <c r="DU2" s="104">
        <v>1858152.3700839558</v>
      </c>
      <c r="DV2" s="104">
        <v>1856673.3155648378</v>
      </c>
      <c r="DW2" s="104">
        <v>1861887.4032701897</v>
      </c>
      <c r="DX2" s="104">
        <v>1865080.0825944338</v>
      </c>
      <c r="DY2" s="104">
        <v>1869191.8494671874</v>
      </c>
      <c r="DZ2" s="104">
        <v>1877368.9077709115</v>
      </c>
      <c r="EA2" s="104">
        <v>1887346.9440144682</v>
      </c>
      <c r="EB2" s="104">
        <v>1897349.078714757</v>
      </c>
      <c r="EC2" s="104">
        <v>1910809.5017132717</v>
      </c>
      <c r="ED2" s="104">
        <v>1922911.0261411164</v>
      </c>
      <c r="EE2" s="104">
        <v>1942155.9356721297</v>
      </c>
      <c r="EF2" s="104">
        <v>1957542.7157943395</v>
      </c>
      <c r="EG2" s="104">
        <v>1964199.1313728341</v>
      </c>
      <c r="EH2" s="104">
        <v>1985114.4707620812</v>
      </c>
      <c r="EI2" s="104">
        <v>2015466.5705889463</v>
      </c>
      <c r="EJ2" s="104">
        <v>2028301.0203389141</v>
      </c>
      <c r="EK2" s="104">
        <v>2022878.2805356593</v>
      </c>
      <c r="EL2" s="104">
        <v>2051451.7545412965</v>
      </c>
      <c r="EM2" s="104">
        <v>2068222.1882835543</v>
      </c>
      <c r="EN2" s="104">
        <v>2101442.7526583686</v>
      </c>
      <c r="EO2" s="104">
        <v>2078548.1811367718</v>
      </c>
      <c r="EP2" s="104">
        <v>2118380.9496917198</v>
      </c>
      <c r="EQ2" s="104">
        <v>2104254.17353751</v>
      </c>
      <c r="ER2" s="104">
        <v>2166687.6174286227</v>
      </c>
      <c r="ES2" s="104">
        <v>2240644.2185121388</v>
      </c>
      <c r="ET2" s="104">
        <v>2358818.5753205153</v>
      </c>
      <c r="EU2" s="104">
        <v>2437515.6670920495</v>
      </c>
      <c r="EV2" s="104">
        <v>2888535.1854740111</v>
      </c>
      <c r="EW2" s="104">
        <v>3092187.338220214</v>
      </c>
      <c r="EX2" s="104">
        <v>3309111.6305624279</v>
      </c>
      <c r="EY2" s="104">
        <v>0</v>
      </c>
      <c r="EZ2" s="104">
        <v>0</v>
      </c>
      <c r="FA2" s="104">
        <v>0</v>
      </c>
    </row>
    <row r="3" spans="1:157" x14ac:dyDescent="0.2">
      <c r="A3" s="44"/>
      <c r="CQ3" s="111"/>
      <c r="DC3" s="112"/>
    </row>
    <row r="4" spans="1:157" x14ac:dyDescent="0.2">
      <c r="A4" s="113" t="s">
        <v>342</v>
      </c>
      <c r="B4" s="45" t="e">
        <f t="shared" ref="B4:CG4" si="1">#REF!</f>
        <v>#REF!</v>
      </c>
      <c r="C4" s="45" t="e">
        <f t="shared" si="1"/>
        <v>#REF!</v>
      </c>
      <c r="D4" s="45" t="e">
        <f t="shared" si="1"/>
        <v>#REF!</v>
      </c>
      <c r="E4" s="45" t="e">
        <f t="shared" si="1"/>
        <v>#REF!</v>
      </c>
      <c r="F4" s="45" t="e">
        <f t="shared" si="1"/>
        <v>#REF!</v>
      </c>
      <c r="G4" s="45" t="e">
        <f t="shared" si="1"/>
        <v>#REF!</v>
      </c>
      <c r="H4" s="45" t="e">
        <f t="shared" si="1"/>
        <v>#REF!</v>
      </c>
      <c r="I4" s="45" t="e">
        <f t="shared" si="1"/>
        <v>#REF!</v>
      </c>
      <c r="J4" s="45" t="e">
        <f t="shared" si="1"/>
        <v>#REF!</v>
      </c>
      <c r="K4" s="45" t="e">
        <f t="shared" si="1"/>
        <v>#REF!</v>
      </c>
      <c r="L4" s="45" t="e">
        <f t="shared" si="1"/>
        <v>#REF!</v>
      </c>
      <c r="M4" s="45" t="e">
        <f t="shared" si="1"/>
        <v>#REF!</v>
      </c>
      <c r="N4" s="45" t="e">
        <f t="shared" si="1"/>
        <v>#REF!</v>
      </c>
      <c r="O4" s="45" t="e">
        <f t="shared" si="1"/>
        <v>#REF!</v>
      </c>
      <c r="P4" s="45" t="e">
        <f t="shared" si="1"/>
        <v>#REF!</v>
      </c>
      <c r="Q4" s="45" t="e">
        <f t="shared" si="1"/>
        <v>#REF!</v>
      </c>
      <c r="R4" s="45" t="e">
        <f t="shared" si="1"/>
        <v>#REF!</v>
      </c>
      <c r="S4" s="45" t="e">
        <f t="shared" si="1"/>
        <v>#REF!</v>
      </c>
      <c r="T4" s="45" t="e">
        <f t="shared" si="1"/>
        <v>#REF!</v>
      </c>
      <c r="U4" s="45" t="e">
        <f t="shared" si="1"/>
        <v>#REF!</v>
      </c>
      <c r="V4" s="45" t="e">
        <f t="shared" si="1"/>
        <v>#REF!</v>
      </c>
      <c r="W4" s="45" t="e">
        <f t="shared" si="1"/>
        <v>#REF!</v>
      </c>
      <c r="X4" s="45" t="e">
        <f t="shared" si="1"/>
        <v>#REF!</v>
      </c>
      <c r="Y4" s="45" t="e">
        <f t="shared" si="1"/>
        <v>#REF!</v>
      </c>
      <c r="Z4" s="45" t="e">
        <f t="shared" si="1"/>
        <v>#REF!</v>
      </c>
      <c r="AA4" s="45" t="e">
        <f t="shared" si="1"/>
        <v>#REF!</v>
      </c>
      <c r="AB4" s="45" t="e">
        <f t="shared" si="1"/>
        <v>#REF!</v>
      </c>
      <c r="AC4" s="45" t="e">
        <f t="shared" si="1"/>
        <v>#REF!</v>
      </c>
      <c r="AD4" s="45" t="e">
        <f t="shared" si="1"/>
        <v>#REF!</v>
      </c>
      <c r="AE4" s="45" t="e">
        <f t="shared" si="1"/>
        <v>#REF!</v>
      </c>
      <c r="AF4" s="45" t="e">
        <f t="shared" si="1"/>
        <v>#REF!</v>
      </c>
      <c r="AG4" s="45" t="e">
        <f t="shared" si="1"/>
        <v>#REF!</v>
      </c>
      <c r="AH4" s="45" t="e">
        <f t="shared" si="1"/>
        <v>#REF!</v>
      </c>
      <c r="AI4" s="45" t="e">
        <f t="shared" si="1"/>
        <v>#REF!</v>
      </c>
      <c r="AJ4" s="45" t="e">
        <f t="shared" si="1"/>
        <v>#REF!</v>
      </c>
      <c r="AK4" s="45" t="e">
        <f t="shared" si="1"/>
        <v>#REF!</v>
      </c>
      <c r="AL4" s="45" t="e">
        <f t="shared" si="1"/>
        <v>#REF!</v>
      </c>
      <c r="AM4" s="45" t="e">
        <f t="shared" si="1"/>
        <v>#REF!</v>
      </c>
      <c r="AN4" s="45" t="e">
        <f t="shared" si="1"/>
        <v>#REF!</v>
      </c>
      <c r="AO4" s="45" t="e">
        <f t="shared" si="1"/>
        <v>#REF!</v>
      </c>
      <c r="AP4" s="45" t="e">
        <f t="shared" si="1"/>
        <v>#REF!</v>
      </c>
      <c r="AQ4" s="45" t="e">
        <f t="shared" si="1"/>
        <v>#REF!</v>
      </c>
      <c r="AR4" s="45" t="e">
        <f t="shared" si="1"/>
        <v>#REF!</v>
      </c>
      <c r="AS4" s="45" t="e">
        <f t="shared" si="1"/>
        <v>#REF!</v>
      </c>
      <c r="AT4" s="45" t="e">
        <f t="shared" si="1"/>
        <v>#REF!</v>
      </c>
      <c r="AU4" s="45" t="e">
        <f t="shared" si="1"/>
        <v>#REF!</v>
      </c>
      <c r="AV4" s="45" t="e">
        <f t="shared" si="1"/>
        <v>#REF!</v>
      </c>
      <c r="AW4" s="45" t="e">
        <f t="shared" si="1"/>
        <v>#REF!</v>
      </c>
      <c r="AX4" s="45" t="e">
        <f t="shared" si="1"/>
        <v>#REF!</v>
      </c>
      <c r="AY4" s="45" t="e">
        <f t="shared" si="1"/>
        <v>#REF!</v>
      </c>
      <c r="AZ4" s="45" t="e">
        <f t="shared" si="1"/>
        <v>#REF!</v>
      </c>
      <c r="BA4" s="45" t="e">
        <f t="shared" si="1"/>
        <v>#REF!</v>
      </c>
      <c r="BB4" s="45" t="e">
        <f t="shared" si="1"/>
        <v>#REF!</v>
      </c>
      <c r="BC4" s="45" t="e">
        <f t="shared" si="1"/>
        <v>#REF!</v>
      </c>
      <c r="BD4" s="45" t="e">
        <f t="shared" si="1"/>
        <v>#REF!</v>
      </c>
      <c r="BE4" s="45" t="e">
        <f t="shared" si="1"/>
        <v>#REF!</v>
      </c>
      <c r="BF4" s="45" t="e">
        <f t="shared" si="1"/>
        <v>#REF!</v>
      </c>
      <c r="BG4" s="45" t="e">
        <f t="shared" si="1"/>
        <v>#REF!</v>
      </c>
      <c r="BH4" s="45" t="e">
        <f t="shared" si="1"/>
        <v>#REF!</v>
      </c>
      <c r="BI4" s="45" t="e">
        <f t="shared" si="1"/>
        <v>#REF!</v>
      </c>
      <c r="BJ4" s="45" t="e">
        <f t="shared" si="1"/>
        <v>#REF!</v>
      </c>
      <c r="BK4" s="45" t="e">
        <f t="shared" si="1"/>
        <v>#REF!</v>
      </c>
      <c r="BL4" s="45" t="e">
        <f t="shared" si="1"/>
        <v>#REF!</v>
      </c>
      <c r="BM4" s="45" t="e">
        <f t="shared" si="1"/>
        <v>#REF!</v>
      </c>
      <c r="BN4" s="45" t="e">
        <f t="shared" si="1"/>
        <v>#REF!</v>
      </c>
      <c r="BO4" s="45" t="e">
        <f t="shared" si="1"/>
        <v>#REF!</v>
      </c>
      <c r="BP4" s="45" t="e">
        <f t="shared" si="1"/>
        <v>#REF!</v>
      </c>
      <c r="BQ4" s="45" t="e">
        <f t="shared" si="1"/>
        <v>#REF!</v>
      </c>
      <c r="BR4" s="45" t="e">
        <f t="shared" si="1"/>
        <v>#REF!</v>
      </c>
      <c r="BS4" s="45" t="e">
        <f t="shared" si="1"/>
        <v>#REF!</v>
      </c>
      <c r="BT4" s="45" t="e">
        <f t="shared" si="1"/>
        <v>#REF!</v>
      </c>
      <c r="BU4" s="45" t="e">
        <f t="shared" si="1"/>
        <v>#REF!</v>
      </c>
      <c r="BV4" s="45" t="e">
        <f t="shared" si="1"/>
        <v>#REF!</v>
      </c>
      <c r="BW4" s="45" t="e">
        <f t="shared" si="1"/>
        <v>#REF!</v>
      </c>
      <c r="BX4" s="45" t="e">
        <f t="shared" si="1"/>
        <v>#REF!</v>
      </c>
      <c r="BY4" s="45" t="e">
        <f t="shared" si="1"/>
        <v>#REF!</v>
      </c>
      <c r="BZ4" s="45" t="e">
        <f t="shared" si="1"/>
        <v>#REF!</v>
      </c>
      <c r="CA4" s="45" t="e">
        <f t="shared" si="1"/>
        <v>#REF!</v>
      </c>
      <c r="CB4" s="45" t="e">
        <f t="shared" si="1"/>
        <v>#REF!</v>
      </c>
      <c r="CC4" s="45" t="e">
        <f t="shared" si="1"/>
        <v>#REF!</v>
      </c>
      <c r="CD4" s="45" t="e">
        <f t="shared" si="1"/>
        <v>#REF!</v>
      </c>
      <c r="CE4" s="45" t="e">
        <f t="shared" si="1"/>
        <v>#REF!</v>
      </c>
      <c r="CF4" s="45" t="e">
        <f t="shared" si="1"/>
        <v>#REF!</v>
      </c>
      <c r="CG4" s="45" t="e">
        <f t="shared" si="1"/>
        <v>#REF!</v>
      </c>
      <c r="CH4" s="45">
        <v>143476.08000000002</v>
      </c>
      <c r="CI4" s="45">
        <v>112522.68000000001</v>
      </c>
      <c r="CJ4" s="45">
        <v>41129.199999999997</v>
      </c>
      <c r="CK4" s="45">
        <v>153075.28000000003</v>
      </c>
      <c r="CL4" s="45">
        <v>176065.56000000003</v>
      </c>
      <c r="CM4" s="45">
        <v>103720.42000000001</v>
      </c>
      <c r="CN4" s="45">
        <v>121839.70000000001</v>
      </c>
      <c r="CO4" s="45">
        <v>167684.57999999999</v>
      </c>
      <c r="CP4" s="45">
        <v>157378.68</v>
      </c>
      <c r="CQ4" s="114">
        <v>17664.239999999998</v>
      </c>
      <c r="CR4" s="45">
        <v>512465.89915533899</v>
      </c>
      <c r="CS4" s="45">
        <v>509675.44346134126</v>
      </c>
      <c r="CT4" s="45">
        <v>107007.41169869601</v>
      </c>
      <c r="CU4" s="45">
        <v>504751.88623032928</v>
      </c>
      <c r="CV4" s="45">
        <v>404969.95064516185</v>
      </c>
      <c r="CW4" s="45">
        <v>405732.01386312215</v>
      </c>
      <c r="CX4" s="45">
        <v>102572.66502168536</v>
      </c>
      <c r="CY4" s="45">
        <v>98017.18530691386</v>
      </c>
      <c r="CZ4" s="45">
        <v>98115.728659269211</v>
      </c>
      <c r="DA4" s="45">
        <v>98093.800967382791</v>
      </c>
      <c r="DB4" s="45">
        <v>98918.411722565594</v>
      </c>
      <c r="DC4" s="115">
        <v>93347.040907295348</v>
      </c>
      <c r="DD4" s="45">
        <v>93095.717986976801</v>
      </c>
      <c r="DE4" s="45">
        <v>93475.456880362035</v>
      </c>
      <c r="DF4" s="45">
        <v>92957.611660232549</v>
      </c>
      <c r="DG4" s="45">
        <v>90887.966363052125</v>
      </c>
      <c r="DH4" s="45">
        <v>90800.018002731507</v>
      </c>
      <c r="DI4" s="45">
        <v>89874.54016791821</v>
      </c>
      <c r="DJ4" s="45">
        <v>90555.281679367123</v>
      </c>
      <c r="DK4" s="45">
        <v>87312.688790280517</v>
      </c>
      <c r="DL4" s="45">
        <v>85900.31319108665</v>
      </c>
      <c r="DM4" s="45">
        <v>83512.654755849842</v>
      </c>
      <c r="DN4" s="45">
        <v>81113.590963418188</v>
      </c>
      <c r="DO4" s="45">
        <v>75895.66173140287</v>
      </c>
      <c r="DP4" s="45">
        <v>71991.599555581517</v>
      </c>
      <c r="DQ4" s="45">
        <v>70567.380218679609</v>
      </c>
      <c r="DR4" s="45">
        <v>69730.996320392194</v>
      </c>
      <c r="DS4" s="45">
        <v>70314.590597187882</v>
      </c>
      <c r="DT4" s="45">
        <v>68753.719002650381</v>
      </c>
      <c r="DU4" s="45">
        <v>67867.101907442207</v>
      </c>
      <c r="DV4" s="45">
        <v>64951.381399558188</v>
      </c>
      <c r="DW4" s="45">
        <v>62505.595271271472</v>
      </c>
      <c r="DX4" s="45">
        <v>62190.120481607912</v>
      </c>
      <c r="DY4" s="45">
        <v>61266.04147454739</v>
      </c>
      <c r="DZ4" s="45">
        <v>60442.123352965711</v>
      </c>
      <c r="EA4" s="45">
        <v>60346.059942801003</v>
      </c>
      <c r="EB4" s="45">
        <v>60449.285348204372</v>
      </c>
      <c r="EC4" s="45">
        <v>60189.681487429742</v>
      </c>
      <c r="ED4" s="45">
        <v>60402.64128755391</v>
      </c>
      <c r="EE4" s="45">
        <v>59852.44907363534</v>
      </c>
      <c r="EF4" s="45">
        <v>60235.170935930015</v>
      </c>
      <c r="EG4" s="45">
        <v>59438.062283010484</v>
      </c>
      <c r="EH4" s="45">
        <v>57056.843757916096</v>
      </c>
      <c r="EI4" s="45">
        <v>56289.404174549578</v>
      </c>
      <c r="EJ4" s="45">
        <v>55829.899999051093</v>
      </c>
      <c r="EK4" s="45">
        <v>53338.117144900563</v>
      </c>
      <c r="EL4" s="45">
        <v>49704.745732375981</v>
      </c>
      <c r="EM4" s="45">
        <v>48560.515929923058</v>
      </c>
      <c r="EN4" s="45">
        <v>46616.913482312564</v>
      </c>
      <c r="EO4" s="45">
        <v>45445.520233100055</v>
      </c>
      <c r="EP4" s="45">
        <v>42648.873901042345</v>
      </c>
      <c r="EQ4" s="45">
        <v>41868.455674021243</v>
      </c>
      <c r="ER4" s="45">
        <v>40099.298146129848</v>
      </c>
      <c r="ES4" s="45">
        <v>39730.497118722204</v>
      </c>
      <c r="ET4" s="45">
        <v>39156.569564085607</v>
      </c>
      <c r="EU4" s="45">
        <v>38543.818973966838</v>
      </c>
      <c r="EV4" s="45">
        <v>37456.969644268152</v>
      </c>
      <c r="EW4" s="45">
        <v>37373.410012876986</v>
      </c>
      <c r="EX4" s="45">
        <v>36008.875236186985</v>
      </c>
      <c r="EY4" s="45">
        <v>35715.251091727019</v>
      </c>
      <c r="EZ4" s="45">
        <v>35792.193908135894</v>
      </c>
      <c r="FA4" s="45">
        <v>36060.635362446905</v>
      </c>
    </row>
    <row r="5" spans="1:157" x14ac:dyDescent="0.2">
      <c r="A5" s="113" t="s">
        <v>343</v>
      </c>
      <c r="B5" s="45" t="e">
        <f t="shared" ref="B5:CG5" si="2">#REF!</f>
        <v>#REF!</v>
      </c>
      <c r="C5" s="45" t="e">
        <f t="shared" si="2"/>
        <v>#REF!</v>
      </c>
      <c r="D5" s="45" t="e">
        <f t="shared" si="2"/>
        <v>#REF!</v>
      </c>
      <c r="E5" s="45" t="e">
        <f t="shared" si="2"/>
        <v>#REF!</v>
      </c>
      <c r="F5" s="45" t="e">
        <f t="shared" si="2"/>
        <v>#REF!</v>
      </c>
      <c r="G5" s="45" t="e">
        <f t="shared" si="2"/>
        <v>#REF!</v>
      </c>
      <c r="H5" s="45" t="e">
        <f t="shared" si="2"/>
        <v>#REF!</v>
      </c>
      <c r="I5" s="45" t="e">
        <f t="shared" si="2"/>
        <v>#REF!</v>
      </c>
      <c r="J5" s="45" t="e">
        <f t="shared" si="2"/>
        <v>#REF!</v>
      </c>
      <c r="K5" s="45" t="e">
        <f t="shared" si="2"/>
        <v>#REF!</v>
      </c>
      <c r="L5" s="45" t="e">
        <f t="shared" si="2"/>
        <v>#REF!</v>
      </c>
      <c r="M5" s="45" t="e">
        <f t="shared" si="2"/>
        <v>#REF!</v>
      </c>
      <c r="N5" s="45" t="e">
        <f t="shared" si="2"/>
        <v>#REF!</v>
      </c>
      <c r="O5" s="45" t="e">
        <f t="shared" si="2"/>
        <v>#REF!</v>
      </c>
      <c r="P5" s="45" t="e">
        <f t="shared" si="2"/>
        <v>#REF!</v>
      </c>
      <c r="Q5" s="45" t="e">
        <f t="shared" si="2"/>
        <v>#REF!</v>
      </c>
      <c r="R5" s="45" t="e">
        <f t="shared" si="2"/>
        <v>#REF!</v>
      </c>
      <c r="S5" s="45" t="e">
        <f t="shared" si="2"/>
        <v>#REF!</v>
      </c>
      <c r="T5" s="45" t="e">
        <f t="shared" si="2"/>
        <v>#REF!</v>
      </c>
      <c r="U5" s="45" t="e">
        <f t="shared" si="2"/>
        <v>#REF!</v>
      </c>
      <c r="V5" s="45" t="e">
        <f t="shared" si="2"/>
        <v>#REF!</v>
      </c>
      <c r="W5" s="45" t="e">
        <f t="shared" si="2"/>
        <v>#REF!</v>
      </c>
      <c r="X5" s="45" t="e">
        <f t="shared" si="2"/>
        <v>#REF!</v>
      </c>
      <c r="Y5" s="45" t="e">
        <f t="shared" si="2"/>
        <v>#REF!</v>
      </c>
      <c r="Z5" s="45" t="e">
        <f t="shared" si="2"/>
        <v>#REF!</v>
      </c>
      <c r="AA5" s="45" t="e">
        <f t="shared" si="2"/>
        <v>#REF!</v>
      </c>
      <c r="AB5" s="45" t="e">
        <f t="shared" si="2"/>
        <v>#REF!</v>
      </c>
      <c r="AC5" s="45" t="e">
        <f t="shared" si="2"/>
        <v>#REF!</v>
      </c>
      <c r="AD5" s="45" t="e">
        <f t="shared" si="2"/>
        <v>#REF!</v>
      </c>
      <c r="AE5" s="45" t="e">
        <f t="shared" si="2"/>
        <v>#REF!</v>
      </c>
      <c r="AF5" s="45" t="e">
        <f t="shared" si="2"/>
        <v>#REF!</v>
      </c>
      <c r="AG5" s="45" t="e">
        <f t="shared" si="2"/>
        <v>#REF!</v>
      </c>
      <c r="AH5" s="45" t="e">
        <f t="shared" si="2"/>
        <v>#REF!</v>
      </c>
      <c r="AI5" s="45" t="e">
        <f t="shared" si="2"/>
        <v>#REF!</v>
      </c>
      <c r="AJ5" s="45" t="e">
        <f t="shared" si="2"/>
        <v>#REF!</v>
      </c>
      <c r="AK5" s="45" t="e">
        <f t="shared" si="2"/>
        <v>#REF!</v>
      </c>
      <c r="AL5" s="45" t="e">
        <f t="shared" si="2"/>
        <v>#REF!</v>
      </c>
      <c r="AM5" s="45" t="e">
        <f t="shared" si="2"/>
        <v>#REF!</v>
      </c>
      <c r="AN5" s="45" t="e">
        <f t="shared" si="2"/>
        <v>#REF!</v>
      </c>
      <c r="AO5" s="45" t="e">
        <f t="shared" si="2"/>
        <v>#REF!</v>
      </c>
      <c r="AP5" s="45" t="e">
        <f t="shared" si="2"/>
        <v>#REF!</v>
      </c>
      <c r="AQ5" s="45" t="e">
        <f t="shared" si="2"/>
        <v>#REF!</v>
      </c>
      <c r="AR5" s="45" t="e">
        <f t="shared" si="2"/>
        <v>#REF!</v>
      </c>
      <c r="AS5" s="45" t="e">
        <f t="shared" si="2"/>
        <v>#REF!</v>
      </c>
      <c r="AT5" s="45" t="e">
        <f t="shared" si="2"/>
        <v>#REF!</v>
      </c>
      <c r="AU5" s="45" t="e">
        <f t="shared" si="2"/>
        <v>#REF!</v>
      </c>
      <c r="AV5" s="45" t="e">
        <f t="shared" si="2"/>
        <v>#REF!</v>
      </c>
      <c r="AW5" s="45" t="e">
        <f t="shared" si="2"/>
        <v>#REF!</v>
      </c>
      <c r="AX5" s="45" t="e">
        <f t="shared" si="2"/>
        <v>#REF!</v>
      </c>
      <c r="AY5" s="45" t="e">
        <f t="shared" si="2"/>
        <v>#REF!</v>
      </c>
      <c r="AZ5" s="45" t="e">
        <f t="shared" si="2"/>
        <v>#REF!</v>
      </c>
      <c r="BA5" s="45" t="e">
        <f t="shared" si="2"/>
        <v>#REF!</v>
      </c>
      <c r="BB5" s="45" t="e">
        <f t="shared" si="2"/>
        <v>#REF!</v>
      </c>
      <c r="BC5" s="45" t="e">
        <f t="shared" si="2"/>
        <v>#REF!</v>
      </c>
      <c r="BD5" s="45" t="e">
        <f t="shared" si="2"/>
        <v>#REF!</v>
      </c>
      <c r="BE5" s="45" t="e">
        <f t="shared" si="2"/>
        <v>#REF!</v>
      </c>
      <c r="BF5" s="45" t="e">
        <f t="shared" si="2"/>
        <v>#REF!</v>
      </c>
      <c r="BG5" s="45" t="e">
        <f t="shared" si="2"/>
        <v>#REF!</v>
      </c>
      <c r="BH5" s="45" t="e">
        <f t="shared" si="2"/>
        <v>#REF!</v>
      </c>
      <c r="BI5" s="45" t="e">
        <f t="shared" si="2"/>
        <v>#REF!</v>
      </c>
      <c r="BJ5" s="45" t="e">
        <f t="shared" si="2"/>
        <v>#REF!</v>
      </c>
      <c r="BK5" s="45" t="e">
        <f t="shared" si="2"/>
        <v>#REF!</v>
      </c>
      <c r="BL5" s="45" t="e">
        <f t="shared" si="2"/>
        <v>#REF!</v>
      </c>
      <c r="BM5" s="45" t="e">
        <f t="shared" si="2"/>
        <v>#REF!</v>
      </c>
      <c r="BN5" s="45" t="e">
        <f t="shared" si="2"/>
        <v>#REF!</v>
      </c>
      <c r="BO5" s="45" t="e">
        <f t="shared" si="2"/>
        <v>#REF!</v>
      </c>
      <c r="BP5" s="45" t="e">
        <f t="shared" si="2"/>
        <v>#REF!</v>
      </c>
      <c r="BQ5" s="45" t="e">
        <f t="shared" si="2"/>
        <v>#REF!</v>
      </c>
      <c r="BR5" s="45" t="e">
        <f t="shared" si="2"/>
        <v>#REF!</v>
      </c>
      <c r="BS5" s="45" t="e">
        <f t="shared" si="2"/>
        <v>#REF!</v>
      </c>
      <c r="BT5" s="45" t="e">
        <f t="shared" si="2"/>
        <v>#REF!</v>
      </c>
      <c r="BU5" s="45" t="e">
        <f t="shared" si="2"/>
        <v>#REF!</v>
      </c>
      <c r="BV5" s="45" t="e">
        <f t="shared" si="2"/>
        <v>#REF!</v>
      </c>
      <c r="BW5" s="45" t="e">
        <f t="shared" si="2"/>
        <v>#REF!</v>
      </c>
      <c r="BX5" s="45" t="e">
        <f t="shared" si="2"/>
        <v>#REF!</v>
      </c>
      <c r="BY5" s="45" t="e">
        <f t="shared" si="2"/>
        <v>#REF!</v>
      </c>
      <c r="BZ5" s="45" t="e">
        <f t="shared" si="2"/>
        <v>#REF!</v>
      </c>
      <c r="CA5" s="45" t="e">
        <f t="shared" si="2"/>
        <v>#REF!</v>
      </c>
      <c r="CB5" s="45" t="e">
        <f t="shared" si="2"/>
        <v>#REF!</v>
      </c>
      <c r="CC5" s="45" t="e">
        <f t="shared" si="2"/>
        <v>#REF!</v>
      </c>
      <c r="CD5" s="45" t="e">
        <f t="shared" si="2"/>
        <v>#REF!</v>
      </c>
      <c r="CE5" s="45" t="e">
        <f t="shared" si="2"/>
        <v>#REF!</v>
      </c>
      <c r="CF5" s="45" t="e">
        <f t="shared" si="2"/>
        <v>#REF!</v>
      </c>
      <c r="CG5" s="45" t="e">
        <f t="shared" si="2"/>
        <v>#REF!</v>
      </c>
      <c r="CH5" s="45">
        <v>619810.33642600919</v>
      </c>
      <c r="CI5" s="45">
        <v>657343.21792512387</v>
      </c>
      <c r="CJ5" s="45">
        <v>687399.59726064454</v>
      </c>
      <c r="CK5" s="45">
        <v>685065.90753110452</v>
      </c>
      <c r="CL5" s="45">
        <v>728561.52134832868</v>
      </c>
      <c r="CM5" s="45">
        <v>786023.93910600606</v>
      </c>
      <c r="CN5" s="45">
        <v>805613.79305655463</v>
      </c>
      <c r="CO5" s="45">
        <v>839588.73593303654</v>
      </c>
      <c r="CP5" s="45">
        <v>894218.16734393896</v>
      </c>
      <c r="CQ5" s="114">
        <v>950629.83439314819</v>
      </c>
      <c r="CR5" s="45">
        <v>1251720.5589834377</v>
      </c>
      <c r="CS5" s="45">
        <v>1279712.2330366285</v>
      </c>
      <c r="CT5" s="45">
        <v>1307559.6693028461</v>
      </c>
      <c r="CU5" s="45">
        <v>1535597.6540100011</v>
      </c>
      <c r="CV5" s="45">
        <v>1713039.1100206911</v>
      </c>
      <c r="CW5" s="45">
        <v>2088174.2862403353</v>
      </c>
      <c r="CX5" s="45">
        <v>2262214.9032074925</v>
      </c>
      <c r="CY5" s="45">
        <v>2438594.0428516194</v>
      </c>
      <c r="CZ5" s="45">
        <v>2464445.2841421873</v>
      </c>
      <c r="DA5" s="45">
        <v>2489734.3272451139</v>
      </c>
      <c r="DB5" s="45">
        <v>2511899.7389903395</v>
      </c>
      <c r="DC5" s="115">
        <v>2536695.6952515752</v>
      </c>
      <c r="DD5" s="45">
        <v>2560939.3617867026</v>
      </c>
      <c r="DE5" s="45">
        <v>2584726.8567974768</v>
      </c>
      <c r="DF5" s="45">
        <v>2606460.8072138196</v>
      </c>
      <c r="DG5" s="45">
        <v>2628595.464177588</v>
      </c>
      <c r="DH5" s="45">
        <v>2649185.3326392258</v>
      </c>
      <c r="DI5" s="45">
        <v>2670682.493101832</v>
      </c>
      <c r="DJ5" s="45">
        <v>2690285.5917341746</v>
      </c>
      <c r="DK5" s="45">
        <v>2710977.443222966</v>
      </c>
      <c r="DL5" s="45">
        <v>2730208.0154706808</v>
      </c>
      <c r="DM5" s="45">
        <v>2749958.217870411</v>
      </c>
      <c r="DN5" s="45">
        <v>2766892.7695046458</v>
      </c>
      <c r="DO5" s="45">
        <v>2784344.365949207</v>
      </c>
      <c r="DP5" s="45">
        <v>2803323.8554131621</v>
      </c>
      <c r="DQ5" s="45">
        <v>2821486.432205521</v>
      </c>
      <c r="DR5" s="45">
        <v>2839905.6401923681</v>
      </c>
      <c r="DS5" s="45">
        <v>2857738.2528047347</v>
      </c>
      <c r="DT5" s="45">
        <v>2875901.8778953226</v>
      </c>
      <c r="DU5" s="45">
        <v>2891815.6300227987</v>
      </c>
      <c r="DV5" s="45">
        <v>2908971.5632664571</v>
      </c>
      <c r="DW5" s="45">
        <v>2925582.7619987717</v>
      </c>
      <c r="DX5" s="45">
        <v>2941848.8092125943</v>
      </c>
      <c r="DY5" s="45">
        <v>2958283.2926412141</v>
      </c>
      <c r="DZ5" s="45">
        <v>2974665.2514042291</v>
      </c>
      <c r="EA5" s="45">
        <v>2991134.5640352187</v>
      </c>
      <c r="EB5" s="45">
        <v>3007849.1832018057</v>
      </c>
      <c r="EC5" s="45">
        <v>3023829.6392080458</v>
      </c>
      <c r="ED5" s="45">
        <v>3039436.7565759895</v>
      </c>
      <c r="EE5" s="45">
        <v>3055347.0453685997</v>
      </c>
      <c r="EF5" s="45">
        <v>3070113.1775347581</v>
      </c>
      <c r="EG5" s="45">
        <v>3084229.2850563051</v>
      </c>
      <c r="EH5" s="45">
        <v>3099257.9844928328</v>
      </c>
      <c r="EI5" s="45">
        <v>3114557.5679584891</v>
      </c>
      <c r="EJ5" s="45">
        <v>3128991.4567102194</v>
      </c>
      <c r="EK5" s="45">
        <v>3143002.3151532803</v>
      </c>
      <c r="EL5" s="45">
        <v>3158360.2512206389</v>
      </c>
      <c r="EM5" s="45">
        <v>3173456.790316754</v>
      </c>
      <c r="EN5" s="45">
        <v>3189060.602036221</v>
      </c>
      <c r="EO5" s="45">
        <v>3204004.8078005966</v>
      </c>
      <c r="EP5" s="45">
        <v>3220065.2574096746</v>
      </c>
      <c r="EQ5" s="45">
        <v>3235774.882771764</v>
      </c>
      <c r="ER5" s="45">
        <v>3252298.9705633409</v>
      </c>
      <c r="ES5" s="45">
        <v>3268852.1590300784</v>
      </c>
      <c r="ET5" s="45">
        <v>3285516.7400881387</v>
      </c>
      <c r="EU5" s="45">
        <v>3302082.60479835</v>
      </c>
      <c r="EV5" s="45">
        <v>3319270.847362848</v>
      </c>
      <c r="EW5" s="45">
        <v>3335967.6527833552</v>
      </c>
      <c r="EX5" s="45">
        <v>3353323.6203904194</v>
      </c>
      <c r="EY5" s="45">
        <v>3370993.4597846931</v>
      </c>
      <c r="EZ5" s="45">
        <v>3388889.5567387608</v>
      </c>
      <c r="FA5" s="45">
        <v>3406919.8744199844</v>
      </c>
    </row>
    <row r="6" spans="1:157" x14ac:dyDescent="0.2">
      <c r="A6" s="113" t="s">
        <v>344</v>
      </c>
      <c r="B6" s="45" t="e">
        <f>IF(B1&gt;Supuestos!$D$22,Supuestos!$B$22*B41,Supuestos!$B$21*B44)</f>
        <v>#REF!</v>
      </c>
      <c r="C6" s="45" t="e">
        <f>IF(C1&gt;Supuestos!$D$22,Supuestos!$B$22*C41,Supuestos!$B$21*C44)</f>
        <v>#REF!</v>
      </c>
      <c r="D6" s="45" t="e">
        <f>IF(D1&gt;Supuestos!$D$22,Supuestos!$B$22*D41,Supuestos!$B$21*D44)</f>
        <v>#REF!</v>
      </c>
      <c r="E6" s="45" t="e">
        <f>IF(E1&gt;Supuestos!$D$22,Supuestos!$B$22*E41,Supuestos!$B$21*E44)</f>
        <v>#REF!</v>
      </c>
      <c r="F6" s="45" t="e">
        <f>IF(F1&gt;Supuestos!$D$22,Supuestos!$B$22*F41,Supuestos!$B$21*F44)</f>
        <v>#REF!</v>
      </c>
      <c r="G6" s="45" t="e">
        <f>IF(G1&gt;Supuestos!$D$22,Supuestos!$B$22*G41,Supuestos!$B$21*G44)</f>
        <v>#REF!</v>
      </c>
      <c r="H6" s="45" t="e">
        <f>IF(H1&gt;Supuestos!$D$22,Supuestos!$B$22*H41,Supuestos!$B$21*H44)</f>
        <v>#REF!</v>
      </c>
      <c r="I6" s="45" t="e">
        <f>IF(I1&gt;Supuestos!$D$22,Supuestos!$B$22*I41,Supuestos!$B$21*I44)</f>
        <v>#REF!</v>
      </c>
      <c r="J6" s="45" t="e">
        <f>IF(J1&gt;Supuestos!$D$22,Supuestos!$B$22*J41,Supuestos!$B$21*J44)</f>
        <v>#REF!</v>
      </c>
      <c r="K6" s="45" t="e">
        <f>IF(K1&gt;Supuestos!$D$22,Supuestos!$B$22*K41,Supuestos!$B$21*K44)</f>
        <v>#REF!</v>
      </c>
      <c r="L6" s="45" t="e">
        <f>IF(L1&gt;Supuestos!$D$22,Supuestos!$B$22*L41,Supuestos!$B$21*L44)</f>
        <v>#REF!</v>
      </c>
      <c r="M6" s="45" t="e">
        <f>IF(M1&gt;Supuestos!$D$22,Supuestos!$B$22*M41,Supuestos!$B$21*M44)</f>
        <v>#REF!</v>
      </c>
      <c r="N6" s="45" t="e">
        <f>IF(N1&gt;Supuestos!$D$22,Supuestos!$B$22*N41,Supuestos!$B$21*N44)</f>
        <v>#REF!</v>
      </c>
      <c r="O6" s="45" t="e">
        <f>IF(O1&gt;Supuestos!$D$22,Supuestos!$B$22*O41,Supuestos!$B$21*O44)</f>
        <v>#REF!</v>
      </c>
      <c r="P6" s="45" t="e">
        <f>IF(P1&gt;Supuestos!$D$22,Supuestos!$B$22*P41,Supuestos!$B$21*P44)</f>
        <v>#REF!</v>
      </c>
      <c r="Q6" s="45" t="e">
        <f>IF(Q1&gt;Supuestos!$D$22,Supuestos!$B$22*Q41,Supuestos!$B$21*Q44)</f>
        <v>#REF!</v>
      </c>
      <c r="R6" s="45" t="e">
        <f>IF(R1&gt;Supuestos!$D$22,Supuestos!$B$22*R41,Supuestos!$B$21*R44)</f>
        <v>#REF!</v>
      </c>
      <c r="S6" s="45" t="e">
        <f>IF(S1&gt;Supuestos!$D$22,Supuestos!$B$22*S41,Supuestos!$B$21*S44)</f>
        <v>#REF!</v>
      </c>
      <c r="T6" s="45" t="e">
        <f>IF(T1&gt;Supuestos!$D$22,Supuestos!$B$22*T41,Supuestos!$B$21*T44)</f>
        <v>#REF!</v>
      </c>
      <c r="U6" s="45" t="e">
        <f>IF(U1&gt;Supuestos!$D$22,Supuestos!$B$22*U41,Supuestos!$B$21*U44)</f>
        <v>#REF!</v>
      </c>
      <c r="V6" s="45" t="e">
        <f>IF(V1&gt;Supuestos!$D$22,Supuestos!$B$22*V41,Supuestos!$B$21*V44)</f>
        <v>#REF!</v>
      </c>
      <c r="W6" s="45" t="e">
        <f>IF(W1&gt;Supuestos!$D$22,Supuestos!$B$22*W41,Supuestos!$B$21*W44)</f>
        <v>#REF!</v>
      </c>
      <c r="X6" s="45" t="e">
        <f>IF(X1&gt;Supuestos!$D$22,Supuestos!$B$22*X41,Supuestos!$B$21*X44)</f>
        <v>#REF!</v>
      </c>
      <c r="Y6" s="45" t="e">
        <f>IF(Y1&gt;Supuestos!$D$22,Supuestos!$B$22*Y41,Supuestos!$B$21*Y44)</f>
        <v>#REF!</v>
      </c>
      <c r="Z6" s="45" t="e">
        <f>IF(Z1&gt;Supuestos!$D$22,Supuestos!$B$22*Z41,Supuestos!$B$21*Z44)</f>
        <v>#REF!</v>
      </c>
      <c r="AA6" s="45" t="e">
        <f>IF(AA1&gt;Supuestos!$D$22,Supuestos!$B$22*AA41,Supuestos!$B$21*AA44)</f>
        <v>#REF!</v>
      </c>
      <c r="AB6" s="45" t="e">
        <f>IF(AB1&gt;Supuestos!$D$22,Supuestos!$B$22*AB41,Supuestos!$B$21*AB44)</f>
        <v>#REF!</v>
      </c>
      <c r="AC6" s="45" t="e">
        <f>IF(AC1&gt;Supuestos!$D$22,Supuestos!$B$22*AC41,Supuestos!$B$21*AC44)</f>
        <v>#REF!</v>
      </c>
      <c r="AD6" s="45" t="e">
        <f>IF(AD1&gt;Supuestos!$D$22,Supuestos!$B$22*AD41,Supuestos!$B$21*AD44)</f>
        <v>#REF!</v>
      </c>
      <c r="AE6" s="45" t="e">
        <f>IF(AE1&gt;Supuestos!$D$22,Supuestos!$B$22*AE41,Supuestos!$B$21*AE44)</f>
        <v>#REF!</v>
      </c>
      <c r="AF6" s="45" t="e">
        <f>IF(AF1&gt;Supuestos!$D$22,Supuestos!$B$22*AF41,Supuestos!$B$21*AF44)</f>
        <v>#REF!</v>
      </c>
      <c r="AG6" s="45" t="e">
        <f>IF(AG1&gt;Supuestos!$D$22,Supuestos!$B$22*AG41,Supuestos!$B$21*AG44)</f>
        <v>#REF!</v>
      </c>
      <c r="AH6" s="45" t="e">
        <f>IF(AH1&gt;Supuestos!$D$22,Supuestos!$B$22*AH41,Supuestos!$B$21*AH44)</f>
        <v>#REF!</v>
      </c>
      <c r="AI6" s="45" t="e">
        <f>IF(AI1&gt;Supuestos!$D$22,Supuestos!$B$22*AI41,Supuestos!$B$21*AI44)</f>
        <v>#REF!</v>
      </c>
      <c r="AJ6" s="45" t="e">
        <f>IF(AJ1&gt;Supuestos!$D$22,Supuestos!$B$22*AJ41,Supuestos!$B$21*AJ44)</f>
        <v>#REF!</v>
      </c>
      <c r="AK6" s="45" t="e">
        <f>IF(AK1&gt;Supuestos!$D$22,Supuestos!$B$22*AK41,Supuestos!$B$21*AK44)</f>
        <v>#REF!</v>
      </c>
      <c r="AL6" s="45" t="e">
        <f>IF(AL1&gt;Supuestos!$D$22,Supuestos!$B$22*AL41,Supuestos!$B$21*AL44)</f>
        <v>#REF!</v>
      </c>
      <c r="AM6" s="45" t="e">
        <f>IF(AM1&gt;Supuestos!$D$22,Supuestos!$B$22*AM41,Supuestos!$B$21*AM44)</f>
        <v>#REF!</v>
      </c>
      <c r="AN6" s="45" t="e">
        <f>IF(AN1&gt;Supuestos!$D$22,Supuestos!$B$22*AN41,Supuestos!$B$21*AN44)</f>
        <v>#REF!</v>
      </c>
      <c r="AO6" s="45" t="e">
        <f>IF(AO1&gt;Supuestos!$D$22,Supuestos!$B$22*AO41,Supuestos!$B$21*AO44)</f>
        <v>#REF!</v>
      </c>
      <c r="AP6" s="45" t="e">
        <f>IF(AP1&gt;Supuestos!$D$22,Supuestos!$B$22*AP41,Supuestos!$B$21*AP44)</f>
        <v>#REF!</v>
      </c>
      <c r="AQ6" s="45" t="e">
        <f>IF(AQ1&gt;Supuestos!$D$22,Supuestos!$B$22*AQ41,Supuestos!$B$21*AQ44)</f>
        <v>#REF!</v>
      </c>
      <c r="AR6" s="45" t="e">
        <f>IF(AR1&gt;Supuestos!$D$22,Supuestos!$B$22*AR41,Supuestos!$B$21*AR44)</f>
        <v>#REF!</v>
      </c>
      <c r="AS6" s="45" t="e">
        <f>IF(AS1&gt;Supuestos!$D$22,Supuestos!$B$22*AS41,Supuestos!$B$21*AS44)</f>
        <v>#REF!</v>
      </c>
      <c r="AT6" s="45" t="e">
        <f>IF(AT1&gt;Supuestos!$D$22,Supuestos!$B$22*AT41,Supuestos!$B$21*AT44)</f>
        <v>#REF!</v>
      </c>
      <c r="AU6" s="45" t="e">
        <f>IF(AU1&gt;Supuestos!$D$22,Supuestos!$B$22*AU41,Supuestos!$B$21*AU44)</f>
        <v>#REF!</v>
      </c>
      <c r="AV6" s="45" t="e">
        <f>IF(AV1&gt;Supuestos!$D$22,Supuestos!$B$22*AV41,Supuestos!$B$21*AV44)</f>
        <v>#REF!</v>
      </c>
      <c r="AW6" s="45" t="e">
        <f>IF(AW1&gt;Supuestos!$D$22,Supuestos!$B$22*AW41,Supuestos!$B$21*AW44)</f>
        <v>#REF!</v>
      </c>
      <c r="AX6" s="45" t="e">
        <f>IF(AX1&gt;Supuestos!$D$22,Supuestos!$B$22*AX41,Supuestos!$B$21*AX44)</f>
        <v>#REF!</v>
      </c>
      <c r="AY6" s="45" t="e">
        <f>IF(AY1&gt;Supuestos!$D$22,Supuestos!$B$22*AY41,Supuestos!$B$21*AY44)</f>
        <v>#REF!</v>
      </c>
      <c r="AZ6" s="45" t="e">
        <f>IF(AZ1&gt;Supuestos!$D$22,Supuestos!$B$22*AZ41,Supuestos!$B$21*AZ44)</f>
        <v>#REF!</v>
      </c>
      <c r="BA6" s="45" t="e">
        <f>IF(BA1&gt;Supuestos!$D$22,Supuestos!$B$22*BA41,Supuestos!$B$21*BA44)</f>
        <v>#REF!</v>
      </c>
      <c r="BB6" s="45" t="e">
        <f>IF(BB1&gt;Supuestos!$D$22,Supuestos!$B$22*BB41,Supuestos!$B$21*BB44)</f>
        <v>#REF!</v>
      </c>
      <c r="BC6" s="45" t="e">
        <f>IF(BC1&gt;Supuestos!$D$22,Supuestos!$B$22*BC41,Supuestos!$B$21*BC44)</f>
        <v>#REF!</v>
      </c>
      <c r="BD6" s="45" t="e">
        <f>IF(BD1&gt;Supuestos!$D$22,Supuestos!$B$22*BD41,Supuestos!$B$21*BD44)</f>
        <v>#REF!</v>
      </c>
      <c r="BE6" s="45" t="e">
        <f>IF(BE1&gt;Supuestos!$D$22,Supuestos!$B$22*BE41,Supuestos!$B$21*BE44)</f>
        <v>#REF!</v>
      </c>
      <c r="BF6" s="45" t="e">
        <f>IF(BF1&gt;Supuestos!$D$22,Supuestos!$B$22*BF41,Supuestos!$B$21*BF44)</f>
        <v>#REF!</v>
      </c>
      <c r="BG6" s="45" t="e">
        <f>IF(BG1&gt;Supuestos!$D$22,Supuestos!$B$22*BG41,Supuestos!$B$21*BG44)</f>
        <v>#REF!</v>
      </c>
      <c r="BH6" s="45" t="e">
        <f>IF(BH1&gt;Supuestos!$D$22,Supuestos!$B$22*BH41,Supuestos!$B$21*BH44)</f>
        <v>#REF!</v>
      </c>
      <c r="BI6" s="45" t="e">
        <f>IF(BI1&gt;Supuestos!$D$22,Supuestos!$B$22*BI41,Supuestos!$B$21*BI44)</f>
        <v>#REF!</v>
      </c>
      <c r="BJ6" s="45" t="e">
        <f>IF(BJ1&gt;Supuestos!$D$22,Supuestos!$B$22*BJ41,Supuestos!$B$21*BJ44)</f>
        <v>#REF!</v>
      </c>
      <c r="BK6" s="45" t="e">
        <f>IF(BK1&gt;Supuestos!$D$22,Supuestos!$B$22*BK41,Supuestos!$B$21*BK44)</f>
        <v>#REF!</v>
      </c>
      <c r="BL6" s="45" t="e">
        <f>IF(BL1&gt;Supuestos!$D$22,Supuestos!$B$22*BL41,Supuestos!$B$21*BL44)</f>
        <v>#REF!</v>
      </c>
      <c r="BM6" s="45" t="e">
        <f>IF(BM1&gt;Supuestos!$D$22,Supuestos!$B$22*BM41,Supuestos!$B$21*BM44)</f>
        <v>#REF!</v>
      </c>
      <c r="BN6" s="45" t="e">
        <f>IF(BN1&gt;Supuestos!$D$22,Supuestos!$B$22*BN41,Supuestos!$B$21*BN44)</f>
        <v>#REF!</v>
      </c>
      <c r="BO6" s="45" t="e">
        <f>IF(BO1&gt;Supuestos!$D$22,Supuestos!$B$22*BO41,Supuestos!$B$21*BO44)</f>
        <v>#REF!</v>
      </c>
      <c r="BP6" s="45" t="e">
        <f>IF(BP1&gt;Supuestos!$D$22,Supuestos!$B$22*BP41,Supuestos!$B$21*BP44)</f>
        <v>#REF!</v>
      </c>
      <c r="BQ6" s="45" t="e">
        <f>IF(BQ1&gt;Supuestos!$D$22,Supuestos!$B$22*BQ41,Supuestos!$B$21*BQ44)</f>
        <v>#REF!</v>
      </c>
      <c r="BR6" s="45" t="e">
        <f>IF(BR1&gt;Supuestos!$D$22,Supuestos!$B$22*BR41,Supuestos!$B$21*BR44)</f>
        <v>#REF!</v>
      </c>
      <c r="BS6" s="45" t="e">
        <f>IF(BS1&gt;Supuestos!$D$22,Supuestos!$B$22*BS41,Supuestos!$B$21*BS44)</f>
        <v>#REF!</v>
      </c>
      <c r="BT6" s="45" t="e">
        <f>IF(BT1&gt;Supuestos!$D$22,Supuestos!$B$22*BT41,Supuestos!$B$21*BT44)</f>
        <v>#REF!</v>
      </c>
      <c r="BU6" s="45" t="e">
        <f>IF(BU1&gt;Supuestos!$D$22,Supuestos!$B$22*BU41,Supuestos!$B$21*BU44)</f>
        <v>#REF!</v>
      </c>
      <c r="BV6" s="45" t="e">
        <f>IF(BV1&gt;Supuestos!$D$22,Supuestos!$B$22*BV41,Supuestos!$B$21*BV44)</f>
        <v>#REF!</v>
      </c>
      <c r="BW6" s="45" t="e">
        <f>IF(BW1&gt;Supuestos!$D$22,Supuestos!$B$22*BW41,Supuestos!$B$21*BW44)</f>
        <v>#REF!</v>
      </c>
      <c r="BX6" s="45" t="e">
        <f>IF(BX1&gt;Supuestos!$D$22,Supuestos!$B$22*BX41,Supuestos!$B$21*BX44)</f>
        <v>#REF!</v>
      </c>
      <c r="BY6" s="45" t="e">
        <f>IF(BY1&gt;Supuestos!$D$22,Supuestos!$B$22*BY41,Supuestos!$B$21*BY44)</f>
        <v>#REF!</v>
      </c>
      <c r="BZ6" s="45" t="e">
        <f>IF(BZ1&gt;Supuestos!$D$22,Supuestos!$B$22*BZ41,Supuestos!$B$21*BZ44)</f>
        <v>#REF!</v>
      </c>
      <c r="CA6" s="45" t="e">
        <f>IF(CA1&gt;Supuestos!$D$22,Supuestos!$B$22*CA41,Supuestos!$B$21*CA44)</f>
        <v>#REF!</v>
      </c>
      <c r="CB6" s="45" t="e">
        <f>IF(CB1&gt;Supuestos!$D$22,Supuestos!$B$22*CB41,Supuestos!$B$21*CB44)</f>
        <v>#REF!</v>
      </c>
      <c r="CC6" s="45" t="e">
        <f>IF(CC1&gt;Supuestos!$D$22,Supuestos!$B$22*CC41,Supuestos!$B$21*CC44)</f>
        <v>#REF!</v>
      </c>
      <c r="CD6" s="45" t="e">
        <f>IF(CD1&gt;Supuestos!$D$22,Supuestos!$B$22*CD41,Supuestos!$B$21*CD44)</f>
        <v>#REF!</v>
      </c>
      <c r="CE6" s="45" t="e">
        <f>IF(CE1&gt;Supuestos!$D$22,Supuestos!$B$22*CE41,Supuestos!$B$21*CE44)</f>
        <v>#REF!</v>
      </c>
      <c r="CF6" s="45" t="e">
        <f>IF(CF1&gt;Supuestos!$D$22,Supuestos!$B$22*CF41,Supuestos!$B$21*CF44)</f>
        <v>#REF!</v>
      </c>
      <c r="CG6" s="45" t="e">
        <f>IF(CG1&gt;Supuestos!$D$22,Supuestos!$B$22*CG41,Supuestos!$B$21*CG44)</f>
        <v>#REF!</v>
      </c>
      <c r="CH6" s="45">
        <v>124346.61901591872</v>
      </c>
      <c r="CI6" s="45">
        <v>125886.46810942602</v>
      </c>
      <c r="CJ6" s="45">
        <v>122884.66571219265</v>
      </c>
      <c r="CK6" s="45">
        <v>122582.86847899415</v>
      </c>
      <c r="CL6" s="45">
        <v>128007.73512122751</v>
      </c>
      <c r="CM6" s="45">
        <v>129375.39826054071</v>
      </c>
      <c r="CN6" s="45">
        <v>126787.78340348713</v>
      </c>
      <c r="CO6" s="45">
        <v>125012.57577861009</v>
      </c>
      <c r="CP6" s="45">
        <v>120596.58710670406</v>
      </c>
      <c r="CQ6" s="114">
        <v>196094.0588562917</v>
      </c>
      <c r="CR6" s="45">
        <v>199463.90613644052</v>
      </c>
      <c r="CS6" s="45">
        <v>201416.10159616868</v>
      </c>
      <c r="CT6" s="45">
        <v>203391.15215983833</v>
      </c>
      <c r="CU6" s="45">
        <v>205627.27283453167</v>
      </c>
      <c r="CV6" s="45">
        <v>207949.6365830148</v>
      </c>
      <c r="CW6" s="45">
        <v>209926.22926931118</v>
      </c>
      <c r="CX6" s="45">
        <v>211801.08101341914</v>
      </c>
      <c r="CY6" s="45">
        <v>214183.93336958979</v>
      </c>
      <c r="CZ6" s="45">
        <v>216562.55089426829</v>
      </c>
      <c r="DA6" s="45">
        <v>219090.85573554889</v>
      </c>
      <c r="DB6" s="45">
        <v>220865.75486685138</v>
      </c>
      <c r="DC6" s="115">
        <v>223387.57735870668</v>
      </c>
      <c r="DD6" s="45">
        <v>226026.39281053358</v>
      </c>
      <c r="DE6" s="45">
        <v>228653.20173972653</v>
      </c>
      <c r="DF6" s="45">
        <v>231024.64200855355</v>
      </c>
      <c r="DG6" s="45">
        <v>233767.05660607468</v>
      </c>
      <c r="DH6" s="45">
        <v>236480.59229589259</v>
      </c>
      <c r="DI6" s="45">
        <v>239547.89987142076</v>
      </c>
      <c r="DJ6" s="45">
        <v>242009.2871621201</v>
      </c>
      <c r="DK6" s="45">
        <v>244797.50316387101</v>
      </c>
      <c r="DL6" s="45">
        <v>247394.74294126272</v>
      </c>
      <c r="DM6" s="45">
        <v>250041.99341147399</v>
      </c>
      <c r="DN6" s="45">
        <v>251899.06073005765</v>
      </c>
      <c r="DO6" s="45">
        <v>253889.01215217699</v>
      </c>
      <c r="DP6" s="45">
        <v>256606.60683522763</v>
      </c>
      <c r="DQ6" s="45">
        <v>259412.08219509071</v>
      </c>
      <c r="DR6" s="45">
        <v>262716.33625854831</v>
      </c>
      <c r="DS6" s="45">
        <v>265385.19940543565</v>
      </c>
      <c r="DT6" s="45">
        <v>268330.02733086725</v>
      </c>
      <c r="DU6" s="45">
        <v>270555.91334602545</v>
      </c>
      <c r="DV6" s="45">
        <v>272735.11893912294</v>
      </c>
      <c r="DW6" s="45">
        <v>275917.81134104839</v>
      </c>
      <c r="DX6" s="45">
        <v>278829.80062382598</v>
      </c>
      <c r="DY6" s="45">
        <v>281906.16626938229</v>
      </c>
      <c r="DZ6" s="45">
        <v>285629.5500047626</v>
      </c>
      <c r="EA6" s="45">
        <v>289669.78784557275</v>
      </c>
      <c r="EB6" s="45">
        <v>293759.65896118229</v>
      </c>
      <c r="EC6" s="45">
        <v>298435.63740053325</v>
      </c>
      <c r="ED6" s="45">
        <v>302953.96062725433</v>
      </c>
      <c r="EE6" s="45">
        <v>308659.88300055038</v>
      </c>
      <c r="EF6" s="45">
        <v>313821.09385928861</v>
      </c>
      <c r="EG6" s="45">
        <v>317632.78958432388</v>
      </c>
      <c r="EH6" s="45">
        <v>323806.61850587779</v>
      </c>
      <c r="EI6" s="45">
        <v>331612.1050484943</v>
      </c>
      <c r="EJ6" s="45">
        <v>336617.44816538459</v>
      </c>
      <c r="EK6" s="45">
        <v>338621.6618481662</v>
      </c>
      <c r="EL6" s="45">
        <v>346366.95221736486</v>
      </c>
      <c r="EM6" s="45">
        <v>352205.57627741148</v>
      </c>
      <c r="EN6" s="45">
        <v>360938.22342652868</v>
      </c>
      <c r="EO6" s="45">
        <v>360068.76135942829</v>
      </c>
      <c r="EP6" s="45">
        <v>370109.65425047831</v>
      </c>
      <c r="EQ6" s="45">
        <v>370783.20333529718</v>
      </c>
      <c r="ER6" s="45">
        <v>385040.55483543494</v>
      </c>
      <c r="ES6" s="45">
        <v>401575.0037564591</v>
      </c>
      <c r="ET6" s="45">
        <v>426350.58014771459</v>
      </c>
      <c r="EU6" s="45">
        <v>444317.27650152153</v>
      </c>
      <c r="EV6" s="45">
        <v>530995.73698900978</v>
      </c>
      <c r="EW6" s="45">
        <v>573248.13780580577</v>
      </c>
      <c r="EX6" s="45">
        <v>618650.62338023155</v>
      </c>
      <c r="EY6" s="45">
        <v>0</v>
      </c>
      <c r="EZ6" s="45">
        <v>0</v>
      </c>
      <c r="FA6" s="45">
        <v>0</v>
      </c>
    </row>
    <row r="7" spans="1:157" x14ac:dyDescent="0.2">
      <c r="A7" s="44" t="s">
        <v>254</v>
      </c>
      <c r="B7" s="104" t="e">
        <f t="shared" ref="B7:CQ7" si="3">SUM(B4:B6)</f>
        <v>#REF!</v>
      </c>
      <c r="C7" s="104" t="e">
        <f t="shared" si="3"/>
        <v>#REF!</v>
      </c>
      <c r="D7" s="104" t="e">
        <f t="shared" si="3"/>
        <v>#REF!</v>
      </c>
      <c r="E7" s="104" t="e">
        <f t="shared" si="3"/>
        <v>#REF!</v>
      </c>
      <c r="F7" s="104" t="e">
        <f t="shared" si="3"/>
        <v>#REF!</v>
      </c>
      <c r="G7" s="104" t="e">
        <f t="shared" si="3"/>
        <v>#REF!</v>
      </c>
      <c r="H7" s="104" t="e">
        <f t="shared" si="3"/>
        <v>#REF!</v>
      </c>
      <c r="I7" s="104" t="e">
        <f t="shared" si="3"/>
        <v>#REF!</v>
      </c>
      <c r="J7" s="104" t="e">
        <f t="shared" si="3"/>
        <v>#REF!</v>
      </c>
      <c r="K7" s="104" t="e">
        <f t="shared" si="3"/>
        <v>#REF!</v>
      </c>
      <c r="L7" s="104" t="e">
        <f t="shared" si="3"/>
        <v>#REF!</v>
      </c>
      <c r="M7" s="104" t="e">
        <f t="shared" si="3"/>
        <v>#REF!</v>
      </c>
      <c r="N7" s="104" t="e">
        <f t="shared" si="3"/>
        <v>#REF!</v>
      </c>
      <c r="O7" s="104" t="e">
        <f t="shared" si="3"/>
        <v>#REF!</v>
      </c>
      <c r="P7" s="104" t="e">
        <f t="shared" si="3"/>
        <v>#REF!</v>
      </c>
      <c r="Q7" s="104" t="e">
        <f t="shared" si="3"/>
        <v>#REF!</v>
      </c>
      <c r="R7" s="104" t="e">
        <f t="shared" si="3"/>
        <v>#REF!</v>
      </c>
      <c r="S7" s="104" t="e">
        <f t="shared" si="3"/>
        <v>#REF!</v>
      </c>
      <c r="T7" s="104" t="e">
        <f t="shared" si="3"/>
        <v>#REF!</v>
      </c>
      <c r="U7" s="104" t="e">
        <f t="shared" si="3"/>
        <v>#REF!</v>
      </c>
      <c r="V7" s="104" t="e">
        <f t="shared" si="3"/>
        <v>#REF!</v>
      </c>
      <c r="W7" s="104" t="e">
        <f t="shared" si="3"/>
        <v>#REF!</v>
      </c>
      <c r="X7" s="104" t="e">
        <f t="shared" si="3"/>
        <v>#REF!</v>
      </c>
      <c r="Y7" s="104" t="e">
        <f t="shared" si="3"/>
        <v>#REF!</v>
      </c>
      <c r="Z7" s="104" t="e">
        <f t="shared" si="3"/>
        <v>#REF!</v>
      </c>
      <c r="AA7" s="104" t="e">
        <f t="shared" si="3"/>
        <v>#REF!</v>
      </c>
      <c r="AB7" s="104" t="e">
        <f t="shared" si="3"/>
        <v>#REF!</v>
      </c>
      <c r="AC7" s="104" t="e">
        <f t="shared" si="3"/>
        <v>#REF!</v>
      </c>
      <c r="AD7" s="104" t="e">
        <f t="shared" si="3"/>
        <v>#REF!</v>
      </c>
      <c r="AE7" s="104" t="e">
        <f t="shared" si="3"/>
        <v>#REF!</v>
      </c>
      <c r="AF7" s="104" t="e">
        <f t="shared" si="3"/>
        <v>#REF!</v>
      </c>
      <c r="AG7" s="104" t="e">
        <f t="shared" si="3"/>
        <v>#REF!</v>
      </c>
      <c r="AH7" s="104" t="e">
        <f t="shared" si="3"/>
        <v>#REF!</v>
      </c>
      <c r="AI7" s="104" t="e">
        <f t="shared" si="3"/>
        <v>#REF!</v>
      </c>
      <c r="AJ7" s="104" t="e">
        <f t="shared" si="3"/>
        <v>#REF!</v>
      </c>
      <c r="AK7" s="104" t="e">
        <f t="shared" si="3"/>
        <v>#REF!</v>
      </c>
      <c r="AL7" s="104" t="e">
        <f t="shared" si="3"/>
        <v>#REF!</v>
      </c>
      <c r="AM7" s="104" t="e">
        <f t="shared" si="3"/>
        <v>#REF!</v>
      </c>
      <c r="AN7" s="104" t="e">
        <f t="shared" si="3"/>
        <v>#REF!</v>
      </c>
      <c r="AO7" s="104" t="e">
        <f t="shared" si="3"/>
        <v>#REF!</v>
      </c>
      <c r="AP7" s="104" t="e">
        <f t="shared" si="3"/>
        <v>#REF!</v>
      </c>
      <c r="AQ7" s="104" t="e">
        <f t="shared" si="3"/>
        <v>#REF!</v>
      </c>
      <c r="AR7" s="104" t="e">
        <f t="shared" si="3"/>
        <v>#REF!</v>
      </c>
      <c r="AS7" s="104" t="e">
        <f t="shared" si="3"/>
        <v>#REF!</v>
      </c>
      <c r="AT7" s="104" t="e">
        <f t="shared" si="3"/>
        <v>#REF!</v>
      </c>
      <c r="AU7" s="104" t="e">
        <f t="shared" si="3"/>
        <v>#REF!</v>
      </c>
      <c r="AV7" s="104" t="e">
        <f t="shared" si="3"/>
        <v>#REF!</v>
      </c>
      <c r="AW7" s="104" t="e">
        <f t="shared" si="3"/>
        <v>#REF!</v>
      </c>
      <c r="AX7" s="104" t="e">
        <f t="shared" si="3"/>
        <v>#REF!</v>
      </c>
      <c r="AY7" s="104" t="e">
        <f t="shared" si="3"/>
        <v>#REF!</v>
      </c>
      <c r="AZ7" s="104" t="e">
        <f t="shared" si="3"/>
        <v>#REF!</v>
      </c>
      <c r="BA7" s="104" t="e">
        <f t="shared" si="3"/>
        <v>#REF!</v>
      </c>
      <c r="BB7" s="104" t="e">
        <f t="shared" si="3"/>
        <v>#REF!</v>
      </c>
      <c r="BC7" s="104" t="e">
        <f t="shared" si="3"/>
        <v>#REF!</v>
      </c>
      <c r="BD7" s="104" t="e">
        <f t="shared" si="3"/>
        <v>#REF!</v>
      </c>
      <c r="BE7" s="104" t="e">
        <f t="shared" si="3"/>
        <v>#REF!</v>
      </c>
      <c r="BF7" s="104" t="e">
        <f t="shared" si="3"/>
        <v>#REF!</v>
      </c>
      <c r="BG7" s="104" t="e">
        <f t="shared" si="3"/>
        <v>#REF!</v>
      </c>
      <c r="BH7" s="104" t="e">
        <f t="shared" si="3"/>
        <v>#REF!</v>
      </c>
      <c r="BI7" s="104" t="e">
        <f t="shared" si="3"/>
        <v>#REF!</v>
      </c>
      <c r="BJ7" s="104" t="e">
        <f t="shared" si="3"/>
        <v>#REF!</v>
      </c>
      <c r="BK7" s="104" t="e">
        <f t="shared" si="3"/>
        <v>#REF!</v>
      </c>
      <c r="BL7" s="104" t="e">
        <f t="shared" si="3"/>
        <v>#REF!</v>
      </c>
      <c r="BM7" s="104" t="e">
        <f t="shared" si="3"/>
        <v>#REF!</v>
      </c>
      <c r="BN7" s="104" t="e">
        <f t="shared" si="3"/>
        <v>#REF!</v>
      </c>
      <c r="BO7" s="104" t="e">
        <f t="shared" si="3"/>
        <v>#REF!</v>
      </c>
      <c r="BP7" s="104" t="e">
        <f t="shared" si="3"/>
        <v>#REF!</v>
      </c>
      <c r="BQ7" s="104" t="e">
        <f t="shared" si="3"/>
        <v>#REF!</v>
      </c>
      <c r="BR7" s="104" t="e">
        <f t="shared" si="3"/>
        <v>#REF!</v>
      </c>
      <c r="BS7" s="104" t="e">
        <f t="shared" si="3"/>
        <v>#REF!</v>
      </c>
      <c r="BT7" s="104" t="e">
        <f t="shared" si="3"/>
        <v>#REF!</v>
      </c>
      <c r="BU7" s="104" t="e">
        <f t="shared" si="3"/>
        <v>#REF!</v>
      </c>
      <c r="BV7" s="104" t="e">
        <f t="shared" si="3"/>
        <v>#REF!</v>
      </c>
      <c r="BW7" s="104" t="e">
        <f t="shared" si="3"/>
        <v>#REF!</v>
      </c>
      <c r="BX7" s="104" t="e">
        <f t="shared" si="3"/>
        <v>#REF!</v>
      </c>
      <c r="BY7" s="104" t="e">
        <f t="shared" si="3"/>
        <v>#REF!</v>
      </c>
      <c r="BZ7" s="104" t="e">
        <f t="shared" si="3"/>
        <v>#REF!</v>
      </c>
      <c r="CA7" s="104" t="e">
        <f t="shared" si="3"/>
        <v>#REF!</v>
      </c>
      <c r="CB7" s="104" t="e">
        <f t="shared" si="3"/>
        <v>#REF!</v>
      </c>
      <c r="CC7" s="104" t="e">
        <f t="shared" si="3"/>
        <v>#REF!</v>
      </c>
      <c r="CD7" s="104" t="e">
        <f t="shared" si="3"/>
        <v>#REF!</v>
      </c>
      <c r="CE7" s="104" t="e">
        <f t="shared" si="3"/>
        <v>#REF!</v>
      </c>
      <c r="CF7" s="104" t="e">
        <f t="shared" si="3"/>
        <v>#REF!</v>
      </c>
      <c r="CG7" s="104" t="e">
        <f t="shared" si="3"/>
        <v>#REF!</v>
      </c>
      <c r="CH7" s="104">
        <f t="shared" si="3"/>
        <v>887633.03544192796</v>
      </c>
      <c r="CI7" s="104">
        <f t="shared" si="3"/>
        <v>895752.36603454989</v>
      </c>
      <c r="CJ7" s="104">
        <f t="shared" si="3"/>
        <v>851413.46297283715</v>
      </c>
      <c r="CK7" s="104">
        <f t="shared" si="3"/>
        <v>960724.05601009866</v>
      </c>
      <c r="CL7" s="104">
        <f t="shared" si="3"/>
        <v>1032634.8164695562</v>
      </c>
      <c r="CM7" s="104">
        <f t="shared" si="3"/>
        <v>1019119.7573665468</v>
      </c>
      <c r="CN7" s="104">
        <f t="shared" si="3"/>
        <v>1054241.2764600418</v>
      </c>
      <c r="CO7" s="104">
        <f t="shared" si="3"/>
        <v>1132285.8917116467</v>
      </c>
      <c r="CP7" s="104">
        <f t="shared" si="3"/>
        <v>1172193.4344506429</v>
      </c>
      <c r="CQ7" s="109">
        <f t="shared" si="3"/>
        <v>1164388.1332494398</v>
      </c>
      <c r="CR7" s="104">
        <f>SUM(CR4:CR6)*Supuestos!$B$4</f>
        <v>1767285.3278476957</v>
      </c>
      <c r="CS7" s="104">
        <f>SUM(CS4:CS6)*Supuestos!$B$4</f>
        <v>1791723.4002847248</v>
      </c>
      <c r="CT7" s="104">
        <f>SUM(CT4:CT6)*Supuestos!$B$4</f>
        <v>1456162.4098452423</v>
      </c>
      <c r="CU7" s="104">
        <f>SUM(CU4:CU6)*Supuestos!$B$4</f>
        <v>2021379.1317673759</v>
      </c>
      <c r="CV7" s="104">
        <f>SUM(CV4:CV6)*Supuestos!$B$4</f>
        <v>2093362.827523981</v>
      </c>
      <c r="CW7" s="104">
        <f>SUM(CW4:CW6)*Supuestos!$B$4</f>
        <v>2433449.2764354921</v>
      </c>
      <c r="CX7" s="104">
        <f>SUM(CX4:CX6)*Supuestos!$B$4</f>
        <v>2318929.7843183377</v>
      </c>
      <c r="CY7" s="104">
        <f>SUM(CY4:CY6)*Supuestos!$B$4</f>
        <v>2475715.6453753109</v>
      </c>
      <c r="CZ7" s="104">
        <f>SUM(CZ4:CZ6)*Supuestos!$B$4</f>
        <v>2501211.2073261528</v>
      </c>
      <c r="DA7" s="104">
        <f>SUM(DA4:DA6)*Supuestos!$B$4</f>
        <v>2526227.085553241</v>
      </c>
      <c r="DB7" s="104">
        <f>SUM(DB4:DB6)*Supuestos!$B$4</f>
        <v>2548515.515021781</v>
      </c>
      <c r="DC7" s="110">
        <f>SUM(DC4:DC6)*Supuestos!$B$4</f>
        <v>2568087.2821658198</v>
      </c>
      <c r="DD7" s="104">
        <f>SUM(DD4:DD6)*Supuestos!$B$4</f>
        <v>2592055.3253257917</v>
      </c>
      <c r="DE7" s="104">
        <f>SUM(DE4:DE6)*Supuestos!$B$4</f>
        <v>2616169.9638758092</v>
      </c>
      <c r="DF7" s="104">
        <f>SUM(DF4:DF6)*Supuestos!$B$4</f>
        <v>2637398.7547943457</v>
      </c>
      <c r="DG7" s="104">
        <f>SUM(DG4:DG6)*Supuestos!$B$4</f>
        <v>2657925.4384320434</v>
      </c>
      <c r="DH7" s="104">
        <f>SUM(DH4:DH6)*Supuestos!$B$4</f>
        <v>2678819.3486440652</v>
      </c>
      <c r="DI7" s="104">
        <f>SUM(DI4:DI6)*Supuestos!$B$4</f>
        <v>2700094.4398270538</v>
      </c>
      <c r="DJ7" s="104">
        <f>SUM(DJ4:DJ6)*Supuestos!$B$4</f>
        <v>2720565.1445180955</v>
      </c>
      <c r="DK7" s="104">
        <f>SUM(DK4:DK6)*Supuestos!$B$4</f>
        <v>2738778.8716594055</v>
      </c>
      <c r="DL7" s="104">
        <f>SUM(DL4:DL6)*Supuestos!$B$4</f>
        <v>2757152.764442727</v>
      </c>
      <c r="DM7" s="104">
        <f>SUM(DM4:DM6)*Supuestos!$B$4</f>
        <v>2775161.5794339613</v>
      </c>
      <c r="DN7" s="104">
        <f>SUM(DN4:DN6)*Supuestos!$B$4</f>
        <v>2789914.8790783095</v>
      </c>
      <c r="DO7" s="104">
        <f>SUM(DO4:DO6)*Supuestos!$B$4</f>
        <v>2802716.135849508</v>
      </c>
      <c r="DP7" s="104">
        <f>SUM(DP4:DP6)*Supuestos!$B$4</f>
        <v>2818729.855623574</v>
      </c>
      <c r="DQ7" s="104">
        <f>SUM(DQ4:DQ6)*Supuestos!$B$4</f>
        <v>2836319.305157362</v>
      </c>
      <c r="DR7" s="104">
        <f>SUM(DR4:DR6)*Supuestos!$B$4</f>
        <v>2855117.6754941777</v>
      </c>
      <c r="DS7" s="104">
        <f>SUM(DS4:DS6)*Supuestos!$B$4</f>
        <v>2874094.2385266228</v>
      </c>
      <c r="DT7" s="104">
        <f>SUM(DT4:DT6)*Supuestos!$B$4</f>
        <v>2891687.0618059565</v>
      </c>
      <c r="DU7" s="104">
        <f>SUM(DU4:DU6)*Supuestos!$B$4</f>
        <v>2907214.7807486402</v>
      </c>
      <c r="DV7" s="104">
        <f>SUM(DV4:DV6)*Supuestos!$B$4</f>
        <v>2921992.2572446247</v>
      </c>
      <c r="DW7" s="104">
        <f>SUM(DW4:DW6)*Supuestos!$B$4</f>
        <v>2937605.5517499824</v>
      </c>
      <c r="DX7" s="104">
        <f>SUM(DX4:DX6)*Supuestos!$B$4</f>
        <v>2954581.8572862255</v>
      </c>
      <c r="DY7" s="104">
        <f>SUM(DY4:DY6)*Supuestos!$B$4</f>
        <v>2971309.9503466296</v>
      </c>
      <c r="DZ7" s="104">
        <f>SUM(DZ4:DZ6)*Supuestos!$B$4</f>
        <v>2988663.2322857617</v>
      </c>
      <c r="EA7" s="104">
        <f>SUM(EA4:EA6)*Supuestos!$B$4</f>
        <v>3007035.3706412334</v>
      </c>
      <c r="EB7" s="104">
        <f>SUM(EB4:EB6)*Supuestos!$B$4</f>
        <v>3025852.3147600736</v>
      </c>
      <c r="EC7" s="104">
        <f>SUM(EC4:EC6)*Supuestos!$B$4</f>
        <v>3044209.4622864081</v>
      </c>
      <c r="ED7" s="104">
        <f>SUM(ED4:ED6)*Supuestos!$B$4</f>
        <v>3062514.0226417179</v>
      </c>
      <c r="EE7" s="104">
        <f>SUM(EE4:EE6)*Supuestos!$B$4</f>
        <v>3081473.4396985071</v>
      </c>
      <c r="EF7" s="104">
        <f>SUM(EF4:EF6)*Supuestos!$B$4</f>
        <v>3099752.4980969792</v>
      </c>
      <c r="EG7" s="104">
        <f>SUM(EG4:EG6)*Supuestos!$B$4</f>
        <v>3115170.1232312755</v>
      </c>
      <c r="EH7" s="104">
        <f>SUM(EH4:EH6)*Supuestos!$B$4</f>
        <v>3132109.3020809642</v>
      </c>
      <c r="EI7" s="104">
        <f>SUM(EI4:EI6)*Supuestos!$B$4</f>
        <v>3152213.1694633798</v>
      </c>
      <c r="EJ7" s="104">
        <f>SUM(EJ4:EJ6)*Supuestos!$B$4</f>
        <v>3169294.9243871896</v>
      </c>
      <c r="EK7" s="104">
        <f>SUM(EK4:EK6)*Supuestos!$B$4</f>
        <v>3181465.8847317123</v>
      </c>
      <c r="EL7" s="104">
        <f>SUM(EL4:EL6)*Supuestos!$B$4</f>
        <v>3198988.7542533414</v>
      </c>
      <c r="EM7" s="104">
        <f>SUM(EM4:EM6)*Supuestos!$B$4</f>
        <v>3216800.5942716799</v>
      </c>
      <c r="EN7" s="104">
        <f>SUM(EN4:EN6)*Supuestos!$B$4</f>
        <v>3236954.165050556</v>
      </c>
      <c r="EO7" s="104">
        <f>SUM(EO4:EO6)*Supuestos!$B$4</f>
        <v>3248567.1804538127</v>
      </c>
      <c r="EP7" s="104">
        <f>SUM(EP4:EP6)*Supuestos!$B$4</f>
        <v>3269541.4070050758</v>
      </c>
      <c r="EQ7" s="104">
        <f>SUM(EQ4:EQ6)*Supuestos!$B$4</f>
        <v>3283583.8876029742</v>
      </c>
      <c r="ER7" s="104">
        <f>SUM(ER4:ER6)*Supuestos!$B$4</f>
        <v>3309694.9411904155</v>
      </c>
      <c r="ES7" s="104">
        <f>SUM(ES4:ES6)*Supuestos!$B$4</f>
        <v>3339141.8939147335</v>
      </c>
      <c r="ET7" s="104">
        <f>SUM(ET4:ET6)*Supuestos!$B$4</f>
        <v>3375921.5008199448</v>
      </c>
      <c r="EU7" s="104">
        <f>SUM(EU4:EU6)*Supuestos!$B$4</f>
        <v>3406449.3302464546</v>
      </c>
      <c r="EV7" s="104">
        <f>SUM(EV4:EV6)*Supuestos!$B$4</f>
        <v>3498951.1985965134</v>
      </c>
      <c r="EW7" s="104">
        <f>SUM(EW4:EW6)*Supuestos!$B$4</f>
        <v>3551930.280541834</v>
      </c>
      <c r="EX7" s="104">
        <f>SUM(EX4:EX6)*Supuestos!$B$4</f>
        <v>3607184.8071061545</v>
      </c>
      <c r="EY7" s="104">
        <f>SUM(EY4:EY6)*Supuestos!$B$4</f>
        <v>3066037.8397887782</v>
      </c>
      <c r="EZ7" s="104">
        <f>SUM(EZ4:EZ6)*Supuestos!$B$4</f>
        <v>3082213.5755822072</v>
      </c>
      <c r="FA7" s="104">
        <f>SUM(FA4:FA6)*Supuestos!$B$4</f>
        <v>3098682.4588041883</v>
      </c>
    </row>
    <row r="8" spans="1:157" x14ac:dyDescent="0.2">
      <c r="A8" s="44"/>
      <c r="B8" s="104"/>
      <c r="C8" s="104"/>
      <c r="D8" s="104"/>
      <c r="E8" s="104"/>
      <c r="F8" s="104"/>
      <c r="G8" s="104"/>
      <c r="H8" s="104"/>
      <c r="I8" s="104"/>
      <c r="J8" s="104"/>
      <c r="K8" s="104"/>
      <c r="L8" s="104"/>
      <c r="M8" s="104"/>
      <c r="N8" s="104"/>
      <c r="O8" s="104"/>
      <c r="P8" s="104"/>
      <c r="Q8" s="104"/>
      <c r="R8" s="104"/>
      <c r="S8" s="104"/>
      <c r="T8" s="104"/>
      <c r="U8" s="104"/>
      <c r="V8" s="104"/>
      <c r="W8" s="104"/>
      <c r="X8" s="104"/>
      <c r="Y8" s="104"/>
      <c r="Z8" s="104"/>
      <c r="AA8" s="104"/>
      <c r="AB8" s="104"/>
      <c r="AC8" s="104"/>
      <c r="AD8" s="104"/>
      <c r="AE8" s="104"/>
      <c r="AF8" s="104"/>
      <c r="AG8" s="104"/>
      <c r="AH8" s="104"/>
      <c r="AI8" s="104"/>
      <c r="AJ8" s="104"/>
      <c r="AK8" s="104"/>
      <c r="AL8" s="104"/>
      <c r="AM8" s="104"/>
      <c r="AN8" s="104"/>
      <c r="AO8" s="104"/>
      <c r="AP8" s="104"/>
      <c r="AQ8" s="104"/>
      <c r="AR8" s="104"/>
      <c r="AS8" s="104"/>
      <c r="AT8" s="104"/>
      <c r="AU8" s="104"/>
      <c r="AV8" s="104"/>
      <c r="AW8" s="104"/>
      <c r="AX8" s="104"/>
      <c r="AY8" s="104"/>
      <c r="AZ8" s="104"/>
      <c r="BA8" s="104"/>
      <c r="BB8" s="104"/>
      <c r="BC8" s="104"/>
      <c r="BD8" s="104"/>
      <c r="BE8" s="104"/>
      <c r="BF8" s="104"/>
      <c r="BG8" s="104"/>
      <c r="BH8" s="104"/>
      <c r="BI8" s="104"/>
      <c r="BJ8" s="104"/>
      <c r="BK8" s="104"/>
      <c r="BL8" s="104"/>
      <c r="BM8" s="104"/>
      <c r="BN8" s="104"/>
      <c r="BO8" s="104"/>
      <c r="BP8" s="104"/>
      <c r="BQ8" s="104"/>
      <c r="BR8" s="104"/>
      <c r="BS8" s="104"/>
      <c r="BT8" s="104"/>
      <c r="BU8" s="104"/>
      <c r="BV8" s="104"/>
      <c r="BW8" s="104"/>
      <c r="BX8" s="104"/>
      <c r="BY8" s="104"/>
      <c r="BZ8" s="104"/>
      <c r="CA8" s="104"/>
      <c r="CB8" s="104"/>
      <c r="CC8" s="104"/>
      <c r="CD8" s="104"/>
      <c r="CE8" s="104"/>
      <c r="CF8" s="104"/>
      <c r="CG8" s="104"/>
      <c r="CH8" s="104"/>
      <c r="CI8" s="104"/>
      <c r="CJ8" s="104"/>
      <c r="CK8" s="104"/>
      <c r="CL8" s="104"/>
      <c r="CM8" s="104"/>
      <c r="CN8" s="104"/>
      <c r="CO8" s="104"/>
      <c r="CP8" s="104"/>
      <c r="CQ8" s="109"/>
      <c r="CR8" s="104"/>
      <c r="CS8" s="104"/>
      <c r="CT8" s="104"/>
      <c r="CU8" s="104"/>
      <c r="CV8" s="104"/>
      <c r="CW8" s="104"/>
      <c r="CX8" s="104"/>
      <c r="CY8" s="104"/>
      <c r="CZ8" s="104"/>
      <c r="DA8" s="104"/>
      <c r="DB8" s="104"/>
      <c r="DC8" s="110"/>
      <c r="DD8" s="104"/>
      <c r="DE8" s="104"/>
      <c r="DF8" s="104"/>
      <c r="DG8" s="104"/>
      <c r="DH8" s="104"/>
      <c r="DI8" s="104"/>
      <c r="DJ8" s="104"/>
      <c r="DK8" s="104"/>
      <c r="DL8" s="104"/>
      <c r="DM8" s="104"/>
      <c r="DN8" s="104"/>
      <c r="DO8" s="104"/>
      <c r="DP8" s="104"/>
      <c r="DQ8" s="104"/>
      <c r="DR8" s="104"/>
      <c r="DS8" s="104"/>
      <c r="DT8" s="104"/>
      <c r="DU8" s="104"/>
      <c r="DV8" s="104"/>
      <c r="DW8" s="104"/>
      <c r="DX8" s="104"/>
      <c r="DY8" s="104"/>
      <c r="DZ8" s="104"/>
      <c r="EA8" s="104"/>
      <c r="EB8" s="104"/>
      <c r="EC8" s="104"/>
      <c r="ED8" s="104"/>
      <c r="EE8" s="104"/>
      <c r="EF8" s="104"/>
      <c r="EG8" s="104"/>
      <c r="EH8" s="104"/>
      <c r="EI8" s="104"/>
      <c r="EJ8" s="104"/>
      <c r="EK8" s="104"/>
      <c r="EL8" s="104"/>
      <c r="EM8" s="104"/>
      <c r="EN8" s="104"/>
      <c r="EO8" s="104"/>
      <c r="EP8" s="104"/>
      <c r="EQ8" s="104"/>
      <c r="ER8" s="104"/>
      <c r="ES8" s="104"/>
      <c r="ET8" s="104"/>
      <c r="EU8" s="104"/>
      <c r="EV8" s="104"/>
      <c r="EW8" s="104"/>
      <c r="EX8" s="104"/>
      <c r="EY8" s="104"/>
      <c r="EZ8" s="104"/>
      <c r="FA8" s="104"/>
    </row>
    <row r="9" spans="1:157" hidden="1" outlineLevel="1" x14ac:dyDescent="0.2">
      <c r="A9" s="44"/>
      <c r="B9" s="104"/>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c r="BO9" s="104"/>
      <c r="BP9" s="104"/>
      <c r="BQ9" s="104"/>
      <c r="BR9" s="104"/>
      <c r="BS9" s="104"/>
      <c r="BT9" s="104"/>
      <c r="BU9" s="104"/>
      <c r="BV9" s="104"/>
      <c r="BW9" s="104"/>
      <c r="BX9" s="104"/>
      <c r="BY9" s="104"/>
      <c r="BZ9" s="104"/>
      <c r="CA9" s="104"/>
      <c r="CB9" s="104"/>
      <c r="CC9" s="104"/>
      <c r="CD9" s="104"/>
      <c r="CE9" s="104"/>
      <c r="CF9" s="104"/>
      <c r="CG9" s="104"/>
      <c r="CH9" s="104"/>
      <c r="CI9" s="104"/>
      <c r="CJ9" s="104"/>
      <c r="CK9" s="104"/>
      <c r="CL9" s="104"/>
      <c r="CM9" s="104"/>
      <c r="CN9" s="104"/>
      <c r="CO9" s="104"/>
      <c r="CP9" s="104"/>
      <c r="CQ9" s="109"/>
      <c r="CR9" s="104" t="e">
        <f t="shared" ref="CR9:FA9" si="4">#REF!+CR41*0.1</f>
        <v>#REF!</v>
      </c>
      <c r="CS9" s="104" t="e">
        <f t="shared" si="4"/>
        <v>#REF!</v>
      </c>
      <c r="CT9" s="104" t="e">
        <f t="shared" si="4"/>
        <v>#REF!</v>
      </c>
      <c r="CU9" s="104" t="e">
        <f t="shared" si="4"/>
        <v>#REF!</v>
      </c>
      <c r="CV9" s="104" t="e">
        <f t="shared" si="4"/>
        <v>#REF!</v>
      </c>
      <c r="CW9" s="104" t="e">
        <f t="shared" si="4"/>
        <v>#REF!</v>
      </c>
      <c r="CX9" s="104" t="e">
        <f t="shared" si="4"/>
        <v>#REF!</v>
      </c>
      <c r="CY9" s="104" t="e">
        <f t="shared" si="4"/>
        <v>#REF!</v>
      </c>
      <c r="CZ9" s="104" t="e">
        <f t="shared" si="4"/>
        <v>#REF!</v>
      </c>
      <c r="DA9" s="104" t="e">
        <f t="shared" si="4"/>
        <v>#REF!</v>
      </c>
      <c r="DB9" s="104" t="e">
        <f t="shared" si="4"/>
        <v>#REF!</v>
      </c>
      <c r="DC9" s="104" t="e">
        <f t="shared" si="4"/>
        <v>#REF!</v>
      </c>
      <c r="DD9" s="104" t="e">
        <f t="shared" si="4"/>
        <v>#REF!</v>
      </c>
      <c r="DE9" s="104" t="e">
        <f t="shared" si="4"/>
        <v>#REF!</v>
      </c>
      <c r="DF9" s="104" t="e">
        <f t="shared" si="4"/>
        <v>#REF!</v>
      </c>
      <c r="DG9" s="104" t="e">
        <f t="shared" si="4"/>
        <v>#REF!</v>
      </c>
      <c r="DH9" s="104" t="e">
        <f t="shared" si="4"/>
        <v>#REF!</v>
      </c>
      <c r="DI9" s="104" t="e">
        <f t="shared" si="4"/>
        <v>#REF!</v>
      </c>
      <c r="DJ9" s="104" t="e">
        <f t="shared" si="4"/>
        <v>#REF!</v>
      </c>
      <c r="DK9" s="104" t="e">
        <f t="shared" si="4"/>
        <v>#REF!</v>
      </c>
      <c r="DL9" s="104" t="e">
        <f t="shared" si="4"/>
        <v>#REF!</v>
      </c>
      <c r="DM9" s="104" t="e">
        <f t="shared" si="4"/>
        <v>#REF!</v>
      </c>
      <c r="DN9" s="104" t="e">
        <f t="shared" si="4"/>
        <v>#REF!</v>
      </c>
      <c r="DO9" s="104" t="e">
        <f t="shared" si="4"/>
        <v>#REF!</v>
      </c>
      <c r="DP9" s="104" t="e">
        <f t="shared" si="4"/>
        <v>#REF!</v>
      </c>
      <c r="DQ9" s="104" t="e">
        <f t="shared" si="4"/>
        <v>#REF!</v>
      </c>
      <c r="DR9" s="104" t="e">
        <f t="shared" si="4"/>
        <v>#REF!</v>
      </c>
      <c r="DS9" s="104" t="e">
        <f t="shared" si="4"/>
        <v>#REF!</v>
      </c>
      <c r="DT9" s="104" t="e">
        <f t="shared" si="4"/>
        <v>#REF!</v>
      </c>
      <c r="DU9" s="104" t="e">
        <f t="shared" si="4"/>
        <v>#REF!</v>
      </c>
      <c r="DV9" s="104" t="e">
        <f t="shared" si="4"/>
        <v>#REF!</v>
      </c>
      <c r="DW9" s="104" t="e">
        <f t="shared" si="4"/>
        <v>#REF!</v>
      </c>
      <c r="DX9" s="104" t="e">
        <f t="shared" si="4"/>
        <v>#REF!</v>
      </c>
      <c r="DY9" s="104" t="e">
        <f t="shared" si="4"/>
        <v>#REF!</v>
      </c>
      <c r="DZ9" s="104" t="e">
        <f t="shared" si="4"/>
        <v>#REF!</v>
      </c>
      <c r="EA9" s="104" t="e">
        <f t="shared" si="4"/>
        <v>#REF!</v>
      </c>
      <c r="EB9" s="104" t="e">
        <f t="shared" si="4"/>
        <v>#REF!</v>
      </c>
      <c r="EC9" s="104" t="e">
        <f t="shared" si="4"/>
        <v>#REF!</v>
      </c>
      <c r="ED9" s="104" t="e">
        <f t="shared" si="4"/>
        <v>#REF!</v>
      </c>
      <c r="EE9" s="104" t="e">
        <f t="shared" si="4"/>
        <v>#REF!</v>
      </c>
      <c r="EF9" s="104" t="e">
        <f t="shared" si="4"/>
        <v>#REF!</v>
      </c>
      <c r="EG9" s="104" t="e">
        <f t="shared" si="4"/>
        <v>#REF!</v>
      </c>
      <c r="EH9" s="104" t="e">
        <f t="shared" si="4"/>
        <v>#REF!</v>
      </c>
      <c r="EI9" s="104" t="e">
        <f t="shared" si="4"/>
        <v>#REF!</v>
      </c>
      <c r="EJ9" s="104" t="e">
        <f t="shared" si="4"/>
        <v>#REF!</v>
      </c>
      <c r="EK9" s="104" t="e">
        <f t="shared" si="4"/>
        <v>#REF!</v>
      </c>
      <c r="EL9" s="104" t="e">
        <f t="shared" si="4"/>
        <v>#REF!</v>
      </c>
      <c r="EM9" s="104" t="e">
        <f t="shared" si="4"/>
        <v>#REF!</v>
      </c>
      <c r="EN9" s="104" t="e">
        <f t="shared" si="4"/>
        <v>#REF!</v>
      </c>
      <c r="EO9" s="104" t="e">
        <f t="shared" si="4"/>
        <v>#REF!</v>
      </c>
      <c r="EP9" s="104" t="e">
        <f t="shared" si="4"/>
        <v>#REF!</v>
      </c>
      <c r="EQ9" s="104" t="e">
        <f t="shared" si="4"/>
        <v>#REF!</v>
      </c>
      <c r="ER9" s="104" t="e">
        <f t="shared" si="4"/>
        <v>#REF!</v>
      </c>
      <c r="ES9" s="104" t="e">
        <f t="shared" si="4"/>
        <v>#REF!</v>
      </c>
      <c r="ET9" s="104" t="e">
        <f t="shared" si="4"/>
        <v>#REF!</v>
      </c>
      <c r="EU9" s="104" t="e">
        <f t="shared" si="4"/>
        <v>#REF!</v>
      </c>
      <c r="EV9" s="104" t="e">
        <f t="shared" si="4"/>
        <v>#REF!</v>
      </c>
      <c r="EW9" s="104" t="e">
        <f t="shared" si="4"/>
        <v>#REF!</v>
      </c>
      <c r="EX9" s="104" t="e">
        <f t="shared" si="4"/>
        <v>#REF!</v>
      </c>
      <c r="EY9" s="104" t="e">
        <f t="shared" si="4"/>
        <v>#REF!</v>
      </c>
      <c r="EZ9" s="104" t="e">
        <f t="shared" si="4"/>
        <v>#REF!</v>
      </c>
      <c r="FA9" s="104" t="e">
        <f t="shared" si="4"/>
        <v>#REF!</v>
      </c>
    </row>
    <row r="10" spans="1:157" hidden="1" outlineLevel="1" x14ac:dyDescent="0.2">
      <c r="A10" s="44"/>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c r="BU10" s="104"/>
      <c r="BV10" s="104"/>
      <c r="BW10" s="104"/>
      <c r="BX10" s="104"/>
      <c r="BY10" s="104"/>
      <c r="BZ10" s="104"/>
      <c r="CA10" s="104"/>
      <c r="CB10" s="104"/>
      <c r="CC10" s="104"/>
      <c r="CD10" s="104"/>
      <c r="CE10" s="104"/>
      <c r="CF10" s="104"/>
      <c r="CG10" s="104"/>
      <c r="CH10" s="104"/>
      <c r="CI10" s="104"/>
      <c r="CJ10" s="104"/>
      <c r="CK10" s="104"/>
      <c r="CL10" s="104"/>
      <c r="CM10" s="104"/>
      <c r="CN10" s="104"/>
      <c r="CO10" s="104"/>
      <c r="CP10" s="104"/>
      <c r="CQ10" s="116">
        <v>0.20499999999999999</v>
      </c>
      <c r="CR10" s="104" t="e">
        <f t="shared" ref="CR10:FA10" si="5">CR9/POWER((1+($CQ$10/12)),CR11)</f>
        <v>#REF!</v>
      </c>
      <c r="CS10" s="104" t="e">
        <f t="shared" si="5"/>
        <v>#REF!</v>
      </c>
      <c r="CT10" s="104" t="e">
        <f t="shared" si="5"/>
        <v>#REF!</v>
      </c>
      <c r="CU10" s="104" t="e">
        <f t="shared" si="5"/>
        <v>#REF!</v>
      </c>
      <c r="CV10" s="104" t="e">
        <f t="shared" si="5"/>
        <v>#REF!</v>
      </c>
      <c r="CW10" s="104" t="e">
        <f t="shared" si="5"/>
        <v>#REF!</v>
      </c>
      <c r="CX10" s="104" t="e">
        <f t="shared" si="5"/>
        <v>#REF!</v>
      </c>
      <c r="CY10" s="104" t="e">
        <f t="shared" si="5"/>
        <v>#REF!</v>
      </c>
      <c r="CZ10" s="104" t="e">
        <f t="shared" si="5"/>
        <v>#REF!</v>
      </c>
      <c r="DA10" s="104" t="e">
        <f t="shared" si="5"/>
        <v>#REF!</v>
      </c>
      <c r="DB10" s="104" t="e">
        <f t="shared" si="5"/>
        <v>#REF!</v>
      </c>
      <c r="DC10" s="104" t="e">
        <f t="shared" si="5"/>
        <v>#REF!</v>
      </c>
      <c r="DD10" s="104" t="e">
        <f t="shared" si="5"/>
        <v>#REF!</v>
      </c>
      <c r="DE10" s="104" t="e">
        <f t="shared" si="5"/>
        <v>#REF!</v>
      </c>
      <c r="DF10" s="104" t="e">
        <f t="shared" si="5"/>
        <v>#REF!</v>
      </c>
      <c r="DG10" s="104" t="e">
        <f t="shared" si="5"/>
        <v>#REF!</v>
      </c>
      <c r="DH10" s="104" t="e">
        <f t="shared" si="5"/>
        <v>#REF!</v>
      </c>
      <c r="DI10" s="104" t="e">
        <f t="shared" si="5"/>
        <v>#REF!</v>
      </c>
      <c r="DJ10" s="104" t="e">
        <f t="shared" si="5"/>
        <v>#REF!</v>
      </c>
      <c r="DK10" s="104" t="e">
        <f t="shared" si="5"/>
        <v>#REF!</v>
      </c>
      <c r="DL10" s="104" t="e">
        <f t="shared" si="5"/>
        <v>#REF!</v>
      </c>
      <c r="DM10" s="104" t="e">
        <f t="shared" si="5"/>
        <v>#REF!</v>
      </c>
      <c r="DN10" s="104" t="e">
        <f t="shared" si="5"/>
        <v>#REF!</v>
      </c>
      <c r="DO10" s="104" t="e">
        <f t="shared" si="5"/>
        <v>#REF!</v>
      </c>
      <c r="DP10" s="104" t="e">
        <f t="shared" si="5"/>
        <v>#REF!</v>
      </c>
      <c r="DQ10" s="104" t="e">
        <f t="shared" si="5"/>
        <v>#REF!</v>
      </c>
      <c r="DR10" s="104" t="e">
        <f t="shared" si="5"/>
        <v>#REF!</v>
      </c>
      <c r="DS10" s="104" t="e">
        <f t="shared" si="5"/>
        <v>#REF!</v>
      </c>
      <c r="DT10" s="104" t="e">
        <f t="shared" si="5"/>
        <v>#REF!</v>
      </c>
      <c r="DU10" s="104" t="e">
        <f t="shared" si="5"/>
        <v>#REF!</v>
      </c>
      <c r="DV10" s="104" t="e">
        <f t="shared" si="5"/>
        <v>#REF!</v>
      </c>
      <c r="DW10" s="104" t="e">
        <f t="shared" si="5"/>
        <v>#REF!</v>
      </c>
      <c r="DX10" s="104" t="e">
        <f t="shared" si="5"/>
        <v>#REF!</v>
      </c>
      <c r="DY10" s="104" t="e">
        <f t="shared" si="5"/>
        <v>#REF!</v>
      </c>
      <c r="DZ10" s="104" t="e">
        <f t="shared" si="5"/>
        <v>#REF!</v>
      </c>
      <c r="EA10" s="104" t="e">
        <f t="shared" si="5"/>
        <v>#REF!</v>
      </c>
      <c r="EB10" s="104" t="e">
        <f t="shared" si="5"/>
        <v>#REF!</v>
      </c>
      <c r="EC10" s="104" t="e">
        <f t="shared" si="5"/>
        <v>#REF!</v>
      </c>
      <c r="ED10" s="104" t="e">
        <f t="shared" si="5"/>
        <v>#REF!</v>
      </c>
      <c r="EE10" s="104" t="e">
        <f t="shared" si="5"/>
        <v>#REF!</v>
      </c>
      <c r="EF10" s="104" t="e">
        <f t="shared" si="5"/>
        <v>#REF!</v>
      </c>
      <c r="EG10" s="104" t="e">
        <f t="shared" si="5"/>
        <v>#REF!</v>
      </c>
      <c r="EH10" s="104" t="e">
        <f t="shared" si="5"/>
        <v>#REF!</v>
      </c>
      <c r="EI10" s="104" t="e">
        <f t="shared" si="5"/>
        <v>#REF!</v>
      </c>
      <c r="EJ10" s="104" t="e">
        <f t="shared" si="5"/>
        <v>#REF!</v>
      </c>
      <c r="EK10" s="104" t="e">
        <f t="shared" si="5"/>
        <v>#REF!</v>
      </c>
      <c r="EL10" s="104" t="e">
        <f t="shared" si="5"/>
        <v>#REF!</v>
      </c>
      <c r="EM10" s="104" t="e">
        <f t="shared" si="5"/>
        <v>#REF!</v>
      </c>
      <c r="EN10" s="104" t="e">
        <f t="shared" si="5"/>
        <v>#REF!</v>
      </c>
      <c r="EO10" s="104" t="e">
        <f t="shared" si="5"/>
        <v>#REF!</v>
      </c>
      <c r="EP10" s="104" t="e">
        <f t="shared" si="5"/>
        <v>#REF!</v>
      </c>
      <c r="EQ10" s="104" t="e">
        <f t="shared" si="5"/>
        <v>#REF!</v>
      </c>
      <c r="ER10" s="104" t="e">
        <f t="shared" si="5"/>
        <v>#REF!</v>
      </c>
      <c r="ES10" s="104" t="e">
        <f t="shared" si="5"/>
        <v>#REF!</v>
      </c>
      <c r="ET10" s="104" t="e">
        <f t="shared" si="5"/>
        <v>#REF!</v>
      </c>
      <c r="EU10" s="104" t="e">
        <f t="shared" si="5"/>
        <v>#REF!</v>
      </c>
      <c r="EV10" s="104" t="e">
        <f t="shared" si="5"/>
        <v>#REF!</v>
      </c>
      <c r="EW10" s="104" t="e">
        <f t="shared" si="5"/>
        <v>#REF!</v>
      </c>
      <c r="EX10" s="104" t="e">
        <f t="shared" si="5"/>
        <v>#REF!</v>
      </c>
      <c r="EY10" s="104" t="e">
        <f t="shared" si="5"/>
        <v>#REF!</v>
      </c>
      <c r="EZ10" s="104" t="e">
        <f t="shared" si="5"/>
        <v>#REF!</v>
      </c>
      <c r="FA10" s="104" t="e">
        <f t="shared" si="5"/>
        <v>#REF!</v>
      </c>
    </row>
    <row r="11" spans="1:157" hidden="1" outlineLevel="1" x14ac:dyDescent="0.2">
      <c r="A11" s="44"/>
      <c r="B11" s="104"/>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9"/>
      <c r="CR11" s="117">
        <v>0</v>
      </c>
      <c r="CS11" s="117">
        <v>1</v>
      </c>
      <c r="CT11" s="117">
        <v>2</v>
      </c>
      <c r="CU11" s="117">
        <v>3</v>
      </c>
      <c r="CV11" s="117">
        <v>4</v>
      </c>
      <c r="CW11" s="117">
        <v>5</v>
      </c>
      <c r="CX11" s="117">
        <v>6</v>
      </c>
      <c r="CY11" s="117">
        <v>7</v>
      </c>
      <c r="CZ11" s="117">
        <v>8</v>
      </c>
      <c r="DA11" s="117">
        <v>9</v>
      </c>
      <c r="DB11" s="117">
        <v>10</v>
      </c>
      <c r="DC11" s="117">
        <v>11</v>
      </c>
      <c r="DD11" s="117">
        <v>12</v>
      </c>
      <c r="DE11" s="117">
        <v>13</v>
      </c>
      <c r="DF11" s="117">
        <v>14</v>
      </c>
      <c r="DG11" s="117">
        <v>15</v>
      </c>
      <c r="DH11" s="117">
        <v>16</v>
      </c>
      <c r="DI11" s="117">
        <v>17</v>
      </c>
      <c r="DJ11" s="117">
        <v>18</v>
      </c>
      <c r="DK11" s="117">
        <v>19</v>
      </c>
      <c r="DL11" s="117">
        <v>20</v>
      </c>
      <c r="DM11" s="117">
        <v>21</v>
      </c>
      <c r="DN11" s="117">
        <v>22</v>
      </c>
      <c r="DO11" s="117">
        <v>23</v>
      </c>
      <c r="DP11" s="117">
        <v>24</v>
      </c>
      <c r="DQ11" s="117">
        <v>25</v>
      </c>
      <c r="DR11" s="117">
        <v>26</v>
      </c>
      <c r="DS11" s="117">
        <v>27</v>
      </c>
      <c r="DT11" s="117">
        <v>28</v>
      </c>
      <c r="DU11" s="117">
        <v>29</v>
      </c>
      <c r="DV11" s="117">
        <v>30</v>
      </c>
      <c r="DW11" s="117">
        <v>31</v>
      </c>
      <c r="DX11" s="117">
        <v>32</v>
      </c>
      <c r="DY11" s="117">
        <v>33</v>
      </c>
      <c r="DZ11" s="117">
        <v>34</v>
      </c>
      <c r="EA11" s="117">
        <v>35</v>
      </c>
      <c r="EB11" s="117">
        <v>36</v>
      </c>
      <c r="EC11" s="117">
        <v>37</v>
      </c>
      <c r="ED11" s="117">
        <v>38</v>
      </c>
      <c r="EE11" s="117">
        <v>39</v>
      </c>
      <c r="EF11" s="117">
        <v>40</v>
      </c>
      <c r="EG11" s="117">
        <v>41</v>
      </c>
      <c r="EH11" s="117">
        <v>42</v>
      </c>
      <c r="EI11" s="117">
        <v>43</v>
      </c>
      <c r="EJ11" s="117">
        <v>44</v>
      </c>
      <c r="EK11" s="117">
        <v>45</v>
      </c>
      <c r="EL11" s="117">
        <v>46</v>
      </c>
      <c r="EM11" s="117">
        <v>47</v>
      </c>
      <c r="EN11" s="117">
        <v>48</v>
      </c>
      <c r="EO11" s="117">
        <v>49</v>
      </c>
      <c r="EP11" s="117">
        <v>50</v>
      </c>
      <c r="EQ11" s="117">
        <v>51</v>
      </c>
      <c r="ER11" s="117">
        <v>52</v>
      </c>
      <c r="ES11" s="117">
        <v>53</v>
      </c>
      <c r="ET11" s="117">
        <v>54</v>
      </c>
      <c r="EU11" s="117">
        <v>55</v>
      </c>
      <c r="EV11" s="117">
        <v>56</v>
      </c>
      <c r="EW11" s="117">
        <v>57</v>
      </c>
      <c r="EX11" s="117">
        <v>58</v>
      </c>
      <c r="EY11" s="117">
        <v>59</v>
      </c>
      <c r="EZ11" s="117">
        <v>60</v>
      </c>
      <c r="FA11" s="117">
        <v>61</v>
      </c>
    </row>
    <row r="12" spans="1:157" hidden="1" outlineLevel="1" x14ac:dyDescent="0.2">
      <c r="A12" s="44"/>
      <c r="B12" s="104"/>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c r="BU12" s="104"/>
      <c r="BV12" s="104"/>
      <c r="BW12" s="104"/>
      <c r="BX12" s="104"/>
      <c r="BY12" s="104"/>
      <c r="BZ12" s="104"/>
      <c r="CA12" s="104"/>
      <c r="CB12" s="104"/>
      <c r="CC12" s="104"/>
      <c r="CD12" s="104"/>
      <c r="CE12" s="104"/>
      <c r="CF12" s="104"/>
      <c r="CG12" s="104"/>
      <c r="CH12" s="104"/>
      <c r="CI12" s="104"/>
      <c r="CJ12" s="104"/>
      <c r="CK12" s="104"/>
      <c r="CL12" s="104"/>
      <c r="CM12" s="104"/>
      <c r="CN12" s="104"/>
      <c r="CO12" s="104"/>
      <c r="CP12" s="104"/>
      <c r="CQ12" s="109"/>
      <c r="CR12" s="104" t="e">
        <f t="array" ref="CR12">NPV(CQ10/12,CR9:EC9)</f>
        <v>#REF!</v>
      </c>
      <c r="CS12" s="104" t="e">
        <f>SUM(CR10:EC10)</f>
        <v>#REF!</v>
      </c>
      <c r="CT12" s="104"/>
      <c r="CU12" s="104"/>
      <c r="CV12" s="104"/>
      <c r="CW12" s="104"/>
      <c r="CX12" s="104"/>
      <c r="CY12" s="104"/>
      <c r="CZ12" s="104"/>
      <c r="DA12" s="104"/>
      <c r="DB12" s="104"/>
      <c r="DC12" s="110"/>
      <c r="DD12" s="104"/>
      <c r="DE12" s="104"/>
      <c r="DF12" s="104"/>
      <c r="DG12" s="104"/>
      <c r="DH12" s="104"/>
      <c r="DI12" s="104"/>
      <c r="DJ12" s="104"/>
      <c r="DK12" s="104"/>
      <c r="DL12" s="104"/>
      <c r="DM12" s="104"/>
      <c r="DN12" s="104"/>
      <c r="DO12" s="104"/>
      <c r="DP12" s="104"/>
      <c r="DQ12" s="104"/>
      <c r="DR12" s="104"/>
      <c r="DS12" s="104"/>
      <c r="DT12" s="104"/>
      <c r="DU12" s="104"/>
      <c r="DV12" s="104"/>
      <c r="DW12" s="104"/>
      <c r="DX12" s="104"/>
      <c r="DY12" s="104"/>
      <c r="DZ12" s="104"/>
      <c r="EA12" s="104"/>
      <c r="EB12" s="104"/>
      <c r="EC12" s="104"/>
      <c r="ED12" s="104"/>
      <c r="EE12" s="104"/>
      <c r="EF12" s="104"/>
      <c r="EG12" s="104"/>
      <c r="EH12" s="104"/>
      <c r="EI12" s="104"/>
      <c r="EJ12" s="104"/>
      <c r="EK12" s="104"/>
      <c r="EL12" s="104"/>
      <c r="EM12" s="104"/>
      <c r="EN12" s="104"/>
      <c r="EO12" s="104"/>
      <c r="EP12" s="104"/>
      <c r="EQ12" s="104"/>
      <c r="ER12" s="104"/>
      <c r="ES12" s="104"/>
      <c r="ET12" s="104"/>
      <c r="EU12" s="104"/>
      <c r="EV12" s="104"/>
      <c r="EW12" s="104"/>
      <c r="EX12" s="104"/>
      <c r="EY12" s="104"/>
      <c r="EZ12" s="104"/>
      <c r="FA12" s="104"/>
    </row>
    <row r="13" spans="1:157" hidden="1" outlineLevel="1" x14ac:dyDescent="0.2">
      <c r="A13" s="44"/>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114"/>
      <c r="CR13" s="45"/>
      <c r="CS13" s="45"/>
      <c r="CT13" s="45"/>
      <c r="CU13" s="45"/>
      <c r="CV13" s="45"/>
      <c r="CW13" s="45"/>
      <c r="CX13" s="45"/>
      <c r="CY13" s="45"/>
      <c r="CZ13" s="45"/>
      <c r="DA13" s="45"/>
      <c r="DB13" s="45"/>
      <c r="DC13" s="115"/>
      <c r="DD13" s="45"/>
      <c r="DE13" s="45"/>
      <c r="DF13" s="45"/>
      <c r="DG13" s="45"/>
      <c r="DH13" s="45"/>
      <c r="DI13" s="45"/>
      <c r="DJ13" s="45"/>
      <c r="DK13" s="45"/>
      <c r="DL13" s="45"/>
      <c r="DM13" s="45"/>
      <c r="DN13" s="45"/>
      <c r="DO13" s="45"/>
      <c r="DP13" s="45"/>
      <c r="DQ13" s="45"/>
      <c r="DR13" s="45"/>
      <c r="DS13" s="45"/>
      <c r="DT13" s="45"/>
      <c r="DU13" s="45"/>
      <c r="DV13" s="45"/>
      <c r="DW13" s="45"/>
      <c r="DX13" s="45"/>
      <c r="DY13" s="45"/>
      <c r="DZ13" s="45"/>
      <c r="EA13" s="45"/>
      <c r="EB13" s="45"/>
      <c r="EC13" s="45"/>
      <c r="ED13" s="45"/>
      <c r="EE13" s="45"/>
      <c r="EF13" s="45"/>
      <c r="EG13" s="45"/>
      <c r="EH13" s="45"/>
      <c r="EI13" s="45"/>
      <c r="EJ13" s="45"/>
      <c r="EK13" s="45"/>
      <c r="EL13" s="45"/>
      <c r="EM13" s="45"/>
      <c r="EN13" s="45"/>
      <c r="EO13" s="45"/>
      <c r="EP13" s="45"/>
      <c r="EQ13" s="45"/>
      <c r="ER13" s="45"/>
      <c r="ES13" s="45"/>
      <c r="ET13" s="45"/>
      <c r="EU13" s="45"/>
      <c r="EV13" s="45"/>
      <c r="EW13" s="45"/>
      <c r="EX13" s="45"/>
      <c r="EY13" s="45"/>
      <c r="EZ13" s="45"/>
      <c r="FA13" s="45"/>
    </row>
    <row r="14" spans="1:157" collapsed="1" x14ac:dyDescent="0.2">
      <c r="A14" s="44" t="s">
        <v>345</v>
      </c>
      <c r="CH14" s="45">
        <v>0</v>
      </c>
      <c r="CI14" s="45">
        <v>0</v>
      </c>
      <c r="CJ14" s="45">
        <v>0</v>
      </c>
      <c r="CK14" s="45">
        <v>0</v>
      </c>
      <c r="CL14" s="45">
        <v>0</v>
      </c>
      <c r="CM14" s="45">
        <v>0</v>
      </c>
      <c r="CN14" s="45">
        <v>0</v>
      </c>
      <c r="CO14" s="45">
        <v>0</v>
      </c>
      <c r="CP14" s="45">
        <v>0</v>
      </c>
      <c r="CQ14" s="114">
        <v>0</v>
      </c>
      <c r="CR14" s="45">
        <v>0</v>
      </c>
      <c r="CS14" s="45"/>
      <c r="CT14" s="45"/>
      <c r="CU14" s="45"/>
      <c r="CV14" s="45"/>
      <c r="CW14" s="45">
        <v>-350000</v>
      </c>
      <c r="CX14" s="45">
        <v>-612500</v>
      </c>
      <c r="CY14" s="45">
        <v>-875000</v>
      </c>
      <c r="CZ14" s="45">
        <v>-875000</v>
      </c>
      <c r="DA14" s="45">
        <v>-875000</v>
      </c>
      <c r="DB14" s="45">
        <v>-875000</v>
      </c>
      <c r="DC14" s="115">
        <v>-875000</v>
      </c>
      <c r="DD14" s="45">
        <v>-852573.96443665167</v>
      </c>
      <c r="DE14" s="45">
        <v>-829755.47325094475</v>
      </c>
      <c r="DF14" s="45">
        <v>-806537.65846948803</v>
      </c>
      <c r="DG14" s="45">
        <v>-782913.53192935593</v>
      </c>
      <c r="DH14" s="45">
        <v>-758875.98317477142</v>
      </c>
      <c r="DI14" s="45">
        <v>-734417.77731698158</v>
      </c>
      <c r="DJ14" s="45">
        <v>-709531.55285668047</v>
      </c>
      <c r="DK14" s="45">
        <v>-684209.81946832396</v>
      </c>
      <c r="DL14" s="45">
        <v>-658444.95574567141</v>
      </c>
      <c r="DM14" s="45">
        <v>-632229.20690787223</v>
      </c>
      <c r="DN14" s="45">
        <v>-605554.68246541172</v>
      </c>
      <c r="DO14" s="45">
        <v>-578413.35384520807</v>
      </c>
      <c r="DP14" s="45">
        <v>-550797.05197415093</v>
      </c>
      <c r="DQ14" s="45">
        <v>-522697.46482035023</v>
      </c>
      <c r="DR14" s="45">
        <v>-494106.13489135797</v>
      </c>
      <c r="DS14" s="45">
        <v>-465014.45668860845</v>
      </c>
      <c r="DT14" s="45">
        <v>-435413.67411731073</v>
      </c>
      <c r="DU14" s="45">
        <v>-405294.87785101525</v>
      </c>
      <c r="DV14" s="45">
        <v>-374649.00265005958</v>
      </c>
      <c r="DW14" s="45">
        <v>-343466.82463308726</v>
      </c>
      <c r="DX14" s="45">
        <v>-311738.95850081788</v>
      </c>
      <c r="DY14" s="45">
        <v>-279455.85471123375</v>
      </c>
      <c r="DZ14" s="45">
        <v>-246607.79660533194</v>
      </c>
      <c r="EA14" s="45">
        <v>-213184.89748257678</v>
      </c>
      <c r="EB14" s="45">
        <v>-179177.0976251734</v>
      </c>
      <c r="EC14" s="45">
        <v>-144574.16127026547</v>
      </c>
      <c r="ED14" s="45">
        <v>-109365.67352914657</v>
      </c>
      <c r="EE14" s="45">
        <v>-73541.037252557959</v>
      </c>
      <c r="EF14" s="45">
        <v>-37089.469841129096</v>
      </c>
      <c r="EG14" s="45"/>
      <c r="EH14" s="45"/>
      <c r="EI14" s="45"/>
      <c r="EJ14" s="45"/>
      <c r="EK14" s="45"/>
      <c r="EL14" s="45"/>
      <c r="EM14" s="45"/>
      <c r="EN14" s="45"/>
      <c r="EO14" s="45"/>
      <c r="EP14" s="45"/>
      <c r="EQ14" s="45"/>
      <c r="ER14" s="45"/>
      <c r="ES14" s="45"/>
      <c r="ET14" s="45"/>
      <c r="EU14" s="45"/>
      <c r="EV14" s="45"/>
      <c r="EW14" s="45"/>
      <c r="EX14" s="45"/>
      <c r="EY14" s="45"/>
      <c r="EZ14" s="45"/>
      <c r="FA14" s="45"/>
    </row>
    <row r="15" spans="1:157" x14ac:dyDescent="0.2">
      <c r="A15" s="44" t="s">
        <v>346</v>
      </c>
      <c r="CH15" s="45">
        <v>0</v>
      </c>
      <c r="CI15" s="45">
        <v>0</v>
      </c>
      <c r="CJ15" s="45">
        <v>0</v>
      </c>
      <c r="CK15" s="45">
        <v>0</v>
      </c>
      <c r="CL15" s="45">
        <v>0</v>
      </c>
      <c r="CM15" s="45">
        <v>0</v>
      </c>
      <c r="CN15" s="45">
        <v>0</v>
      </c>
      <c r="CO15" s="45">
        <v>0</v>
      </c>
      <c r="CP15" s="45">
        <v>0</v>
      </c>
      <c r="CQ15" s="114">
        <v>0</v>
      </c>
      <c r="CR15" s="45">
        <v>0</v>
      </c>
      <c r="CS15" s="45"/>
      <c r="CT15" s="45"/>
      <c r="CU15" s="45"/>
      <c r="CV15" s="45"/>
      <c r="CW15" s="45">
        <v>-420833.33333333331</v>
      </c>
      <c r="CX15" s="45">
        <v>-320833.33333333331</v>
      </c>
      <c r="CY15" s="45">
        <v>-320833.33333333331</v>
      </c>
      <c r="CZ15" s="45">
        <v>-20833.333333333332</v>
      </c>
      <c r="DA15" s="45">
        <v>-20833.333333333332</v>
      </c>
      <c r="DB15" s="45">
        <v>-20833.333333333332</v>
      </c>
      <c r="DC15" s="115">
        <v>-20833.333333333332</v>
      </c>
      <c r="DD15" s="45">
        <v>-20833.333333333332</v>
      </c>
      <c r="DE15" s="45">
        <v>-20833.333333333332</v>
      </c>
      <c r="DF15" s="45">
        <v>-20833.333333333332</v>
      </c>
      <c r="DG15" s="45">
        <v>-20833.333333333332</v>
      </c>
      <c r="DH15" s="45">
        <v>-20833.333333333332</v>
      </c>
      <c r="DI15" s="45">
        <v>-20833.333333333332</v>
      </c>
      <c r="DJ15" s="45">
        <v>-20833.333333333332</v>
      </c>
      <c r="DK15" s="45">
        <v>-20833.333333333332</v>
      </c>
      <c r="DL15" s="45">
        <v>-20833.333333333332</v>
      </c>
      <c r="DM15" s="45">
        <v>-20833.333333333332</v>
      </c>
      <c r="DN15" s="45">
        <v>-20833.333333333332</v>
      </c>
      <c r="DO15" s="45">
        <v>-20833.333333333332</v>
      </c>
      <c r="DP15" s="45">
        <v>-20833.333333333332</v>
      </c>
      <c r="DQ15" s="45">
        <v>-20833.333333333332</v>
      </c>
      <c r="DR15" s="45">
        <v>-20833.333333333332</v>
      </c>
      <c r="DS15" s="45">
        <v>-20833.333333333332</v>
      </c>
      <c r="DT15" s="45">
        <v>-20833.333333333332</v>
      </c>
      <c r="DU15" s="45">
        <v>-20833.333333333332</v>
      </c>
      <c r="DV15" s="45">
        <v>-20833.333333333332</v>
      </c>
      <c r="DW15" s="45">
        <v>-20833.333333333332</v>
      </c>
      <c r="DX15" s="45">
        <v>-20833.333333333332</v>
      </c>
      <c r="DY15" s="45">
        <v>-20833.333333333332</v>
      </c>
      <c r="DZ15" s="45">
        <v>-20833.333333333332</v>
      </c>
      <c r="EA15" s="45">
        <v>-20833.333333333332</v>
      </c>
      <c r="EB15" s="45">
        <v>-20833.333333333332</v>
      </c>
      <c r="EC15" s="45">
        <v>-20833.333333333332</v>
      </c>
      <c r="ED15" s="45">
        <v>-20833.333333333332</v>
      </c>
      <c r="EE15" s="45">
        <v>-20833.333333333332</v>
      </c>
      <c r="EF15" s="45">
        <v>-20833.333333333332</v>
      </c>
      <c r="EG15" s="45"/>
      <c r="EH15" s="45"/>
      <c r="EI15" s="45"/>
      <c r="EJ15" s="45"/>
      <c r="EK15" s="45"/>
      <c r="EL15" s="45"/>
      <c r="EM15" s="45"/>
      <c r="EN15" s="45"/>
      <c r="EO15" s="45"/>
      <c r="EP15" s="45"/>
      <c r="EQ15" s="45"/>
      <c r="ER15" s="45"/>
      <c r="ES15" s="45"/>
      <c r="ET15" s="45"/>
      <c r="EU15" s="45"/>
      <c r="EV15" s="45"/>
      <c r="EW15" s="45"/>
      <c r="EX15" s="45"/>
      <c r="EY15" s="45"/>
      <c r="EZ15" s="45"/>
      <c r="FA15" s="45"/>
    </row>
    <row r="16" spans="1:157" x14ac:dyDescent="0.2">
      <c r="A16" s="44" t="s">
        <v>285</v>
      </c>
      <c r="CH16" s="45">
        <v>0</v>
      </c>
      <c r="CI16" s="45">
        <v>0</v>
      </c>
      <c r="CJ16" s="45">
        <v>0</v>
      </c>
      <c r="CK16" s="45">
        <v>0</v>
      </c>
      <c r="CL16" s="45">
        <v>0</v>
      </c>
      <c r="CM16" s="45">
        <v>0</v>
      </c>
      <c r="CN16" s="45">
        <v>0</v>
      </c>
      <c r="CO16" s="45">
        <v>0</v>
      </c>
      <c r="CP16" s="45">
        <v>0</v>
      </c>
      <c r="CQ16" s="114">
        <v>0</v>
      </c>
      <c r="CR16" s="45">
        <v>0</v>
      </c>
      <c r="CS16" s="45"/>
      <c r="CT16" s="45"/>
      <c r="CU16" s="45">
        <v>-350000</v>
      </c>
      <c r="CV16" s="45">
        <v>-612500</v>
      </c>
      <c r="CW16" s="45">
        <v>-875000</v>
      </c>
      <c r="CX16" s="45">
        <v>-875000</v>
      </c>
      <c r="CY16" s="45">
        <v>-875000</v>
      </c>
      <c r="CZ16" s="45">
        <v>-875000</v>
      </c>
      <c r="DA16" s="45">
        <v>-875000</v>
      </c>
      <c r="DB16" s="45">
        <v>-852573.96443665167</v>
      </c>
      <c r="DC16" s="115">
        <v>-829755.47325094475</v>
      </c>
      <c r="DD16" s="45">
        <v>-806537.65846948803</v>
      </c>
      <c r="DE16" s="45">
        <v>-782913.53192935593</v>
      </c>
      <c r="DF16" s="45">
        <v>-758875.98317477142</v>
      </c>
      <c r="DG16" s="45">
        <v>-734417.77731698158</v>
      </c>
      <c r="DH16" s="45">
        <v>-709531.55285668047</v>
      </c>
      <c r="DI16" s="45">
        <v>-684209.81946832396</v>
      </c>
      <c r="DJ16" s="45">
        <v>-658444.95574567141</v>
      </c>
      <c r="DK16" s="45">
        <v>-632229.20690787223</v>
      </c>
      <c r="DL16" s="45">
        <v>-605554.68246541172</v>
      </c>
      <c r="DM16" s="45">
        <v>-578413.35384520807</v>
      </c>
      <c r="DN16" s="45">
        <v>-550797.05197415093</v>
      </c>
      <c r="DO16" s="45">
        <v>-522697.46482035023</v>
      </c>
      <c r="DP16" s="45">
        <v>-494106.13489135797</v>
      </c>
      <c r="DQ16" s="45">
        <v>-465014.45668860845</v>
      </c>
      <c r="DR16" s="45">
        <v>-435413.67411731073</v>
      </c>
      <c r="DS16" s="45">
        <v>-405294.87785101525</v>
      </c>
      <c r="DT16" s="45">
        <v>-374649.00265005958</v>
      </c>
      <c r="DU16" s="45">
        <v>-343466.82463308726</v>
      </c>
      <c r="DV16" s="45">
        <v>-311738.95850081788</v>
      </c>
      <c r="DW16" s="45">
        <v>-279455.85471123375</v>
      </c>
      <c r="DX16" s="45">
        <v>-246607.79660533194</v>
      </c>
      <c r="DY16" s="45">
        <v>-213184.89748257678</v>
      </c>
      <c r="DZ16" s="45">
        <v>-179177.0976251734</v>
      </c>
      <c r="EA16" s="45">
        <v>-144574.16127026547</v>
      </c>
      <c r="EB16" s="45">
        <v>-109365.67352914657</v>
      </c>
      <c r="EC16" s="45">
        <v>-73541.037252557959</v>
      </c>
      <c r="ED16" s="45">
        <v>-37089.469841129096</v>
      </c>
      <c r="EE16" s="45"/>
      <c r="EF16" s="45"/>
      <c r="EG16" s="45"/>
      <c r="EH16" s="45"/>
      <c r="EI16" s="45"/>
      <c r="EJ16" s="45"/>
      <c r="EK16" s="45"/>
      <c r="EL16" s="45"/>
      <c r="EM16" s="45"/>
      <c r="EN16" s="45"/>
      <c r="EO16" s="45"/>
      <c r="EP16" s="45"/>
      <c r="EQ16" s="45"/>
      <c r="ER16" s="45"/>
      <c r="ES16" s="45"/>
      <c r="ET16" s="45"/>
      <c r="EU16" s="45"/>
      <c r="EV16" s="45"/>
      <c r="EW16" s="45"/>
      <c r="EX16" s="45"/>
      <c r="EY16" s="45"/>
      <c r="EZ16" s="45"/>
      <c r="FA16" s="45"/>
    </row>
    <row r="17" spans="1:157" x14ac:dyDescent="0.2">
      <c r="A17" s="44" t="s">
        <v>347</v>
      </c>
      <c r="CH17" s="45">
        <v>0</v>
      </c>
      <c r="CI17" s="45">
        <v>0</v>
      </c>
      <c r="CJ17" s="45">
        <v>0</v>
      </c>
      <c r="CK17" s="45">
        <v>0</v>
      </c>
      <c r="CL17" s="45">
        <v>0</v>
      </c>
      <c r="CM17" s="45">
        <v>0</v>
      </c>
      <c r="CN17" s="45">
        <v>0</v>
      </c>
      <c r="CO17" s="45">
        <v>0</v>
      </c>
      <c r="CP17" s="45">
        <v>0</v>
      </c>
      <c r="CQ17" s="114">
        <v>0</v>
      </c>
      <c r="CR17" s="45">
        <v>0</v>
      </c>
      <c r="CS17" s="45"/>
      <c r="CT17" s="45"/>
      <c r="CU17" s="45">
        <v>-420833.33333333331</v>
      </c>
      <c r="CV17" s="45">
        <v>-320833.33333333331</v>
      </c>
      <c r="CW17" s="45">
        <v>-320833.33333333331</v>
      </c>
      <c r="CX17" s="45">
        <v>-20833.333333333332</v>
      </c>
      <c r="CY17" s="45">
        <v>-20833.333333333332</v>
      </c>
      <c r="CZ17" s="45">
        <v>-20833.333333333332</v>
      </c>
      <c r="DA17" s="45">
        <v>-20833.333333333332</v>
      </c>
      <c r="DB17" s="45">
        <v>-20833.333333333332</v>
      </c>
      <c r="DC17" s="115">
        <v>-20833.333333333332</v>
      </c>
      <c r="DD17" s="45">
        <v>-20833.333333333332</v>
      </c>
      <c r="DE17" s="45">
        <v>-20833.333333333332</v>
      </c>
      <c r="DF17" s="45">
        <v>-20833.333333333332</v>
      </c>
      <c r="DG17" s="45">
        <v>-20833.333333333332</v>
      </c>
      <c r="DH17" s="45">
        <v>-20833.333333333332</v>
      </c>
      <c r="DI17" s="45">
        <v>-20833.333333333332</v>
      </c>
      <c r="DJ17" s="45">
        <v>-20833.333333333332</v>
      </c>
      <c r="DK17" s="45">
        <v>-20833.333333333332</v>
      </c>
      <c r="DL17" s="45">
        <v>-20833.333333333332</v>
      </c>
      <c r="DM17" s="45">
        <v>-20833.333333333332</v>
      </c>
      <c r="DN17" s="45">
        <v>-20833.333333333332</v>
      </c>
      <c r="DO17" s="45">
        <v>-20833.333333333332</v>
      </c>
      <c r="DP17" s="45">
        <v>-20833.333333333332</v>
      </c>
      <c r="DQ17" s="45">
        <v>-20833.333333333332</v>
      </c>
      <c r="DR17" s="45">
        <v>-20833.333333333332</v>
      </c>
      <c r="DS17" s="45">
        <v>-20833.333333333332</v>
      </c>
      <c r="DT17" s="45">
        <v>-20833.333333333332</v>
      </c>
      <c r="DU17" s="45">
        <v>-20833.333333333332</v>
      </c>
      <c r="DV17" s="45">
        <v>-20833.333333333332</v>
      </c>
      <c r="DW17" s="45">
        <v>-20833.333333333332</v>
      </c>
      <c r="DX17" s="45">
        <v>-20833.333333333332</v>
      </c>
      <c r="DY17" s="45">
        <v>-20833.333333333332</v>
      </c>
      <c r="DZ17" s="45">
        <v>-20833.333333333332</v>
      </c>
      <c r="EA17" s="45">
        <v>-20833.333333333332</v>
      </c>
      <c r="EB17" s="45">
        <v>-20833.333333333332</v>
      </c>
      <c r="EC17" s="45">
        <v>-20833.333333333332</v>
      </c>
      <c r="ED17" s="45">
        <v>-20833.333333333332</v>
      </c>
      <c r="EE17" s="45"/>
      <c r="EF17" s="45"/>
      <c r="EG17" s="45"/>
      <c r="EH17" s="45"/>
      <c r="EI17" s="45"/>
      <c r="EJ17" s="45"/>
      <c r="EK17" s="45"/>
      <c r="EL17" s="45"/>
      <c r="EM17" s="45"/>
      <c r="EN17" s="45"/>
      <c r="EO17" s="45"/>
      <c r="EP17" s="45"/>
      <c r="EQ17" s="45"/>
      <c r="ER17" s="45"/>
      <c r="ES17" s="45"/>
      <c r="ET17" s="45"/>
      <c r="EU17" s="45"/>
      <c r="EV17" s="45"/>
      <c r="EW17" s="45"/>
      <c r="EX17" s="45"/>
      <c r="EY17" s="45"/>
      <c r="EZ17" s="45"/>
      <c r="FA17" s="45"/>
    </row>
    <row r="18" spans="1:157" x14ac:dyDescent="0.2">
      <c r="A18" s="44" t="s">
        <v>348</v>
      </c>
      <c r="CH18" s="45">
        <v>-500000</v>
      </c>
      <c r="CI18" s="45">
        <v>-500000</v>
      </c>
      <c r="CJ18" s="45">
        <v>-500000</v>
      </c>
      <c r="CK18" s="45">
        <v>-500000</v>
      </c>
      <c r="CL18" s="45">
        <v>-500000</v>
      </c>
      <c r="CM18" s="45">
        <v>-500000</v>
      </c>
      <c r="CN18" s="45">
        <v>-500000</v>
      </c>
      <c r="CO18" s="45">
        <v>-500000</v>
      </c>
      <c r="CP18" s="45">
        <v>-500000</v>
      </c>
      <c r="CQ18" s="114">
        <v>-500000</v>
      </c>
      <c r="CR18" s="45">
        <v>-500000</v>
      </c>
      <c r="CS18" s="45">
        <v>-500000</v>
      </c>
      <c r="CT18" s="45">
        <v>-500000</v>
      </c>
      <c r="CU18" s="45">
        <v>-500000</v>
      </c>
      <c r="CV18" s="45">
        <v>-500000</v>
      </c>
      <c r="CW18" s="45">
        <v>-500000</v>
      </c>
      <c r="CX18" s="45">
        <v>-500000</v>
      </c>
      <c r="CY18" s="45">
        <v>-500000</v>
      </c>
      <c r="CZ18" s="45">
        <v>-500000</v>
      </c>
      <c r="DA18" s="45">
        <v>-500000</v>
      </c>
      <c r="DB18" s="45">
        <v>-500000</v>
      </c>
      <c r="DC18" s="115">
        <v>-500000</v>
      </c>
      <c r="DD18" s="45">
        <v>-500000</v>
      </c>
      <c r="DE18" s="45">
        <v>-500000</v>
      </c>
      <c r="DF18" s="45">
        <v>-500000</v>
      </c>
      <c r="DG18" s="45">
        <v>-500000</v>
      </c>
      <c r="DH18" s="45">
        <v>-500000</v>
      </c>
      <c r="DI18" s="45">
        <v>-500000</v>
      </c>
      <c r="DJ18" s="45">
        <v>-500000</v>
      </c>
      <c r="DK18" s="45">
        <v>-500000</v>
      </c>
      <c r="DL18" s="45">
        <v>-500000</v>
      </c>
      <c r="DM18" s="45">
        <v>-500000</v>
      </c>
      <c r="DN18" s="45">
        <v>-500000</v>
      </c>
      <c r="DO18" s="45">
        <v>-500000</v>
      </c>
      <c r="DP18" s="45">
        <v>-500000</v>
      </c>
      <c r="DQ18" s="45">
        <v>-500000</v>
      </c>
      <c r="DR18" s="45">
        <v>-500000</v>
      </c>
      <c r="DS18" s="45">
        <v>-500000</v>
      </c>
      <c r="DT18" s="45">
        <v>-500000</v>
      </c>
      <c r="DU18" s="45">
        <v>-500000</v>
      </c>
      <c r="DV18" s="45">
        <v>-500000</v>
      </c>
      <c r="DW18" s="45">
        <v>-500000</v>
      </c>
      <c r="DX18" s="45">
        <v>-500000</v>
      </c>
      <c r="DY18" s="45">
        <v>-500000</v>
      </c>
      <c r="DZ18" s="45">
        <v>-500000</v>
      </c>
      <c r="EA18" s="45">
        <v>-500000</v>
      </c>
      <c r="EB18" s="45">
        <v>-500000</v>
      </c>
      <c r="EC18" s="45">
        <v>-500000</v>
      </c>
      <c r="ED18" s="45">
        <v>-500000</v>
      </c>
      <c r="EE18" s="45">
        <v>-500000</v>
      </c>
      <c r="EF18" s="45">
        <v>-500000</v>
      </c>
      <c r="EG18" s="45">
        <v>-500000</v>
      </c>
      <c r="EH18" s="45">
        <v>-500000</v>
      </c>
      <c r="EI18" s="45">
        <v>-500000</v>
      </c>
      <c r="EJ18" s="45">
        <v>-500000</v>
      </c>
      <c r="EK18" s="45">
        <v>-500000</v>
      </c>
      <c r="EL18" s="45">
        <v>-500000</v>
      </c>
      <c r="EM18" s="45">
        <v>-500000</v>
      </c>
      <c r="EN18" s="45">
        <v>-500000</v>
      </c>
      <c r="EO18" s="45">
        <v>-500000</v>
      </c>
      <c r="EP18" s="45">
        <v>-500000</v>
      </c>
      <c r="EQ18" s="45">
        <v>-500000</v>
      </c>
      <c r="ER18" s="45">
        <v>-500000</v>
      </c>
      <c r="ES18" s="45">
        <v>-500000</v>
      </c>
      <c r="ET18" s="45">
        <v>-500000</v>
      </c>
      <c r="EU18" s="45">
        <v>-500000</v>
      </c>
      <c r="EV18" s="45">
        <v>-500000</v>
      </c>
      <c r="EW18" s="45">
        <v>-500000</v>
      </c>
      <c r="EX18" s="45">
        <v>-500000</v>
      </c>
      <c r="EY18" s="45">
        <v>-500000</v>
      </c>
      <c r="EZ18" s="45">
        <v>-500000</v>
      </c>
      <c r="FA18" s="45">
        <v>-500000</v>
      </c>
    </row>
    <row r="19" spans="1:157" x14ac:dyDescent="0.2">
      <c r="A19" s="44" t="s">
        <v>349</v>
      </c>
      <c r="B19" s="44"/>
      <c r="C19" s="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104">
        <f t="shared" ref="CH19:FA19" si="6">SUM(CH16:CH18)</f>
        <v>-500000</v>
      </c>
      <c r="CI19" s="104">
        <f t="shared" si="6"/>
        <v>-500000</v>
      </c>
      <c r="CJ19" s="104">
        <f t="shared" si="6"/>
        <v>-500000</v>
      </c>
      <c r="CK19" s="104">
        <f t="shared" si="6"/>
        <v>-500000</v>
      </c>
      <c r="CL19" s="104">
        <f t="shared" si="6"/>
        <v>-500000</v>
      </c>
      <c r="CM19" s="104">
        <f t="shared" si="6"/>
        <v>-500000</v>
      </c>
      <c r="CN19" s="104">
        <f t="shared" si="6"/>
        <v>-500000</v>
      </c>
      <c r="CO19" s="104">
        <f t="shared" si="6"/>
        <v>-500000</v>
      </c>
      <c r="CP19" s="104">
        <f t="shared" si="6"/>
        <v>-500000</v>
      </c>
      <c r="CQ19" s="109">
        <f t="shared" si="6"/>
        <v>-500000</v>
      </c>
      <c r="CR19" s="104">
        <f t="shared" si="6"/>
        <v>-500000</v>
      </c>
      <c r="CS19" s="104">
        <f t="shared" si="6"/>
        <v>-500000</v>
      </c>
      <c r="CT19" s="104">
        <f t="shared" si="6"/>
        <v>-500000</v>
      </c>
      <c r="CU19" s="104">
        <f t="shared" si="6"/>
        <v>-1270833.3333333333</v>
      </c>
      <c r="CV19" s="104">
        <f t="shared" si="6"/>
        <v>-1433333.3333333333</v>
      </c>
      <c r="CW19" s="104">
        <f t="shared" si="6"/>
        <v>-1695833.3333333333</v>
      </c>
      <c r="CX19" s="104">
        <f t="shared" si="6"/>
        <v>-1395833.3333333335</v>
      </c>
      <c r="CY19" s="104">
        <f t="shared" si="6"/>
        <v>-1395833.3333333335</v>
      </c>
      <c r="CZ19" s="104">
        <f t="shared" si="6"/>
        <v>-1395833.3333333335</v>
      </c>
      <c r="DA19" s="104">
        <f t="shared" si="6"/>
        <v>-1395833.3333333335</v>
      </c>
      <c r="DB19" s="104">
        <f t="shared" si="6"/>
        <v>-1373407.2977699852</v>
      </c>
      <c r="DC19" s="110">
        <f t="shared" si="6"/>
        <v>-1350588.8065842781</v>
      </c>
      <c r="DD19" s="104">
        <f t="shared" si="6"/>
        <v>-1327370.9918028214</v>
      </c>
      <c r="DE19" s="104">
        <f t="shared" si="6"/>
        <v>-1303746.8652626893</v>
      </c>
      <c r="DF19" s="104">
        <f t="shared" si="6"/>
        <v>-1279709.3165081048</v>
      </c>
      <c r="DG19" s="104">
        <f t="shared" si="6"/>
        <v>-1255251.1106503149</v>
      </c>
      <c r="DH19" s="104">
        <f t="shared" si="6"/>
        <v>-1230364.886190014</v>
      </c>
      <c r="DI19" s="104">
        <f t="shared" si="6"/>
        <v>-1205043.1528016573</v>
      </c>
      <c r="DJ19" s="104">
        <f t="shared" si="6"/>
        <v>-1179278.2890790049</v>
      </c>
      <c r="DK19" s="104">
        <f t="shared" si="6"/>
        <v>-1153062.5402412056</v>
      </c>
      <c r="DL19" s="104">
        <f t="shared" si="6"/>
        <v>-1126388.0157987452</v>
      </c>
      <c r="DM19" s="104">
        <f t="shared" si="6"/>
        <v>-1099246.6871785414</v>
      </c>
      <c r="DN19" s="104">
        <f t="shared" si="6"/>
        <v>-1071630.3853074843</v>
      </c>
      <c r="DO19" s="104">
        <f t="shared" si="6"/>
        <v>-1043530.7981536835</v>
      </c>
      <c r="DP19" s="104">
        <f t="shared" si="6"/>
        <v>-1014939.4682246912</v>
      </c>
      <c r="DQ19" s="104">
        <f t="shared" si="6"/>
        <v>-985847.79002194176</v>
      </c>
      <c r="DR19" s="104">
        <f t="shared" si="6"/>
        <v>-956247.00745064404</v>
      </c>
      <c r="DS19" s="104">
        <f t="shared" si="6"/>
        <v>-926128.21118434856</v>
      </c>
      <c r="DT19" s="104">
        <f t="shared" si="6"/>
        <v>-895482.3359833929</v>
      </c>
      <c r="DU19" s="104">
        <f t="shared" si="6"/>
        <v>-864300.15796642052</v>
      </c>
      <c r="DV19" s="104">
        <f t="shared" si="6"/>
        <v>-832572.29183415114</v>
      </c>
      <c r="DW19" s="104">
        <f t="shared" si="6"/>
        <v>-800289.18804456713</v>
      </c>
      <c r="DX19" s="104">
        <f t="shared" si="6"/>
        <v>-767441.12993866531</v>
      </c>
      <c r="DY19" s="104">
        <f t="shared" si="6"/>
        <v>-734018.23081591015</v>
      </c>
      <c r="DZ19" s="104">
        <f t="shared" si="6"/>
        <v>-700010.43095850677</v>
      </c>
      <c r="EA19" s="104">
        <f t="shared" si="6"/>
        <v>-665407.49460359884</v>
      </c>
      <c r="EB19" s="104">
        <f t="shared" si="6"/>
        <v>-630199.00686247996</v>
      </c>
      <c r="EC19" s="104">
        <f t="shared" si="6"/>
        <v>-594374.3705858913</v>
      </c>
      <c r="ED19" s="104">
        <f t="shared" si="6"/>
        <v>-557922.8031744624</v>
      </c>
      <c r="EE19" s="104">
        <f t="shared" si="6"/>
        <v>-500000</v>
      </c>
      <c r="EF19" s="104">
        <f t="shared" si="6"/>
        <v>-500000</v>
      </c>
      <c r="EG19" s="104">
        <f t="shared" si="6"/>
        <v>-500000</v>
      </c>
      <c r="EH19" s="104">
        <f t="shared" si="6"/>
        <v>-500000</v>
      </c>
      <c r="EI19" s="104">
        <f t="shared" si="6"/>
        <v>-500000</v>
      </c>
      <c r="EJ19" s="104">
        <f t="shared" si="6"/>
        <v>-500000</v>
      </c>
      <c r="EK19" s="104">
        <f t="shared" si="6"/>
        <v>-500000</v>
      </c>
      <c r="EL19" s="104">
        <f t="shared" si="6"/>
        <v>-500000</v>
      </c>
      <c r="EM19" s="104">
        <f t="shared" si="6"/>
        <v>-500000</v>
      </c>
      <c r="EN19" s="104">
        <f t="shared" si="6"/>
        <v>-500000</v>
      </c>
      <c r="EO19" s="104">
        <f t="shared" si="6"/>
        <v>-500000</v>
      </c>
      <c r="EP19" s="104">
        <f t="shared" si="6"/>
        <v>-500000</v>
      </c>
      <c r="EQ19" s="104">
        <f t="shared" si="6"/>
        <v>-500000</v>
      </c>
      <c r="ER19" s="104">
        <f t="shared" si="6"/>
        <v>-500000</v>
      </c>
      <c r="ES19" s="104">
        <f t="shared" si="6"/>
        <v>-500000</v>
      </c>
      <c r="ET19" s="104">
        <f t="shared" si="6"/>
        <v>-500000</v>
      </c>
      <c r="EU19" s="104">
        <f t="shared" si="6"/>
        <v>-500000</v>
      </c>
      <c r="EV19" s="104">
        <f t="shared" si="6"/>
        <v>-500000</v>
      </c>
      <c r="EW19" s="104">
        <f t="shared" si="6"/>
        <v>-500000</v>
      </c>
      <c r="EX19" s="104">
        <f t="shared" si="6"/>
        <v>-500000</v>
      </c>
      <c r="EY19" s="104">
        <f t="shared" si="6"/>
        <v>-500000</v>
      </c>
      <c r="EZ19" s="104">
        <f t="shared" si="6"/>
        <v>-500000</v>
      </c>
      <c r="FA19" s="104">
        <f t="shared" si="6"/>
        <v>-500000</v>
      </c>
    </row>
    <row r="20" spans="1:157" x14ac:dyDescent="0.2">
      <c r="A20" s="44"/>
      <c r="CH20" s="45"/>
      <c r="CI20" s="45"/>
      <c r="CJ20" s="45"/>
      <c r="CK20" s="45"/>
      <c r="CL20" s="45"/>
      <c r="CM20" s="45"/>
      <c r="CN20" s="45"/>
      <c r="CO20" s="45"/>
      <c r="CP20" s="45"/>
      <c r="CQ20" s="114"/>
      <c r="CR20" s="45"/>
      <c r="CS20" s="45"/>
      <c r="CT20" s="45"/>
      <c r="CU20" s="45"/>
      <c r="CV20" s="45"/>
      <c r="CW20" s="45"/>
      <c r="CX20" s="45"/>
      <c r="CY20" s="45"/>
      <c r="CZ20" s="45"/>
      <c r="DA20" s="45"/>
      <c r="DB20" s="45"/>
      <c r="DC20" s="115"/>
      <c r="DD20" s="45"/>
      <c r="DE20" s="45"/>
      <c r="DF20" s="45"/>
      <c r="DG20" s="45"/>
      <c r="DH20" s="45"/>
      <c r="DI20" s="45"/>
      <c r="DJ20" s="45"/>
      <c r="DK20" s="45"/>
      <c r="DL20" s="45"/>
      <c r="DM20" s="45"/>
      <c r="DN20" s="45"/>
      <c r="DO20" s="45"/>
      <c r="DP20" s="45"/>
      <c r="DQ20" s="45"/>
      <c r="DR20" s="45"/>
      <c r="DS20" s="45"/>
      <c r="DT20" s="45"/>
      <c r="DU20" s="45"/>
      <c r="DV20" s="45"/>
      <c r="DW20" s="45"/>
      <c r="DX20" s="45"/>
      <c r="DY20" s="45"/>
      <c r="DZ20" s="45"/>
      <c r="EA20" s="45"/>
      <c r="EB20" s="45"/>
      <c r="EC20" s="45"/>
      <c r="ED20" s="45"/>
      <c r="EE20" s="45"/>
      <c r="EF20" s="45"/>
      <c r="EG20" s="45"/>
      <c r="EH20" s="45"/>
      <c r="EI20" s="45"/>
      <c r="EJ20" s="45"/>
      <c r="EK20" s="45"/>
      <c r="EL20" s="45"/>
      <c r="EM20" s="45"/>
      <c r="EN20" s="45"/>
      <c r="EO20" s="45"/>
      <c r="EP20" s="45"/>
      <c r="EQ20" s="45"/>
      <c r="ER20" s="45"/>
      <c r="ES20" s="45"/>
      <c r="ET20" s="45"/>
      <c r="EU20" s="45"/>
      <c r="EV20" s="45"/>
      <c r="EW20" s="45"/>
      <c r="EX20" s="45"/>
      <c r="EY20" s="45"/>
      <c r="EZ20" s="45"/>
      <c r="FA20" s="45"/>
    </row>
    <row r="21" spans="1:157" ht="15.75" customHeight="1" x14ac:dyDescent="0.2">
      <c r="A21" s="44" t="s">
        <v>350</v>
      </c>
      <c r="CH21" s="45">
        <f t="shared" ref="CH21:FA21" si="7">CH2+CH7+CH19</f>
        <v>405313.78834223573</v>
      </c>
      <c r="CI21" s="45">
        <f t="shared" si="7"/>
        <v>413383.91303895216</v>
      </c>
      <c r="CJ21" s="45">
        <f t="shared" si="7"/>
        <v>369184.91710905114</v>
      </c>
      <c r="CK21" s="45">
        <f t="shared" si="7"/>
        <v>478114.67152556346</v>
      </c>
      <c r="CL21" s="45">
        <f t="shared" si="7"/>
        <v>550379.77658640081</v>
      </c>
      <c r="CM21" s="45">
        <f t="shared" si="7"/>
        <v>537344.53575535724</v>
      </c>
      <c r="CN21" s="45">
        <f t="shared" si="7"/>
        <v>572461.75873014401</v>
      </c>
      <c r="CO21" s="45">
        <f t="shared" si="7"/>
        <v>650742.95835812134</v>
      </c>
      <c r="CP21" s="45">
        <f t="shared" si="7"/>
        <v>764576.62337597832</v>
      </c>
      <c r="CQ21" s="114">
        <f t="shared" si="7"/>
        <v>761881.99013086944</v>
      </c>
      <c r="CR21" s="45">
        <f t="shared" si="7"/>
        <v>1637737.569921304</v>
      </c>
      <c r="CS21" s="45">
        <f t="shared" si="7"/>
        <v>1661827.9536813269</v>
      </c>
      <c r="CT21" s="45">
        <f t="shared" si="7"/>
        <v>1325950.6583361719</v>
      </c>
      <c r="CU21" s="45">
        <f t="shared" si="7"/>
        <v>1404072.8172470352</v>
      </c>
      <c r="CV21" s="45">
        <f t="shared" si="7"/>
        <v>1527625.9640976039</v>
      </c>
      <c r="CW21" s="45">
        <f t="shared" si="7"/>
        <v>2102713.409511066</v>
      </c>
      <c r="CX21" s="45">
        <f t="shared" si="7"/>
        <v>2500814.1881775972</v>
      </c>
      <c r="CY21" s="45">
        <f t="shared" si="7"/>
        <v>2874365.8569774344</v>
      </c>
      <c r="CZ21" s="45">
        <f t="shared" si="7"/>
        <v>2903132.060846603</v>
      </c>
      <c r="DA21" s="45">
        <f t="shared" si="7"/>
        <v>2932463.1112509561</v>
      </c>
      <c r="DB21" s="45">
        <f t="shared" si="7"/>
        <v>2975140.767003932</v>
      </c>
      <c r="DC21" s="115">
        <f t="shared" si="7"/>
        <v>3021476.0156755513</v>
      </c>
      <c r="DD21" s="45">
        <f t="shared" si="7"/>
        <v>3073346.9928014814</v>
      </c>
      <c r="DE21" s="45">
        <f t="shared" si="7"/>
        <v>3125461.6963291205</v>
      </c>
      <c r="DF21" s="45">
        <f t="shared" si="7"/>
        <v>3172895.5506799128</v>
      </c>
      <c r="DG21" s="45">
        <f t="shared" si="7"/>
        <v>3222785.8007568279</v>
      </c>
      <c r="DH21" s="45">
        <f t="shared" si="7"/>
        <v>3273034.4674814837</v>
      </c>
      <c r="DI21" s="45">
        <f t="shared" si="7"/>
        <v>3326604.7051275223</v>
      </c>
      <c r="DJ21" s="45">
        <f t="shared" si="7"/>
        <v>3374965.9335981132</v>
      </c>
      <c r="DK21" s="45">
        <f t="shared" si="7"/>
        <v>3423834.1897783424</v>
      </c>
      <c r="DL21" s="45">
        <f t="shared" si="7"/>
        <v>3471705.0159641323</v>
      </c>
      <c r="DM21" s="45">
        <f t="shared" si="7"/>
        <v>3519887.5263583562</v>
      </c>
      <c r="DN21" s="45">
        <f t="shared" si="7"/>
        <v>3559352.1976019908</v>
      </c>
      <c r="DO21" s="45">
        <f t="shared" si="7"/>
        <v>3598275.6259765737</v>
      </c>
      <c r="DP21" s="45">
        <f t="shared" si="7"/>
        <v>3646066.9967071544</v>
      </c>
      <c r="DQ21" s="45">
        <f t="shared" si="7"/>
        <v>3696390.5622918457</v>
      </c>
      <c r="DR21" s="45">
        <f t="shared" si="7"/>
        <v>3751768.6340649985</v>
      </c>
      <c r="DS21" s="45">
        <f t="shared" si="7"/>
        <v>3803150.5880260211</v>
      </c>
      <c r="DT21" s="45">
        <f t="shared" si="7"/>
        <v>3855435.8898357265</v>
      </c>
      <c r="DU21" s="45">
        <f t="shared" si="7"/>
        <v>3901066.9928661757</v>
      </c>
      <c r="DV21" s="45">
        <f t="shared" si="7"/>
        <v>3946093.2809753111</v>
      </c>
      <c r="DW21" s="45">
        <f t="shared" si="7"/>
        <v>3999203.7669756054</v>
      </c>
      <c r="DX21" s="45">
        <f t="shared" si="7"/>
        <v>4052220.8099419945</v>
      </c>
      <c r="DY21" s="45">
        <f t="shared" si="7"/>
        <v>4106483.568997907</v>
      </c>
      <c r="DZ21" s="45">
        <f t="shared" si="7"/>
        <v>4166021.7090981668</v>
      </c>
      <c r="EA21" s="45">
        <f t="shared" si="7"/>
        <v>4228974.8200521031</v>
      </c>
      <c r="EB21" s="45">
        <f t="shared" si="7"/>
        <v>4293002.3866123501</v>
      </c>
      <c r="EC21" s="45">
        <f t="shared" si="7"/>
        <v>4360644.5934137879</v>
      </c>
      <c r="ED21" s="45">
        <f t="shared" si="7"/>
        <v>4427502.2456083726</v>
      </c>
      <c r="EE21" s="45">
        <f t="shared" si="7"/>
        <v>4523629.3753706366</v>
      </c>
      <c r="EF21" s="45">
        <f t="shared" si="7"/>
        <v>4557295.213891319</v>
      </c>
      <c r="EG21" s="45">
        <f t="shared" si="7"/>
        <v>4579369.2546041096</v>
      </c>
      <c r="EH21" s="45">
        <f t="shared" si="7"/>
        <v>4617223.7728430452</v>
      </c>
      <c r="EI21" s="45">
        <f t="shared" si="7"/>
        <v>4667679.7400523257</v>
      </c>
      <c r="EJ21" s="45">
        <f t="shared" si="7"/>
        <v>4697595.9447261039</v>
      </c>
      <c r="EK21" s="45">
        <f t="shared" si="7"/>
        <v>4704344.1652673716</v>
      </c>
      <c r="EL21" s="45">
        <f t="shared" si="7"/>
        <v>4750440.5087946374</v>
      </c>
      <c r="EM21" s="45">
        <f t="shared" si="7"/>
        <v>4785022.7825552337</v>
      </c>
      <c r="EN21" s="45">
        <f t="shared" si="7"/>
        <v>4838396.917708924</v>
      </c>
      <c r="EO21" s="45">
        <f t="shared" si="7"/>
        <v>4827115.3615905847</v>
      </c>
      <c r="EP21" s="45">
        <f t="shared" si="7"/>
        <v>4887922.3566967957</v>
      </c>
      <c r="EQ21" s="45">
        <f t="shared" si="7"/>
        <v>4887838.0611404842</v>
      </c>
      <c r="ER21" s="45">
        <f t="shared" si="7"/>
        <v>4976382.5586190382</v>
      </c>
      <c r="ES21" s="45">
        <f t="shared" si="7"/>
        <v>5079786.1124268724</v>
      </c>
      <c r="ET21" s="45">
        <f t="shared" si="7"/>
        <v>5234740.0761404596</v>
      </c>
      <c r="EU21" s="45">
        <f t="shared" si="7"/>
        <v>5343964.9973385036</v>
      </c>
      <c r="EV21" s="45">
        <f t="shared" si="7"/>
        <v>5887486.3840705249</v>
      </c>
      <c r="EW21" s="45">
        <f t="shared" si="7"/>
        <v>6144117.618762048</v>
      </c>
      <c r="EX21" s="45">
        <f t="shared" si="7"/>
        <v>6416296.4376685824</v>
      </c>
      <c r="EY21" s="45">
        <f t="shared" si="7"/>
        <v>2566037.8397887782</v>
      </c>
      <c r="EZ21" s="45">
        <f t="shared" si="7"/>
        <v>2582213.5755822072</v>
      </c>
      <c r="FA21" s="45">
        <f t="shared" si="7"/>
        <v>2598682.4588041883</v>
      </c>
    </row>
    <row r="22" spans="1:157" ht="15.75" customHeight="1" x14ac:dyDescent="0.2">
      <c r="A22" s="44"/>
      <c r="CH22" s="118">
        <f t="shared" ref="CH22:FA22" si="8">CH21/(CH2+CH7)</f>
        <v>0.44770530788493301</v>
      </c>
      <c r="CI22" s="118">
        <f t="shared" si="8"/>
        <v>0.4525850599487436</v>
      </c>
      <c r="CJ22" s="118">
        <f t="shared" si="8"/>
        <v>0.42474841640945299</v>
      </c>
      <c r="CK22" s="118">
        <f t="shared" si="8"/>
        <v>0.48881249350840322</v>
      </c>
      <c r="CL22" s="118">
        <f t="shared" si="8"/>
        <v>0.52398169581583554</v>
      </c>
      <c r="CM22" s="118">
        <f t="shared" si="8"/>
        <v>0.51800006384964681</v>
      </c>
      <c r="CN22" s="118">
        <f t="shared" si="8"/>
        <v>0.53378291027175784</v>
      </c>
      <c r="CO22" s="118">
        <f t="shared" si="8"/>
        <v>0.5654981015800441</v>
      </c>
      <c r="CP22" s="118">
        <f t="shared" si="8"/>
        <v>0.60461075212257642</v>
      </c>
      <c r="CQ22" s="119">
        <f t="shared" si="8"/>
        <v>0.60376643465040247</v>
      </c>
      <c r="CR22" s="118">
        <f t="shared" si="8"/>
        <v>0.76610786701082001</v>
      </c>
      <c r="CS22" s="118">
        <f t="shared" si="8"/>
        <v>0.76871424983261893</v>
      </c>
      <c r="CT22" s="118">
        <f t="shared" si="8"/>
        <v>0.72617003766377453</v>
      </c>
      <c r="CU22" s="118">
        <f t="shared" si="8"/>
        <v>0.52490545021267254</v>
      </c>
      <c r="CV22" s="118">
        <f t="shared" si="8"/>
        <v>0.51592264892767747</v>
      </c>
      <c r="CW22" s="118">
        <f t="shared" si="8"/>
        <v>0.55355733438639432</v>
      </c>
      <c r="CX22" s="118">
        <f t="shared" si="8"/>
        <v>0.64178609288425015</v>
      </c>
      <c r="CY22" s="118">
        <f t="shared" si="8"/>
        <v>0.67312219614941415</v>
      </c>
      <c r="CZ22" s="118">
        <f t="shared" si="8"/>
        <v>0.67530947440910949</v>
      </c>
      <c r="DA22" s="118">
        <f t="shared" si="8"/>
        <v>0.67750976597736345</v>
      </c>
      <c r="DB22" s="118">
        <f t="shared" si="8"/>
        <v>0.68416876683611194</v>
      </c>
      <c r="DC22" s="120">
        <f t="shared" si="8"/>
        <v>0.69108673784800223</v>
      </c>
      <c r="DD22" s="118">
        <f t="shared" si="8"/>
        <v>0.69837399341503725</v>
      </c>
      <c r="DE22" s="118">
        <f t="shared" si="8"/>
        <v>0.70564789462202782</v>
      </c>
      <c r="DF22" s="118">
        <f t="shared" si="8"/>
        <v>0.71259311017276772</v>
      </c>
      <c r="DG22" s="118">
        <f t="shared" si="8"/>
        <v>0.71968718983696922</v>
      </c>
      <c r="DH22" s="118">
        <f t="shared" si="8"/>
        <v>0.7267919654545113</v>
      </c>
      <c r="DI22" s="118">
        <f t="shared" si="8"/>
        <v>0.7340827905034254</v>
      </c>
      <c r="DJ22" s="118">
        <f t="shared" si="8"/>
        <v>0.74105949715937924</v>
      </c>
      <c r="DK22" s="118">
        <f t="shared" si="8"/>
        <v>0.74806891912628304</v>
      </c>
      <c r="DL22" s="118">
        <f t="shared" si="8"/>
        <v>0.75503148631012018</v>
      </c>
      <c r="DM22" s="118">
        <f t="shared" si="8"/>
        <v>0.76202321985858867</v>
      </c>
      <c r="DN22" s="118">
        <f t="shared" si="8"/>
        <v>0.76859546195178763</v>
      </c>
      <c r="DO22" s="118">
        <f t="shared" si="8"/>
        <v>0.77518864364336093</v>
      </c>
      <c r="DP22" s="118">
        <f t="shared" si="8"/>
        <v>0.78224886065685129</v>
      </c>
      <c r="DQ22" s="118">
        <f t="shared" si="8"/>
        <v>0.78944946501179869</v>
      </c>
      <c r="DR22" s="118">
        <f t="shared" si="8"/>
        <v>0.79688958570604895</v>
      </c>
      <c r="DS22" s="118">
        <f t="shared" si="8"/>
        <v>0.80417136512675447</v>
      </c>
      <c r="DT22" s="118">
        <f t="shared" si="8"/>
        <v>0.81151383934228838</v>
      </c>
      <c r="DU22" s="118">
        <f t="shared" si="8"/>
        <v>0.81862884209972964</v>
      </c>
      <c r="DV22" s="118">
        <f t="shared" si="8"/>
        <v>0.82577305753064711</v>
      </c>
      <c r="DW22" s="118">
        <f t="shared" si="8"/>
        <v>0.83325547187073568</v>
      </c>
      <c r="DX22" s="118">
        <f t="shared" si="8"/>
        <v>0.84076868056068099</v>
      </c>
      <c r="DY22" s="118">
        <f t="shared" si="8"/>
        <v>0.84835906251617488</v>
      </c>
      <c r="DZ22" s="118">
        <f t="shared" si="8"/>
        <v>0.85614348388780803</v>
      </c>
      <c r="EA22" s="118">
        <f t="shared" si="8"/>
        <v>0.86404668621592817</v>
      </c>
      <c r="EB22" s="118">
        <f t="shared" si="8"/>
        <v>0.87199406311150696</v>
      </c>
      <c r="EC22" s="118">
        <f t="shared" si="8"/>
        <v>0.88004599479754286</v>
      </c>
      <c r="ED22" s="118">
        <f t="shared" si="8"/>
        <v>0.88808922053483164</v>
      </c>
      <c r="EE22" s="118">
        <f t="shared" si="8"/>
        <v>0.90047036462296526</v>
      </c>
      <c r="EF22" s="118">
        <f t="shared" si="8"/>
        <v>0.90113292207530105</v>
      </c>
      <c r="EG22" s="118">
        <f t="shared" si="8"/>
        <v>0.90156258091557662</v>
      </c>
      <c r="EH22" s="118">
        <f t="shared" si="8"/>
        <v>0.9022907689412597</v>
      </c>
      <c r="EI22" s="118">
        <f t="shared" si="8"/>
        <v>0.90324477809165915</v>
      </c>
      <c r="EJ22" s="118">
        <f t="shared" si="8"/>
        <v>0.90380167960009672</v>
      </c>
      <c r="EK22" s="118">
        <f t="shared" si="8"/>
        <v>0.9039264152941906</v>
      </c>
      <c r="EL22" s="118">
        <f t="shared" si="8"/>
        <v>0.90476989518070228</v>
      </c>
      <c r="EM22" s="118">
        <f t="shared" si="8"/>
        <v>0.90539302845573411</v>
      </c>
      <c r="EN22" s="118">
        <f t="shared" si="8"/>
        <v>0.9063389238927958</v>
      </c>
      <c r="EO22" s="118">
        <f t="shared" si="8"/>
        <v>0.9061405721368293</v>
      </c>
      <c r="EP22" s="118">
        <f t="shared" si="8"/>
        <v>0.90719985053635077</v>
      </c>
      <c r="EQ22" s="118">
        <f t="shared" si="8"/>
        <v>0.9071983986292711</v>
      </c>
      <c r="ER22" s="118">
        <f t="shared" si="8"/>
        <v>0.90869885464574207</v>
      </c>
      <c r="ES22" s="118">
        <f t="shared" si="8"/>
        <v>0.91039083041437052</v>
      </c>
      <c r="ET22" s="118">
        <f t="shared" si="8"/>
        <v>0.91281209028456867</v>
      </c>
      <c r="EU22" s="118">
        <f t="shared" si="8"/>
        <v>0.91444165045004322</v>
      </c>
      <c r="EV22" s="118">
        <f t="shared" si="8"/>
        <v>0.92172194664133789</v>
      </c>
      <c r="EW22" s="118">
        <f t="shared" si="8"/>
        <v>0.92474546227356502</v>
      </c>
      <c r="EX22" s="118">
        <f t="shared" si="8"/>
        <v>0.92770697373860034</v>
      </c>
      <c r="EY22" s="118">
        <f t="shared" si="8"/>
        <v>0.83692308245143987</v>
      </c>
      <c r="EZ22" s="118">
        <f t="shared" si="8"/>
        <v>0.83777892487364258</v>
      </c>
      <c r="FA22" s="118">
        <f t="shared" si="8"/>
        <v>0.83864109774160112</v>
      </c>
    </row>
    <row r="23" spans="1:157" ht="15.75" customHeight="1" x14ac:dyDescent="0.2">
      <c r="A23" s="44"/>
      <c r="CH23" s="45"/>
      <c r="CI23" s="45"/>
      <c r="CJ23" s="45"/>
      <c r="CK23" s="45"/>
      <c r="CL23" s="45"/>
      <c r="CM23" s="45"/>
      <c r="CN23" s="45"/>
      <c r="CO23" s="45"/>
      <c r="CP23" s="45"/>
      <c r="CQ23" s="114"/>
      <c r="CR23" s="45"/>
      <c r="CS23" s="45"/>
      <c r="CT23" s="45"/>
      <c r="CU23" s="45"/>
      <c r="CV23" s="45"/>
      <c r="CW23" s="45"/>
      <c r="CX23" s="45"/>
      <c r="CY23" s="45"/>
      <c r="CZ23" s="45"/>
      <c r="DA23" s="45"/>
      <c r="DB23" s="45"/>
      <c r="DC23" s="115"/>
      <c r="DD23" s="45"/>
      <c r="DE23" s="45"/>
      <c r="DF23" s="45"/>
      <c r="DG23" s="45"/>
      <c r="DH23" s="45"/>
      <c r="DI23" s="45"/>
      <c r="DJ23" s="45"/>
      <c r="DK23" s="45"/>
      <c r="DL23" s="45"/>
      <c r="DM23" s="45"/>
      <c r="DN23" s="45"/>
      <c r="DO23" s="45"/>
      <c r="DP23" s="45"/>
      <c r="DQ23" s="45"/>
      <c r="DR23" s="45"/>
      <c r="DS23" s="45"/>
      <c r="DT23" s="45"/>
      <c r="DU23" s="45"/>
      <c r="DV23" s="45"/>
      <c r="DW23" s="45"/>
      <c r="DX23" s="45"/>
      <c r="DY23" s="45"/>
      <c r="DZ23" s="45"/>
      <c r="EA23" s="45"/>
      <c r="EB23" s="45"/>
      <c r="EC23" s="45"/>
      <c r="ED23" s="45"/>
      <c r="EE23" s="45"/>
      <c r="EF23" s="45"/>
      <c r="EG23" s="45"/>
      <c r="EH23" s="45"/>
      <c r="EI23" s="45"/>
      <c r="EJ23" s="45"/>
      <c r="EK23" s="45"/>
      <c r="EL23" s="45"/>
      <c r="EM23" s="45"/>
      <c r="EN23" s="45"/>
      <c r="EO23" s="45"/>
      <c r="EP23" s="45"/>
      <c r="EQ23" s="45"/>
      <c r="ER23" s="45"/>
      <c r="ES23" s="45"/>
      <c r="ET23" s="45"/>
      <c r="EU23" s="45"/>
      <c r="EV23" s="45"/>
      <c r="EW23" s="45"/>
      <c r="EX23" s="45"/>
      <c r="EY23" s="45"/>
      <c r="EZ23" s="45"/>
      <c r="FA23" s="45"/>
    </row>
    <row r="24" spans="1:157" ht="15.75" customHeight="1" x14ac:dyDescent="0.2">
      <c r="A24" s="33" t="s">
        <v>351</v>
      </c>
      <c r="CH24" s="45">
        <f>CI24*(1-Supuestos!$B$6/12)</f>
        <v>-566606.13637367787</v>
      </c>
      <c r="CI24" s="45">
        <f>CJ24*(1-Supuestos!$B$6/12)</f>
        <v>-569453.40339063108</v>
      </c>
      <c r="CJ24" s="45">
        <f>CK24*(1-Supuestos!$B$6/12)</f>
        <v>-572314.97828204127</v>
      </c>
      <c r="CK24" s="45">
        <f>CL24*(1-Supuestos!$B$6/12)</f>
        <v>-575190.93294677511</v>
      </c>
      <c r="CL24" s="45">
        <f>CM24*(1-Supuestos!$B$6/12)</f>
        <v>-578081.33964500006</v>
      </c>
      <c r="CM24" s="45">
        <f>CN24*(1-Supuestos!$B$6/12)</f>
        <v>-580986.27100000007</v>
      </c>
      <c r="CN24" s="45">
        <f>CO24*(1-Supuestos!$B$6/12)</f>
        <v>-583905.80000000005</v>
      </c>
      <c r="CO24" s="45">
        <v>-586840</v>
      </c>
      <c r="CP24" s="45">
        <f>CO24*(1+Supuestos!$B$6/12)</f>
        <v>-589774.19999999995</v>
      </c>
      <c r="CQ24" s="114">
        <f>CP24*(1+Supuestos!$B$6/12)</f>
        <v>-592723.07099999988</v>
      </c>
      <c r="CR24" s="45">
        <f>CQ24*(1+Supuestos!$B$6/12)</f>
        <v>-595686.68635499978</v>
      </c>
      <c r="CS24" s="45">
        <f>CR24*(1+Supuestos!$B$6/12)</f>
        <v>-598665.11978677474</v>
      </c>
      <c r="CT24" s="45">
        <f>CS24*(1+Supuestos!$B$6/12)</f>
        <v>-601658.44538570859</v>
      </c>
      <c r="CU24" s="45">
        <f>CT24*(1+Supuestos!$B$6/12)</f>
        <v>-604666.73761263711</v>
      </c>
      <c r="CV24" s="45">
        <f>CU24*(1+Supuestos!$B$6/12)</f>
        <v>-607690.07130070019</v>
      </c>
      <c r="CW24" s="45">
        <f>CV24*(1+Supuestos!$B$6/12)</f>
        <v>-610728.52165720367</v>
      </c>
      <c r="CX24" s="45">
        <f>CW24*(1+Supuestos!$B$6/12)</f>
        <v>-613782.16426548967</v>
      </c>
      <c r="CY24" s="45">
        <f>CX24*(1+Supuestos!$B$6/12)</f>
        <v>-616851.07508681703</v>
      </c>
      <c r="CZ24" s="45">
        <f>CY24*(1+Supuestos!$B$6/12)</f>
        <v>-619935.33046225109</v>
      </c>
      <c r="DA24" s="45">
        <f>CZ24*(1+Supuestos!$B$6/12)</f>
        <v>-623035.00711456232</v>
      </c>
      <c r="DB24" s="45">
        <f>DA24*(1+Supuestos!$B$6/12)</f>
        <v>-626150.18215013505</v>
      </c>
      <c r="DC24" s="115">
        <f>DB24*(1+Supuestos!$B$6/12)</f>
        <v>-629280.93306088564</v>
      </c>
      <c r="DD24" s="45">
        <f>DC24*(1+Supuestos!$B$6/12)</f>
        <v>-632427.33772618999</v>
      </c>
      <c r="DE24" s="45">
        <f>DD24*(1+Supuestos!$B$6/12)</f>
        <v>-635589.4744148209</v>
      </c>
      <c r="DF24" s="45">
        <f>DE24*(1+Supuestos!$B$6/12)</f>
        <v>-638767.42178689491</v>
      </c>
      <c r="DG24" s="45">
        <f>DF24*(1+Supuestos!$B$6/12)</f>
        <v>-641961.25889582932</v>
      </c>
      <c r="DH24" s="45">
        <f>DG24*(1+Supuestos!$B$6/12)</f>
        <v>-645171.06519030838</v>
      </c>
      <c r="DI24" s="45">
        <f>DH24*(1+Supuestos!$B$6/12)</f>
        <v>-648396.92051625985</v>
      </c>
      <c r="DJ24" s="45">
        <f>DI24*(1+Supuestos!$B$6/12)</f>
        <v>-651638.9051188411</v>
      </c>
      <c r="DK24" s="45">
        <f>DJ24*(1+Supuestos!$B$6/12)</f>
        <v>-654897.09964443522</v>
      </c>
      <c r="DL24" s="45">
        <f>DK24*(1+Supuestos!$B$6/12)</f>
        <v>-658171.58514265728</v>
      </c>
      <c r="DM24" s="45">
        <f>DL24*(1+Supuestos!$B$6/12)</f>
        <v>-661462.44306837046</v>
      </c>
      <c r="DN24" s="45">
        <f>DM24*(1+Supuestos!$B$6/12)</f>
        <v>-664769.75528371229</v>
      </c>
      <c r="DO24" s="45">
        <f>DN24*(1+Supuestos!$B$6/12)</f>
        <v>-668093.60406013078</v>
      </c>
      <c r="DP24" s="45">
        <f>DO24*(1+Supuestos!$B$6/12)</f>
        <v>-671434.07208043139</v>
      </c>
      <c r="DQ24" s="45">
        <f>DP24*(1+Supuestos!$B$6/12)</f>
        <v>-674791.24244083348</v>
      </c>
      <c r="DR24" s="45">
        <f>DQ24*(1+Supuestos!$B$6/12)</f>
        <v>-678165.19865303754</v>
      </c>
      <c r="DS24" s="45">
        <f>DR24*(1+Supuestos!$B$6/12)</f>
        <v>-681556.02464630269</v>
      </c>
      <c r="DT24" s="45">
        <f>DS24*(1+Supuestos!$B$6/12)</f>
        <v>-684963.80476953415</v>
      </c>
      <c r="DU24" s="45">
        <f>DT24*(1+Supuestos!$B$6/12)</f>
        <v>-688388.62379338173</v>
      </c>
      <c r="DV24" s="45">
        <f>DU24*(1+Supuestos!$B$6/12)</f>
        <v>-691830.56691234862</v>
      </c>
      <c r="DW24" s="45">
        <f>DV24*(1+Supuestos!$B$6/12)</f>
        <v>-695289.71974691027</v>
      </c>
      <c r="DX24" s="45">
        <f>DW24*(1+Supuestos!$B$6/12)</f>
        <v>-698766.16834564472</v>
      </c>
      <c r="DY24" s="45">
        <f>DX24*(1+Supuestos!$B$6/12)</f>
        <v>-702259.99918737286</v>
      </c>
      <c r="DZ24" s="45">
        <f>DY24*(1+Supuestos!$B$6/12)</f>
        <v>-705771.29918330966</v>
      </c>
      <c r="EA24" s="45">
        <f>DZ24*(1+Supuestos!$B$6/12)</f>
        <v>-709300.15567922615</v>
      </c>
      <c r="EB24" s="45">
        <f>EA24*(1+Supuestos!$B$6/12)</f>
        <v>-712846.65645762219</v>
      </c>
      <c r="EC24" s="45">
        <f>EB24*(1+Supuestos!$B$6/12)</f>
        <v>-716410.88973991026</v>
      </c>
      <c r="ED24" s="45">
        <f>EC24*(1+Supuestos!$B$6/12)</f>
        <v>-719992.94418860972</v>
      </c>
      <c r="EE24" s="45">
        <f>ED24*(1+Supuestos!$B$6/12)</f>
        <v>-723592.90890955273</v>
      </c>
      <c r="EF24" s="45">
        <f>EE24*(1+Supuestos!$B$6/12)</f>
        <v>-727210.87345410045</v>
      </c>
      <c r="EG24" s="45">
        <f>EF24*(1+Supuestos!$B$6/12)</f>
        <v>-730846.92782137089</v>
      </c>
      <c r="EH24" s="45">
        <f>EG24*(1+Supuestos!$B$6/12)</f>
        <v>-734501.16246047767</v>
      </c>
      <c r="EI24" s="45">
        <f>EH24*(1+Supuestos!$B$6/12)</f>
        <v>-738173.66827278002</v>
      </c>
      <c r="EJ24" s="45">
        <f>EI24*(1+Supuestos!$B$6/12)</f>
        <v>-741864.53661414387</v>
      </c>
      <c r="EK24" s="45">
        <f>EJ24*(1+Supuestos!$B$6/12)</f>
        <v>-745573.85929721454</v>
      </c>
      <c r="EL24" s="45">
        <f>EK24*(1+Supuestos!$B$6/12)</f>
        <v>-749301.72859370057</v>
      </c>
      <c r="EM24" s="45">
        <f>EL24*(1+Supuestos!$B$6/12)</f>
        <v>-753048.23723666894</v>
      </c>
      <c r="EN24" s="45">
        <f>EM24*(1+Supuestos!$B$6/12)</f>
        <v>-756813.47842285223</v>
      </c>
      <c r="EO24" s="45">
        <f>EN24*(1+Supuestos!$B$6/12)</f>
        <v>-760597.54581496643</v>
      </c>
      <c r="EP24" s="45">
        <f>EO24*(1+Supuestos!$B$6/12)</f>
        <v>-764400.53354404122</v>
      </c>
      <c r="EQ24" s="45">
        <f>EP24*(1+Supuestos!$B$6/12)</f>
        <v>-768222.5362117613</v>
      </c>
      <c r="ER24" s="45">
        <f>EQ24*(1+Supuestos!$B$6/12)</f>
        <v>-772063.64889282</v>
      </c>
      <c r="ES24" s="45">
        <f>ER24*(1+Supuestos!$B$6/12)</f>
        <v>-775923.96713728399</v>
      </c>
      <c r="ET24" s="45">
        <f>ES24*(1+Supuestos!$B$6/12)</f>
        <v>-779803.58697297028</v>
      </c>
      <c r="EU24" s="45">
        <f>ET24*(1+Supuestos!$B$6/12)</f>
        <v>-783702.60490783502</v>
      </c>
      <c r="EV24" s="45">
        <f>EU24*(1+Supuestos!$B$6/12)</f>
        <v>-787621.11793237412</v>
      </c>
      <c r="EW24" s="45">
        <f>EV24*(1+Supuestos!$B$6/12)</f>
        <v>-791559.22352203587</v>
      </c>
      <c r="EX24" s="45">
        <f>EW24*(1+Supuestos!$B$6/12)</f>
        <v>-795517.01963964594</v>
      </c>
      <c r="EY24" s="45">
        <f>EX24*(1+Supuestos!$B$6/12)</f>
        <v>-799494.60473784409</v>
      </c>
      <c r="EZ24" s="45">
        <f>EY24*(1+Supuestos!$B$6/12)</f>
        <v>-803492.0777615332</v>
      </c>
      <c r="FA24" s="45">
        <f>EZ24*(1+Supuestos!$B$6/12)</f>
        <v>-807509.53815034078</v>
      </c>
    </row>
    <row r="25" spans="1:157" ht="15.75" customHeight="1" x14ac:dyDescent="0.2">
      <c r="A25" s="33" t="s">
        <v>352</v>
      </c>
      <c r="CH25" s="45">
        <f>CI25*(1-Supuestos!$B$6/12)</f>
        <v>-367823.78008789435</v>
      </c>
      <c r="CI25" s="45">
        <f>CJ25*(1-Supuestos!$B$6/12)</f>
        <v>-369672.1407918536</v>
      </c>
      <c r="CJ25" s="45">
        <f>CK25*(1-Supuestos!$B$6/12)</f>
        <v>-371529.78974055639</v>
      </c>
      <c r="CK25" s="45">
        <f>CL25*(1-Supuestos!$B$6/12)</f>
        <v>-373396.77360859938</v>
      </c>
      <c r="CL25" s="45">
        <f>CM25*(1-Supuestos!$B$6/12)</f>
        <v>-375273.13930512499</v>
      </c>
      <c r="CM25" s="45">
        <f>CN25*(1-Supuestos!$B$6/12)</f>
        <v>-377158.93397499999</v>
      </c>
      <c r="CN25" s="45">
        <f>CO25*(1-Supuestos!$B$6/12)</f>
        <v>-379054.20500000002</v>
      </c>
      <c r="CO25" s="45">
        <v>-380959</v>
      </c>
      <c r="CP25" s="45">
        <f>CO25*(1+Supuestos!$B$6/12)</f>
        <v>-382863.79499999998</v>
      </c>
      <c r="CQ25" s="114">
        <f>CP25*(1+Supuestos!$B$6/12)</f>
        <v>-384778.11397499993</v>
      </c>
      <c r="CR25" s="45">
        <f>CQ25*(1+Supuestos!$B$6/12)</f>
        <v>-386702.00454487489</v>
      </c>
      <c r="CS25" s="45">
        <f>CR25*(1+Supuestos!$B$6/12)</f>
        <v>-388635.51456759922</v>
      </c>
      <c r="CT25" s="45">
        <f>CS25*(1+Supuestos!$B$6/12)</f>
        <v>-390578.6921404372</v>
      </c>
      <c r="CU25" s="45">
        <f>CT25*(1+Supuestos!$B$6/12)</f>
        <v>-392531.58560113935</v>
      </c>
      <c r="CV25" s="45">
        <f>CU25*(1+Supuestos!$B$6/12)</f>
        <v>-394494.24352914502</v>
      </c>
      <c r="CW25" s="45">
        <f>CV25*(1+Supuestos!$B$6/12)</f>
        <v>-396466.71474679071</v>
      </c>
      <c r="CX25" s="45">
        <f>CW25*(1+Supuestos!$B$6/12)</f>
        <v>-398449.04832052463</v>
      </c>
      <c r="CY25" s="45">
        <f>CX25*(1+Supuestos!$B$6/12)</f>
        <v>-400441.29356212722</v>
      </c>
      <c r="CZ25" s="45">
        <f>CY25*(1+Supuestos!$B$6/12)</f>
        <v>-402443.50002993783</v>
      </c>
      <c r="DA25" s="45">
        <f>CZ25*(1+Supuestos!$B$6/12)</f>
        <v>-404455.71753008745</v>
      </c>
      <c r="DB25" s="45">
        <f>DA25*(1+Supuestos!$B$6/12)</f>
        <v>-406477.99611773784</v>
      </c>
      <c r="DC25" s="115">
        <f>DB25*(1+Supuestos!$B$6/12)</f>
        <v>-408510.38609832647</v>
      </c>
      <c r="DD25" s="45">
        <f>DC25*(1+Supuestos!$B$6/12)</f>
        <v>-410552.93802881805</v>
      </c>
      <c r="DE25" s="45">
        <f>DD25*(1+Supuestos!$B$6/12)</f>
        <v>-412605.7027189621</v>
      </c>
      <c r="DF25" s="45">
        <f>DE25*(1+Supuestos!$B$6/12)</f>
        <v>-414668.73123255686</v>
      </c>
      <c r="DG25" s="45">
        <f>DF25*(1+Supuestos!$B$6/12)</f>
        <v>-416742.0748887196</v>
      </c>
      <c r="DH25" s="45">
        <f>DG25*(1+Supuestos!$B$6/12)</f>
        <v>-418825.78526316315</v>
      </c>
      <c r="DI25" s="45">
        <f>DH25*(1+Supuestos!$B$6/12)</f>
        <v>-420919.91418947891</v>
      </c>
      <c r="DJ25" s="45">
        <f>DI25*(1+Supuestos!$B$6/12)</f>
        <v>-423024.51376042626</v>
      </c>
      <c r="DK25" s="45">
        <f>DJ25*(1+Supuestos!$B$6/12)</f>
        <v>-425139.63632922835</v>
      </c>
      <c r="DL25" s="45">
        <f>DK25*(1+Supuestos!$B$6/12)</f>
        <v>-427265.33451087447</v>
      </c>
      <c r="DM25" s="45">
        <f>DL25*(1+Supuestos!$B$6/12)</f>
        <v>-429401.66118342878</v>
      </c>
      <c r="DN25" s="45">
        <f>DM25*(1+Supuestos!$B$6/12)</f>
        <v>-431548.66948934586</v>
      </c>
      <c r="DO25" s="45">
        <f>DN25*(1+Supuestos!$B$6/12)</f>
        <v>-433706.41283679253</v>
      </c>
      <c r="DP25" s="45">
        <f>DO25*(1+Supuestos!$B$6/12)</f>
        <v>-435874.94490097644</v>
      </c>
      <c r="DQ25" s="45">
        <f>DP25*(1+Supuestos!$B$6/12)</f>
        <v>-438054.31962548126</v>
      </c>
      <c r="DR25" s="45">
        <f>DQ25*(1+Supuestos!$B$6/12)</f>
        <v>-440244.59122360864</v>
      </c>
      <c r="DS25" s="45">
        <f>DR25*(1+Supuestos!$B$6/12)</f>
        <v>-442445.81417972664</v>
      </c>
      <c r="DT25" s="45">
        <f>DS25*(1+Supuestos!$B$6/12)</f>
        <v>-444658.04325062525</v>
      </c>
      <c r="DU25" s="45">
        <f>DT25*(1+Supuestos!$B$6/12)</f>
        <v>-446881.33346687834</v>
      </c>
      <c r="DV25" s="45">
        <f>DU25*(1+Supuestos!$B$6/12)</f>
        <v>-449115.74013421265</v>
      </c>
      <c r="DW25" s="45">
        <f>DV25*(1+Supuestos!$B$6/12)</f>
        <v>-451361.31883488368</v>
      </c>
      <c r="DX25" s="45">
        <f>DW25*(1+Supuestos!$B$6/12)</f>
        <v>-453618.12542905804</v>
      </c>
      <c r="DY25" s="45">
        <f>DX25*(1+Supuestos!$B$6/12)</f>
        <v>-455886.2160562033</v>
      </c>
      <c r="DZ25" s="45">
        <f>DY25*(1+Supuestos!$B$6/12)</f>
        <v>-458165.64713648427</v>
      </c>
      <c r="EA25" s="45">
        <f>DZ25*(1+Supuestos!$B$6/12)</f>
        <v>-460456.47537216666</v>
      </c>
      <c r="EB25" s="45">
        <f>EA25*(1+Supuestos!$B$6/12)</f>
        <v>-462758.75774902746</v>
      </c>
      <c r="EC25" s="45">
        <f>EB25*(1+Supuestos!$B$6/12)</f>
        <v>-465072.55153777252</v>
      </c>
      <c r="ED25" s="45">
        <f>EC25*(1+Supuestos!$B$6/12)</f>
        <v>-467397.91429546132</v>
      </c>
      <c r="EE25" s="45">
        <f>ED25*(1+Supuestos!$B$6/12)</f>
        <v>-469734.90386693855</v>
      </c>
      <c r="EF25" s="45">
        <f>EE25*(1+Supuestos!$B$6/12)</f>
        <v>-472083.57838627318</v>
      </c>
      <c r="EG25" s="45">
        <f>EF25*(1+Supuestos!$B$6/12)</f>
        <v>-474443.99627820449</v>
      </c>
      <c r="EH25" s="45">
        <f>EG25*(1+Supuestos!$B$6/12)</f>
        <v>-476816.21625959547</v>
      </c>
      <c r="EI25" s="45">
        <f>EH25*(1+Supuestos!$B$6/12)</f>
        <v>-479200.29734089342</v>
      </c>
      <c r="EJ25" s="45">
        <f>EI25*(1+Supuestos!$B$6/12)</f>
        <v>-481596.29882759781</v>
      </c>
      <c r="EK25" s="45">
        <f>EJ25*(1+Supuestos!$B$6/12)</f>
        <v>-484004.28032173577</v>
      </c>
      <c r="EL25" s="45">
        <f>EK25*(1+Supuestos!$B$6/12)</f>
        <v>-486424.30172334443</v>
      </c>
      <c r="EM25" s="45">
        <f>EL25*(1+Supuestos!$B$6/12)</f>
        <v>-488856.42323196109</v>
      </c>
      <c r="EN25" s="45">
        <f>EM25*(1+Supuestos!$B$6/12)</f>
        <v>-491300.70534812083</v>
      </c>
      <c r="EO25" s="45">
        <f>EN25*(1+Supuestos!$B$6/12)</f>
        <v>-493757.20887486136</v>
      </c>
      <c r="EP25" s="45">
        <f>EO25*(1+Supuestos!$B$6/12)</f>
        <v>-496225.99491923564</v>
      </c>
      <c r="EQ25" s="45">
        <f>EP25*(1+Supuestos!$B$6/12)</f>
        <v>-498707.12489383179</v>
      </c>
      <c r="ER25" s="45">
        <f>EQ25*(1+Supuestos!$B$6/12)</f>
        <v>-501200.66051830089</v>
      </c>
      <c r="ES25" s="45">
        <f>ER25*(1+Supuestos!$B$6/12)</f>
        <v>-503706.66382089234</v>
      </c>
      <c r="ET25" s="45">
        <f>ES25*(1+Supuestos!$B$6/12)</f>
        <v>-506225.19713999674</v>
      </c>
      <c r="EU25" s="45">
        <f>ET25*(1+Supuestos!$B$6/12)</f>
        <v>-508756.32312569668</v>
      </c>
      <c r="EV25" s="45">
        <f>EU25*(1+Supuestos!$B$6/12)</f>
        <v>-511300.10474132514</v>
      </c>
      <c r="EW25" s="45">
        <f>EV25*(1+Supuestos!$B$6/12)</f>
        <v>-513856.60526503169</v>
      </c>
      <c r="EX25" s="45">
        <f>EW25*(1+Supuestos!$B$6/12)</f>
        <v>-516425.88829135679</v>
      </c>
      <c r="EY25" s="45">
        <f>EX25*(1+Supuestos!$B$6/12)</f>
        <v>-519008.01773281355</v>
      </c>
      <c r="EZ25" s="45">
        <f>EY25*(1+Supuestos!$B$6/12)</f>
        <v>-521603.05782147753</v>
      </c>
      <c r="FA25" s="45">
        <f>EZ25*(1+Supuestos!$B$6/12)</f>
        <v>-524211.07311058487</v>
      </c>
    </row>
    <row r="26" spans="1:157" ht="15.75" customHeight="1" x14ac:dyDescent="0.2">
      <c r="A26" s="33" t="s">
        <v>353</v>
      </c>
      <c r="CH26" s="45">
        <f>CI26*(1-Supuestos!$B$6/12)</f>
        <v>-183231.68074826992</v>
      </c>
      <c r="CI26" s="45">
        <f>CJ26*(1-Supuestos!$B$6/12)</f>
        <v>-184152.44296308534</v>
      </c>
      <c r="CJ26" s="45">
        <f>CK26*(1-Supuestos!$B$6/12)</f>
        <v>-185077.83212370385</v>
      </c>
      <c r="CK26" s="45">
        <f>CL26*(1-Supuestos!$B$6/12)</f>
        <v>-186007.87148110938</v>
      </c>
      <c r="CL26" s="45">
        <f>CM26*(1-Supuestos!$B$6/12)</f>
        <v>-186942.58440312502</v>
      </c>
      <c r="CM26" s="45">
        <f>CN26*(1-Supuestos!$B$6/12)</f>
        <v>-187881.99437500001</v>
      </c>
      <c r="CN26" s="45">
        <f>CO26*(1-Supuestos!$B$6/12)</f>
        <v>-188826.125</v>
      </c>
      <c r="CO26" s="45">
        <v>-189775</v>
      </c>
      <c r="CP26" s="45">
        <f>CO26*(1+Supuestos!$B$6/12)</f>
        <v>-190723.87499999997</v>
      </c>
      <c r="CQ26" s="114">
        <f>CP26*(1+Supuestos!$B$6/12)</f>
        <v>-191677.49437499995</v>
      </c>
      <c r="CR26" s="45">
        <f>CQ26*(1+Supuestos!$B$6/12)</f>
        <v>-192635.88184687492</v>
      </c>
      <c r="CS26" s="45">
        <f>CR26*(1+Supuestos!$B$6/12)</f>
        <v>-193599.06125610927</v>
      </c>
      <c r="CT26" s="45">
        <f>CS26*(1+Supuestos!$B$6/12)</f>
        <v>-194567.0565623898</v>
      </c>
      <c r="CU26" s="45">
        <f>CT26*(1+Supuestos!$B$6/12)</f>
        <v>-195539.89184520172</v>
      </c>
      <c r="CV26" s="45">
        <f>CU26*(1+Supuestos!$B$6/12)</f>
        <v>-196517.59130442771</v>
      </c>
      <c r="CW26" s="45">
        <f>CV26*(1+Supuestos!$B$6/12)</f>
        <v>-197500.17926094984</v>
      </c>
      <c r="CX26" s="45">
        <f>CW26*(1+Supuestos!$B$6/12)</f>
        <v>-198487.68015725457</v>
      </c>
      <c r="CY26" s="45">
        <f>CX26*(1+Supuestos!$B$6/12)</f>
        <v>-199480.11855804082</v>
      </c>
      <c r="CZ26" s="45">
        <f>CY26*(1+Supuestos!$B$6/12)</f>
        <v>-200477.51915083101</v>
      </c>
      <c r="DA26" s="45">
        <f>CZ26*(1+Supuestos!$B$6/12)</f>
        <v>-201479.90674658515</v>
      </c>
      <c r="DB26" s="45">
        <f>DA26*(1+Supuestos!$B$6/12)</f>
        <v>-202487.30628031807</v>
      </c>
      <c r="DC26" s="115">
        <f>DB26*(1+Supuestos!$B$6/12)</f>
        <v>-203499.74281171963</v>
      </c>
      <c r="DD26" s="45">
        <f>DC26*(1+Supuestos!$B$6/12)</f>
        <v>-204517.2415257782</v>
      </c>
      <c r="DE26" s="45">
        <f>DD26*(1+Supuestos!$B$6/12)</f>
        <v>-205539.82773340706</v>
      </c>
      <c r="DF26" s="45">
        <f>DE26*(1+Supuestos!$B$6/12)</f>
        <v>-206567.52687207409</v>
      </c>
      <c r="DG26" s="45">
        <f>DF26*(1+Supuestos!$B$6/12)</f>
        <v>-207600.36450643445</v>
      </c>
      <c r="DH26" s="45">
        <f>DG26*(1+Supuestos!$B$6/12)</f>
        <v>-208638.3663289666</v>
      </c>
      <c r="DI26" s="45">
        <f>DH26*(1+Supuestos!$B$6/12)</f>
        <v>-209681.5581606114</v>
      </c>
      <c r="DJ26" s="45">
        <f>DI26*(1+Supuestos!$B$6/12)</f>
        <v>-210729.96595141443</v>
      </c>
      <c r="DK26" s="45">
        <f>DJ26*(1+Supuestos!$B$6/12)</f>
        <v>-211783.61578117148</v>
      </c>
      <c r="DL26" s="45">
        <f>DK26*(1+Supuestos!$B$6/12)</f>
        <v>-212842.53386007732</v>
      </c>
      <c r="DM26" s="45">
        <f>DL26*(1+Supuestos!$B$6/12)</f>
        <v>-213906.74652937768</v>
      </c>
      <c r="DN26" s="45">
        <f>DM26*(1+Supuestos!$B$6/12)</f>
        <v>-214976.28026202455</v>
      </c>
      <c r="DO26" s="45">
        <f>DN26*(1+Supuestos!$B$6/12)</f>
        <v>-216051.16166333464</v>
      </c>
      <c r="DP26" s="45">
        <f>DO26*(1+Supuestos!$B$6/12)</f>
        <v>-217131.41747165128</v>
      </c>
      <c r="DQ26" s="45">
        <f>DP26*(1+Supuestos!$B$6/12)</f>
        <v>-218217.07455900952</v>
      </c>
      <c r="DR26" s="45">
        <f>DQ26*(1+Supuestos!$B$6/12)</f>
        <v>-219308.15993180455</v>
      </c>
      <c r="DS26" s="45">
        <f>DR26*(1+Supuestos!$B$6/12)</f>
        <v>-220404.70073146356</v>
      </c>
      <c r="DT26" s="45">
        <f>DS26*(1+Supuestos!$B$6/12)</f>
        <v>-221506.72423512084</v>
      </c>
      <c r="DU26" s="45">
        <f>DT26*(1+Supuestos!$B$6/12)</f>
        <v>-222614.25785629643</v>
      </c>
      <c r="DV26" s="45">
        <f>DU26*(1+Supuestos!$B$6/12)</f>
        <v>-223727.32914557788</v>
      </c>
      <c r="DW26" s="45">
        <f>DV26*(1+Supuestos!$B$6/12)</f>
        <v>-224845.96579130576</v>
      </c>
      <c r="DX26" s="45">
        <f>DW26*(1+Supuestos!$B$6/12)</f>
        <v>-225970.19562026227</v>
      </c>
      <c r="DY26" s="45">
        <f>DX26*(1+Supuestos!$B$6/12)</f>
        <v>-227100.04659836355</v>
      </c>
      <c r="DZ26" s="45">
        <f>DY26*(1+Supuestos!$B$6/12)</f>
        <v>-228235.54683135534</v>
      </c>
      <c r="EA26" s="45">
        <f>DZ26*(1+Supuestos!$B$6/12)</f>
        <v>-229376.72456551209</v>
      </c>
      <c r="EB26" s="45">
        <f>EA26*(1+Supuestos!$B$6/12)</f>
        <v>-230523.60818833963</v>
      </c>
      <c r="EC26" s="45">
        <f>EB26*(1+Supuestos!$B$6/12)</f>
        <v>-231676.22622928131</v>
      </c>
      <c r="ED26" s="45">
        <f>EC26*(1+Supuestos!$B$6/12)</f>
        <v>-232834.6073604277</v>
      </c>
      <c r="EE26" s="45">
        <f>ED26*(1+Supuestos!$B$6/12)</f>
        <v>-233998.78039722983</v>
      </c>
      <c r="EF26" s="45">
        <f>EE26*(1+Supuestos!$B$6/12)</f>
        <v>-235168.77429921596</v>
      </c>
      <c r="EG26" s="45">
        <f>EF26*(1+Supuestos!$B$6/12)</f>
        <v>-236344.61817071203</v>
      </c>
      <c r="EH26" s="45">
        <f>EG26*(1+Supuestos!$B$6/12)</f>
        <v>-237526.34126156557</v>
      </c>
      <c r="EI26" s="45">
        <f>EH26*(1+Supuestos!$B$6/12)</f>
        <v>-238713.97296787339</v>
      </c>
      <c r="EJ26" s="45">
        <f>EI26*(1+Supuestos!$B$6/12)</f>
        <v>-239907.54283271273</v>
      </c>
      <c r="EK26" s="45">
        <f>EJ26*(1+Supuestos!$B$6/12)</f>
        <v>-241107.08054687627</v>
      </c>
      <c r="EL26" s="45">
        <f>EK26*(1+Supuestos!$B$6/12)</f>
        <v>-242312.61594961063</v>
      </c>
      <c r="EM26" s="45">
        <f>EL26*(1+Supuestos!$B$6/12)</f>
        <v>-243524.17902935867</v>
      </c>
      <c r="EN26" s="45">
        <f>EM26*(1+Supuestos!$B$6/12)</f>
        <v>-244741.79992450544</v>
      </c>
      <c r="EO26" s="45">
        <f>EN26*(1+Supuestos!$B$6/12)</f>
        <v>-245965.50892412793</v>
      </c>
      <c r="EP26" s="45">
        <f>EO26*(1+Supuestos!$B$6/12)</f>
        <v>-247195.33646874854</v>
      </c>
      <c r="EQ26" s="45">
        <f>EP26*(1+Supuestos!$B$6/12)</f>
        <v>-248431.31315109227</v>
      </c>
      <c r="ER26" s="45">
        <f>EQ26*(1+Supuestos!$B$6/12)</f>
        <v>-249673.4697168477</v>
      </c>
      <c r="ES26" s="45">
        <f>ER26*(1+Supuestos!$B$6/12)</f>
        <v>-250921.8370654319</v>
      </c>
      <c r="ET26" s="45">
        <f>ES26*(1+Supuestos!$B$6/12)</f>
        <v>-252176.44625075904</v>
      </c>
      <c r="EU26" s="45">
        <f>ET26*(1+Supuestos!$B$6/12)</f>
        <v>-253437.32848201282</v>
      </c>
      <c r="EV26" s="45">
        <f>EU26*(1+Supuestos!$B$6/12)</f>
        <v>-254704.51512442285</v>
      </c>
      <c r="EW26" s="45">
        <f>EV26*(1+Supuestos!$B$6/12)</f>
        <v>-255978.03770004492</v>
      </c>
      <c r="EX26" s="45">
        <f>EW26*(1+Supuestos!$B$6/12)</f>
        <v>-257257.92788854512</v>
      </c>
      <c r="EY26" s="45">
        <f>EX26*(1+Supuestos!$B$6/12)</f>
        <v>-258544.21752798781</v>
      </c>
      <c r="EZ26" s="45">
        <f>EY26*(1+Supuestos!$B$6/12)</f>
        <v>-259836.93861562773</v>
      </c>
      <c r="FA26" s="45">
        <f>EZ26*(1+Supuestos!$B$6/12)</f>
        <v>-261136.12330870584</v>
      </c>
    </row>
    <row r="27" spans="1:157" ht="15.75" customHeight="1" x14ac:dyDescent="0.2">
      <c r="A27" s="33" t="s">
        <v>354</v>
      </c>
      <c r="CH27" s="45">
        <f>CI27*(1-Supuestos!$B$6/12)</f>
        <v>-84767.885186638654</v>
      </c>
      <c r="CI27" s="45">
        <f>CJ27*(1-Supuestos!$B$6/12)</f>
        <v>-85193.854458933318</v>
      </c>
      <c r="CJ27" s="45">
        <f>CK27*(1-Supuestos!$B$6/12)</f>
        <v>-85621.964280335</v>
      </c>
      <c r="CK27" s="45">
        <f>CL27*(1-Supuestos!$B$6/12)</f>
        <v>-86052.225407371865</v>
      </c>
      <c r="CL27" s="45">
        <f>CM27*(1-Supuestos!$B$6/12)</f>
        <v>-86484.648650624993</v>
      </c>
      <c r="CM27" s="45">
        <f>CN27*(1-Supuestos!$B$6/12)</f>
        <v>-86919.244874999989</v>
      </c>
      <c r="CN27" s="45">
        <f>CO27*(1-Supuestos!$B$6/12)</f>
        <v>-87356.024999999994</v>
      </c>
      <c r="CO27" s="45">
        <v>-87795</v>
      </c>
      <c r="CP27" s="45">
        <f>CO27*(1+Supuestos!$B$6/12)</f>
        <v>-88233.974999999991</v>
      </c>
      <c r="CQ27" s="114">
        <f>CP27*(1+Supuestos!$B$6/12)</f>
        <v>-88675.144874999984</v>
      </c>
      <c r="CR27" s="45">
        <f>CQ27*(1+Supuestos!$B$6/12)</f>
        <v>-89118.52059937497</v>
      </c>
      <c r="CS27" s="45">
        <f>CR27*(1+Supuestos!$B$6/12)</f>
        <v>-89564.113202371838</v>
      </c>
      <c r="CT27" s="45">
        <f>CS27*(1+Supuestos!$B$6/12)</f>
        <v>-90011.933768383693</v>
      </c>
      <c r="CU27" s="45">
        <f>CT27*(1+Supuestos!$B$6/12)</f>
        <v>-90461.993437225596</v>
      </c>
      <c r="CV27" s="45">
        <f>CU27*(1+Supuestos!$B$6/12)</f>
        <v>-90914.303404411708</v>
      </c>
      <c r="CW27" s="45">
        <f>CV27*(1+Supuestos!$B$6/12)</f>
        <v>-91368.874921433759</v>
      </c>
      <c r="CX27" s="45">
        <f>CW27*(1+Supuestos!$B$6/12)</f>
        <v>-91825.719296040916</v>
      </c>
      <c r="CY27" s="45">
        <f>CX27*(1+Supuestos!$B$6/12)</f>
        <v>-92284.847892521109</v>
      </c>
      <c r="CZ27" s="45">
        <f>CY27*(1+Supuestos!$B$6/12)</f>
        <v>-92746.2721319837</v>
      </c>
      <c r="DA27" s="45">
        <f>CZ27*(1+Supuestos!$B$6/12)</f>
        <v>-93210.003492643606</v>
      </c>
      <c r="DB27" s="45">
        <f>DA27*(1+Supuestos!$B$6/12)</f>
        <v>-93676.053510106809</v>
      </c>
      <c r="DC27" s="115">
        <f>DB27*(1+Supuestos!$B$6/12)</f>
        <v>-94144.433777657337</v>
      </c>
      <c r="DD27" s="45">
        <f>DC27*(1+Supuestos!$B$6/12)</f>
        <v>-94615.155946545608</v>
      </c>
      <c r="DE27" s="45">
        <f>DD27*(1+Supuestos!$B$6/12)</f>
        <v>-95088.231726278333</v>
      </c>
      <c r="DF27" s="45">
        <f>DE27*(1+Supuestos!$B$6/12)</f>
        <v>-95563.672884909713</v>
      </c>
      <c r="DG27" s="45">
        <f>DF27*(1+Supuestos!$B$6/12)</f>
        <v>-96041.491249334256</v>
      </c>
      <c r="DH27" s="45">
        <f>DG27*(1+Supuestos!$B$6/12)</f>
        <v>-96521.698705580915</v>
      </c>
      <c r="DI27" s="45">
        <f>DH27*(1+Supuestos!$B$6/12)</f>
        <v>-97004.307199108807</v>
      </c>
      <c r="DJ27" s="45">
        <f>DI27*(1+Supuestos!$B$6/12)</f>
        <v>-97489.32873510434</v>
      </c>
      <c r="DK27" s="45">
        <f>DJ27*(1+Supuestos!$B$6/12)</f>
        <v>-97976.775378779857</v>
      </c>
      <c r="DL27" s="45">
        <f>DK27*(1+Supuestos!$B$6/12)</f>
        <v>-98466.659255673745</v>
      </c>
      <c r="DM27" s="45">
        <f>DL27*(1+Supuestos!$B$6/12)</f>
        <v>-98958.992551952106</v>
      </c>
      <c r="DN27" s="45">
        <f>DM27*(1+Supuestos!$B$6/12)</f>
        <v>-99453.787514711861</v>
      </c>
      <c r="DO27" s="45">
        <f>DN27*(1+Supuestos!$B$6/12)</f>
        <v>-99951.056452285411</v>
      </c>
      <c r="DP27" s="45">
        <f>DO27*(1+Supuestos!$B$6/12)</f>
        <v>-100450.81173454683</v>
      </c>
      <c r="DQ27" s="45">
        <f>DP27*(1+Supuestos!$B$6/12)</f>
        <v>-100953.06579321956</v>
      </c>
      <c r="DR27" s="45">
        <f>DQ27*(1+Supuestos!$B$6/12)</f>
        <v>-101457.83112218564</v>
      </c>
      <c r="DS27" s="45">
        <f>DR27*(1+Supuestos!$B$6/12)</f>
        <v>-101965.12027779657</v>
      </c>
      <c r="DT27" s="45">
        <f>DS27*(1+Supuestos!$B$6/12)</f>
        <v>-102474.94587918554</v>
      </c>
      <c r="DU27" s="45">
        <f>DT27*(1+Supuestos!$B$6/12)</f>
        <v>-102987.32060858146</v>
      </c>
      <c r="DV27" s="45">
        <f>DU27*(1+Supuestos!$B$6/12)</f>
        <v>-103502.25721162435</v>
      </c>
      <c r="DW27" s="45">
        <f>DV27*(1+Supuestos!$B$6/12)</f>
        <v>-104019.76849768247</v>
      </c>
      <c r="DX27" s="45">
        <f>DW27*(1+Supuestos!$B$6/12)</f>
        <v>-104539.86734017087</v>
      </c>
      <c r="DY27" s="45">
        <f>DX27*(1+Supuestos!$B$6/12)</f>
        <v>-105062.56667687171</v>
      </c>
      <c r="DZ27" s="45">
        <f>DY27*(1+Supuestos!$B$6/12)</f>
        <v>-105587.87951025605</v>
      </c>
      <c r="EA27" s="45">
        <f>DZ27*(1+Supuestos!$B$6/12)</f>
        <v>-106115.81890780732</v>
      </c>
      <c r="EB27" s="45">
        <f>EA27*(1+Supuestos!$B$6/12)</f>
        <v>-106646.39800234634</v>
      </c>
      <c r="EC27" s="45">
        <f>EB27*(1+Supuestos!$B$6/12)</f>
        <v>-107179.62999235805</v>
      </c>
      <c r="ED27" s="45">
        <f>EC27*(1+Supuestos!$B$6/12)</f>
        <v>-107715.52814231983</v>
      </c>
      <c r="EE27" s="45">
        <f>ED27*(1+Supuestos!$B$6/12)</f>
        <v>-108254.10578303142</v>
      </c>
      <c r="EF27" s="45">
        <f>EE27*(1+Supuestos!$B$6/12)</f>
        <v>-108795.37631194657</v>
      </c>
      <c r="EG27" s="45">
        <f>EF27*(1+Supuestos!$B$6/12)</f>
        <v>-109339.35319350629</v>
      </c>
      <c r="EH27" s="45">
        <f>EG27*(1+Supuestos!$B$6/12)</f>
        <v>-109886.04995947381</v>
      </c>
      <c r="EI27" s="45">
        <f>EH27*(1+Supuestos!$B$6/12)</f>
        <v>-110435.48020927116</v>
      </c>
      <c r="EJ27" s="45">
        <f>EI27*(1+Supuestos!$B$6/12)</f>
        <v>-110987.6576103175</v>
      </c>
      <c r="EK27" s="45">
        <f>EJ27*(1+Supuestos!$B$6/12)</f>
        <v>-111542.59589836908</v>
      </c>
      <c r="EL27" s="45">
        <f>EK27*(1+Supuestos!$B$6/12)</f>
        <v>-112100.30887786091</v>
      </c>
      <c r="EM27" s="45">
        <f>EL27*(1+Supuestos!$B$6/12)</f>
        <v>-112660.8104222502</v>
      </c>
      <c r="EN27" s="45">
        <f>EM27*(1+Supuestos!$B$6/12)</f>
        <v>-113224.11447436144</v>
      </c>
      <c r="EO27" s="45">
        <f>EN27*(1+Supuestos!$B$6/12)</f>
        <v>-113790.23504673324</v>
      </c>
      <c r="EP27" s="45">
        <f>EO27*(1+Supuestos!$B$6/12)</f>
        <v>-114359.1862219669</v>
      </c>
      <c r="EQ27" s="45">
        <f>EP27*(1+Supuestos!$B$6/12)</f>
        <v>-114930.98215307672</v>
      </c>
      <c r="ER27" s="45">
        <f>EQ27*(1+Supuestos!$B$6/12)</f>
        <v>-115505.63706384209</v>
      </c>
      <c r="ES27" s="45">
        <f>ER27*(1+Supuestos!$B$6/12)</f>
        <v>-116083.16524916129</v>
      </c>
      <c r="ET27" s="45">
        <f>ES27*(1+Supuestos!$B$6/12)</f>
        <v>-116663.58107540708</v>
      </c>
      <c r="EU27" s="45">
        <f>ET27*(1+Supuestos!$B$6/12)</f>
        <v>-117246.89898078411</v>
      </c>
      <c r="EV27" s="45">
        <f>EU27*(1+Supuestos!$B$6/12)</f>
        <v>-117833.13347568802</v>
      </c>
      <c r="EW27" s="45">
        <f>EV27*(1+Supuestos!$B$6/12)</f>
        <v>-118422.29914306646</v>
      </c>
      <c r="EX27" s="45">
        <f>EW27*(1+Supuestos!$B$6/12)</f>
        <v>-119014.41063878177</v>
      </c>
      <c r="EY27" s="45">
        <f>EX27*(1+Supuestos!$B$6/12)</f>
        <v>-119609.48269197567</v>
      </c>
      <c r="EZ27" s="45">
        <f>EY27*(1+Supuestos!$B$6/12)</f>
        <v>-120207.53010543554</v>
      </c>
      <c r="FA27" s="45">
        <f>EZ27*(1+Supuestos!$B$6/12)</f>
        <v>-120808.56775596271</v>
      </c>
    </row>
    <row r="28" spans="1:157" ht="15.75" customHeight="1" x14ac:dyDescent="0.2">
      <c r="A28" s="33" t="s">
        <v>355</v>
      </c>
      <c r="CH28" s="45">
        <f>CI28*(1-Supuestos!$B$6/12)</f>
        <v>-100059.80119080728</v>
      </c>
      <c r="CI28" s="45">
        <f>CJ28*(1-Supuestos!$B$6/12)</f>
        <v>-100562.61426211787</v>
      </c>
      <c r="CJ28" s="45">
        <f>CK28*(1-Supuestos!$B$6/12)</f>
        <v>-101067.95403227927</v>
      </c>
      <c r="CK28" s="45">
        <f>CL28*(1-Supuestos!$B$6/12)</f>
        <v>-101575.83319827063</v>
      </c>
      <c r="CL28" s="45">
        <f>CM28*(1-Supuestos!$B$6/12)</f>
        <v>-102086.264520875</v>
      </c>
      <c r="CM28" s="45">
        <f>CN28*(1-Supuestos!$B$6/12)</f>
        <v>-102599.260825</v>
      </c>
      <c r="CN28" s="45">
        <f>CO28*(1-Supuestos!$B$6/12)</f>
        <v>-103114.83500000001</v>
      </c>
      <c r="CO28" s="45">
        <v>-103633</v>
      </c>
      <c r="CP28" s="45">
        <f>CO28*(1+Supuestos!$B$6/12)</f>
        <v>-104151.16499999999</v>
      </c>
      <c r="CQ28" s="114">
        <f>CP28*(1+Supuestos!$B$6/12)</f>
        <v>-104671.92082499998</v>
      </c>
      <c r="CR28" s="45">
        <f>CQ28*(1+Supuestos!$B$6/12)</f>
        <v>-105195.28042912496</v>
      </c>
      <c r="CS28" s="45">
        <f>CR28*(1+Supuestos!$B$6/12)</f>
        <v>-105721.25683127057</v>
      </c>
      <c r="CT28" s="45">
        <f>CS28*(1+Supuestos!$B$6/12)</f>
        <v>-106249.86311542691</v>
      </c>
      <c r="CU28" s="45">
        <f>CT28*(1+Supuestos!$B$6/12)</f>
        <v>-106781.11243100403</v>
      </c>
      <c r="CV28" s="45">
        <f>CU28*(1+Supuestos!$B$6/12)</f>
        <v>-107315.01799315904</v>
      </c>
      <c r="CW28" s="45">
        <f>CV28*(1+Supuestos!$B$6/12)</f>
        <v>-107851.59308312483</v>
      </c>
      <c r="CX28" s="45">
        <f>CW28*(1+Supuestos!$B$6/12)</f>
        <v>-108390.85104854044</v>
      </c>
      <c r="CY28" s="45">
        <f>CX28*(1+Supuestos!$B$6/12)</f>
        <v>-108932.80530378313</v>
      </c>
      <c r="CZ28" s="45">
        <f>CY28*(1+Supuestos!$B$6/12)</f>
        <v>-109477.46933030203</v>
      </c>
      <c r="DA28" s="45">
        <f>CZ28*(1+Supuestos!$B$6/12)</f>
        <v>-110024.85667695352</v>
      </c>
      <c r="DB28" s="45">
        <f>DA28*(1+Supuestos!$B$6/12)</f>
        <v>-110574.98096033827</v>
      </c>
      <c r="DC28" s="115">
        <f>DB28*(1+Supuestos!$B$6/12)</f>
        <v>-111127.85586513995</v>
      </c>
      <c r="DD28" s="45">
        <f>DC28*(1+Supuestos!$B$6/12)</f>
        <v>-111683.49514446563</v>
      </c>
      <c r="DE28" s="45">
        <f>DD28*(1+Supuestos!$B$6/12)</f>
        <v>-112241.91262018796</v>
      </c>
      <c r="DF28" s="45">
        <f>DE28*(1+Supuestos!$B$6/12)</f>
        <v>-112803.12218328888</v>
      </c>
      <c r="DG28" s="45">
        <f>DF28*(1+Supuestos!$B$6/12)</f>
        <v>-113367.13779420532</v>
      </c>
      <c r="DH28" s="45">
        <f>DG28*(1+Supuestos!$B$6/12)</f>
        <v>-113933.97348317633</v>
      </c>
      <c r="DI28" s="45">
        <f>DH28*(1+Supuestos!$B$6/12)</f>
        <v>-114503.6433505922</v>
      </c>
      <c r="DJ28" s="45">
        <f>DI28*(1+Supuestos!$B$6/12)</f>
        <v>-115076.16156734515</v>
      </c>
      <c r="DK28" s="45">
        <f>DJ28*(1+Supuestos!$B$6/12)</f>
        <v>-115651.54237518186</v>
      </c>
      <c r="DL28" s="45">
        <f>DK28*(1+Supuestos!$B$6/12)</f>
        <v>-116229.80008705775</v>
      </c>
      <c r="DM28" s="45">
        <f>DL28*(1+Supuestos!$B$6/12)</f>
        <v>-116810.94908749303</v>
      </c>
      <c r="DN28" s="45">
        <f>DM28*(1+Supuestos!$B$6/12)</f>
        <v>-117395.00383293048</v>
      </c>
      <c r="DO28" s="45">
        <f>DN28*(1+Supuestos!$B$6/12)</f>
        <v>-117981.97885209513</v>
      </c>
      <c r="DP28" s="45">
        <f>DO28*(1+Supuestos!$B$6/12)</f>
        <v>-118571.88874635559</v>
      </c>
      <c r="DQ28" s="45">
        <f>DP28*(1+Supuestos!$B$6/12)</f>
        <v>-119164.74819008735</v>
      </c>
      <c r="DR28" s="45">
        <f>DQ28*(1+Supuestos!$B$6/12)</f>
        <v>-119760.57193103778</v>
      </c>
      <c r="DS28" s="45">
        <f>DR28*(1+Supuestos!$B$6/12)</f>
        <v>-120359.37479069295</v>
      </c>
      <c r="DT28" s="45">
        <f>DS28*(1+Supuestos!$B$6/12)</f>
        <v>-120961.1716646464</v>
      </c>
      <c r="DU28" s="45">
        <f>DT28*(1+Supuestos!$B$6/12)</f>
        <v>-121565.97752296962</v>
      </c>
      <c r="DV28" s="45">
        <f>DU28*(1+Supuestos!$B$6/12)</f>
        <v>-122173.80741058446</v>
      </c>
      <c r="DW28" s="45">
        <f>DV28*(1+Supuestos!$B$6/12)</f>
        <v>-122784.67644763736</v>
      </c>
      <c r="DX28" s="45">
        <f>DW28*(1+Supuestos!$B$6/12)</f>
        <v>-123398.59982987554</v>
      </c>
      <c r="DY28" s="45">
        <f>DX28*(1+Supuestos!$B$6/12)</f>
        <v>-124015.59282902491</v>
      </c>
      <c r="DZ28" s="45">
        <f>DY28*(1+Supuestos!$B$6/12)</f>
        <v>-124635.67079317002</v>
      </c>
      <c r="EA28" s="45">
        <f>DZ28*(1+Supuestos!$B$6/12)</f>
        <v>-125258.84914713586</v>
      </c>
      <c r="EB28" s="45">
        <f>EA28*(1+Supuestos!$B$6/12)</f>
        <v>-125885.14339287153</v>
      </c>
      <c r="EC28" s="45">
        <f>EB28*(1+Supuestos!$B$6/12)</f>
        <v>-126514.56910983587</v>
      </c>
      <c r="ED28" s="45">
        <f>EC28*(1+Supuestos!$B$6/12)</f>
        <v>-127147.14195538503</v>
      </c>
      <c r="EE28" s="45">
        <f>ED28*(1+Supuestos!$B$6/12)</f>
        <v>-127782.87766516194</v>
      </c>
      <c r="EF28" s="45">
        <f>EE28*(1+Supuestos!$B$6/12)</f>
        <v>-128421.79205348773</v>
      </c>
      <c r="EG28" s="45">
        <f>EF28*(1+Supuestos!$B$6/12)</f>
        <v>-129063.90101375515</v>
      </c>
      <c r="EH28" s="45">
        <f>EG28*(1+Supuestos!$B$6/12)</f>
        <v>-129709.22051882392</v>
      </c>
      <c r="EI28" s="45">
        <f>EH28*(1+Supuestos!$B$6/12)</f>
        <v>-130357.76662141802</v>
      </c>
      <c r="EJ28" s="45">
        <f>EI28*(1+Supuestos!$B$6/12)</f>
        <v>-131009.55545452509</v>
      </c>
      <c r="EK28" s="45">
        <f>EJ28*(1+Supuestos!$B$6/12)</f>
        <v>-131664.60323179769</v>
      </c>
      <c r="EL28" s="45">
        <f>EK28*(1+Supuestos!$B$6/12)</f>
        <v>-132322.92624795667</v>
      </c>
      <c r="EM28" s="45">
        <f>EL28*(1+Supuestos!$B$6/12)</f>
        <v>-132984.54087919643</v>
      </c>
      <c r="EN28" s="45">
        <f>EM28*(1+Supuestos!$B$6/12)</f>
        <v>-133649.46358359238</v>
      </c>
      <c r="EO28" s="45">
        <f>EN28*(1+Supuestos!$B$6/12)</f>
        <v>-134317.71090151032</v>
      </c>
      <c r="EP28" s="45">
        <f>EO28*(1+Supuestos!$B$6/12)</f>
        <v>-134989.29945601785</v>
      </c>
      <c r="EQ28" s="45">
        <f>EP28*(1+Supuestos!$B$6/12)</f>
        <v>-135664.24595329791</v>
      </c>
      <c r="ER28" s="45">
        <f>EQ28*(1+Supuestos!$B$6/12)</f>
        <v>-136342.56718306438</v>
      </c>
      <c r="ES28" s="45">
        <f>ER28*(1+Supuestos!$B$6/12)</f>
        <v>-137024.28001897968</v>
      </c>
      <c r="ET28" s="45">
        <f>ES28*(1+Supuestos!$B$6/12)</f>
        <v>-137709.40141907457</v>
      </c>
      <c r="EU28" s="45">
        <f>ET28*(1+Supuestos!$B$6/12)</f>
        <v>-138397.94842616993</v>
      </c>
      <c r="EV28" s="45">
        <f>EU28*(1+Supuestos!$B$6/12)</f>
        <v>-139089.93816830075</v>
      </c>
      <c r="EW28" s="45">
        <f>EV28*(1+Supuestos!$B$6/12)</f>
        <v>-139785.38785914224</v>
      </c>
      <c r="EX28" s="45">
        <f>EW28*(1+Supuestos!$B$6/12)</f>
        <v>-140484.31479843793</v>
      </c>
      <c r="EY28" s="45">
        <f>EX28*(1+Supuestos!$B$6/12)</f>
        <v>-141186.73637243011</v>
      </c>
      <c r="EZ28" s="45">
        <f>EY28*(1+Supuestos!$B$6/12)</f>
        <v>-141892.67005429225</v>
      </c>
      <c r="FA28" s="45">
        <f>EZ28*(1+Supuestos!$B$6/12)</f>
        <v>-142602.1334045637</v>
      </c>
    </row>
    <row r="29" spans="1:157" ht="15.75" customHeight="1" x14ac:dyDescent="0.2">
      <c r="A29" s="44" t="s">
        <v>356</v>
      </c>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c r="CD29" s="44"/>
      <c r="CE29" s="44"/>
      <c r="CF29" s="44"/>
      <c r="CG29" s="44"/>
      <c r="CH29" s="104">
        <f t="shared" ref="CH29:FA29" si="9">SUM(CH24:CH28)</f>
        <v>-1302489.2835872881</v>
      </c>
      <c r="CI29" s="104">
        <f t="shared" si="9"/>
        <v>-1309034.4558666211</v>
      </c>
      <c r="CJ29" s="104">
        <f t="shared" si="9"/>
        <v>-1315612.5184589159</v>
      </c>
      <c r="CK29" s="104">
        <f t="shared" si="9"/>
        <v>-1322223.6366421261</v>
      </c>
      <c r="CL29" s="104">
        <f t="shared" si="9"/>
        <v>-1328867.97652475</v>
      </c>
      <c r="CM29" s="104">
        <f t="shared" si="9"/>
        <v>-1335545.7050500002</v>
      </c>
      <c r="CN29" s="104">
        <f t="shared" si="9"/>
        <v>-1342256.99</v>
      </c>
      <c r="CO29" s="104">
        <f t="shared" si="9"/>
        <v>-1349002</v>
      </c>
      <c r="CP29" s="104">
        <f t="shared" si="9"/>
        <v>-1355747.01</v>
      </c>
      <c r="CQ29" s="109">
        <f t="shared" si="9"/>
        <v>-1362525.7450499998</v>
      </c>
      <c r="CR29" s="104">
        <f t="shared" si="9"/>
        <v>-1369338.3737752496</v>
      </c>
      <c r="CS29" s="104">
        <f t="shared" si="9"/>
        <v>-1376185.0656441257</v>
      </c>
      <c r="CT29" s="104">
        <f t="shared" si="9"/>
        <v>-1383065.9909723462</v>
      </c>
      <c r="CU29" s="104">
        <f t="shared" si="9"/>
        <v>-1389981.3209272078</v>
      </c>
      <c r="CV29" s="104">
        <f t="shared" si="9"/>
        <v>-1396931.2275318438</v>
      </c>
      <c r="CW29" s="104">
        <f t="shared" si="9"/>
        <v>-1403915.883669503</v>
      </c>
      <c r="CX29" s="104">
        <f t="shared" si="9"/>
        <v>-1410935.4630878503</v>
      </c>
      <c r="CY29" s="104">
        <f t="shared" si="9"/>
        <v>-1417990.1404032893</v>
      </c>
      <c r="CZ29" s="104">
        <f t="shared" si="9"/>
        <v>-1425080.0911053056</v>
      </c>
      <c r="DA29" s="104">
        <f t="shared" si="9"/>
        <v>-1432205.4915608321</v>
      </c>
      <c r="DB29" s="104">
        <f t="shared" si="9"/>
        <v>-1439366.5190186363</v>
      </c>
      <c r="DC29" s="110">
        <f t="shared" si="9"/>
        <v>-1446563.351613729</v>
      </c>
      <c r="DD29" s="104">
        <f t="shared" si="9"/>
        <v>-1453796.1683717975</v>
      </c>
      <c r="DE29" s="104">
        <f t="shared" si="9"/>
        <v>-1461065.1492136563</v>
      </c>
      <c r="DF29" s="104">
        <f t="shared" si="9"/>
        <v>-1468370.4749597243</v>
      </c>
      <c r="DG29" s="104">
        <f t="shared" si="9"/>
        <v>-1475712.327334523</v>
      </c>
      <c r="DH29" s="104">
        <f t="shared" si="9"/>
        <v>-1483090.8889711956</v>
      </c>
      <c r="DI29" s="104">
        <f t="shared" si="9"/>
        <v>-1490506.3434160512</v>
      </c>
      <c r="DJ29" s="104">
        <f t="shared" si="9"/>
        <v>-1497958.8751331312</v>
      </c>
      <c r="DK29" s="104">
        <f t="shared" si="9"/>
        <v>-1505448.6695087967</v>
      </c>
      <c r="DL29" s="104">
        <f t="shared" si="9"/>
        <v>-1512975.9128563404</v>
      </c>
      <c r="DM29" s="104">
        <f t="shared" si="9"/>
        <v>-1520540.7924206222</v>
      </c>
      <c r="DN29" s="104">
        <f t="shared" si="9"/>
        <v>-1528143.4963827252</v>
      </c>
      <c r="DO29" s="104">
        <f t="shared" si="9"/>
        <v>-1535784.2138646385</v>
      </c>
      <c r="DP29" s="104">
        <f t="shared" si="9"/>
        <v>-1543463.1349339616</v>
      </c>
      <c r="DQ29" s="104">
        <f t="shared" si="9"/>
        <v>-1551180.4506086311</v>
      </c>
      <c r="DR29" s="104">
        <f t="shared" si="9"/>
        <v>-1558936.352861674</v>
      </c>
      <c r="DS29" s="104">
        <f t="shared" si="9"/>
        <v>-1566731.0346259824</v>
      </c>
      <c r="DT29" s="104">
        <f t="shared" si="9"/>
        <v>-1574564.6897991123</v>
      </c>
      <c r="DU29" s="104">
        <f t="shared" si="9"/>
        <v>-1582437.5132481076</v>
      </c>
      <c r="DV29" s="104">
        <f t="shared" si="9"/>
        <v>-1590349.7008143482</v>
      </c>
      <c r="DW29" s="104">
        <f t="shared" si="9"/>
        <v>-1598301.4493184194</v>
      </c>
      <c r="DX29" s="104">
        <f t="shared" si="9"/>
        <v>-1606292.9565650115</v>
      </c>
      <c r="DY29" s="104">
        <f t="shared" si="9"/>
        <v>-1614324.4213478363</v>
      </c>
      <c r="DZ29" s="104">
        <f t="shared" si="9"/>
        <v>-1622396.0434545754</v>
      </c>
      <c r="EA29" s="104">
        <f t="shared" si="9"/>
        <v>-1630508.023671848</v>
      </c>
      <c r="EB29" s="104">
        <f t="shared" si="9"/>
        <v>-1638660.563790207</v>
      </c>
      <c r="EC29" s="104">
        <f t="shared" si="9"/>
        <v>-1646853.8666091582</v>
      </c>
      <c r="ED29" s="104">
        <f t="shared" si="9"/>
        <v>-1655088.1359422035</v>
      </c>
      <c r="EE29" s="104">
        <f t="shared" si="9"/>
        <v>-1663363.5766219143</v>
      </c>
      <c r="EF29" s="104">
        <f t="shared" si="9"/>
        <v>-1671680.394505024</v>
      </c>
      <c r="EG29" s="104">
        <f t="shared" si="9"/>
        <v>-1680038.796477549</v>
      </c>
      <c r="EH29" s="104">
        <f t="shared" si="9"/>
        <v>-1688438.9904599364</v>
      </c>
      <c r="EI29" s="104">
        <f t="shared" si="9"/>
        <v>-1696881.185412236</v>
      </c>
      <c r="EJ29" s="104">
        <f t="shared" si="9"/>
        <v>-1705365.5913392969</v>
      </c>
      <c r="EK29" s="104">
        <f t="shared" si="9"/>
        <v>-1713892.4192959934</v>
      </c>
      <c r="EL29" s="104">
        <f t="shared" si="9"/>
        <v>-1722461.8813924734</v>
      </c>
      <c r="EM29" s="104">
        <f t="shared" si="9"/>
        <v>-1731074.1907994354</v>
      </c>
      <c r="EN29" s="104">
        <f t="shared" si="9"/>
        <v>-1739729.5617534323</v>
      </c>
      <c r="EO29" s="104">
        <f t="shared" si="9"/>
        <v>-1748428.2095621992</v>
      </c>
      <c r="EP29" s="104">
        <f t="shared" si="9"/>
        <v>-1757170.3506100101</v>
      </c>
      <c r="EQ29" s="104">
        <f t="shared" si="9"/>
        <v>-1765956.2023630601</v>
      </c>
      <c r="ER29" s="104">
        <f t="shared" si="9"/>
        <v>-1774785.9833748748</v>
      </c>
      <c r="ES29" s="104">
        <f t="shared" si="9"/>
        <v>-1783659.9132917491</v>
      </c>
      <c r="ET29" s="104">
        <f t="shared" si="9"/>
        <v>-1792578.2128582078</v>
      </c>
      <c r="EU29" s="104">
        <f t="shared" si="9"/>
        <v>-1801541.1039224984</v>
      </c>
      <c r="EV29" s="104">
        <f t="shared" si="9"/>
        <v>-1810548.8094421111</v>
      </c>
      <c r="EW29" s="104">
        <f t="shared" si="9"/>
        <v>-1819601.5534893209</v>
      </c>
      <c r="EX29" s="104">
        <f t="shared" si="9"/>
        <v>-1828699.5612567677</v>
      </c>
      <c r="EY29" s="104">
        <f t="shared" si="9"/>
        <v>-1837843.0590630514</v>
      </c>
      <c r="EZ29" s="104">
        <f t="shared" si="9"/>
        <v>-1847032.2743583664</v>
      </c>
      <c r="FA29" s="104">
        <f t="shared" si="9"/>
        <v>-1856267.4357301579</v>
      </c>
    </row>
    <row r="30" spans="1:157" ht="15.75" customHeight="1" x14ac:dyDescent="0.2">
      <c r="A30" s="44"/>
      <c r="CH30" s="45"/>
      <c r="CI30" s="45"/>
      <c r="CJ30" s="45"/>
      <c r="CK30" s="45"/>
      <c r="CL30" s="45"/>
      <c r="CM30" s="45"/>
      <c r="CN30" s="45"/>
      <c r="CO30" s="45"/>
      <c r="CP30" s="45"/>
      <c r="CQ30" s="114"/>
      <c r="CR30" s="45"/>
      <c r="CS30" s="45"/>
      <c r="CT30" s="45"/>
      <c r="CU30" s="45"/>
      <c r="CV30" s="45"/>
      <c r="CW30" s="45"/>
      <c r="CX30" s="45"/>
      <c r="CY30" s="45"/>
      <c r="CZ30" s="45"/>
      <c r="DA30" s="45"/>
      <c r="DB30" s="45"/>
      <c r="DC30" s="115"/>
      <c r="DD30" s="45"/>
      <c r="DE30" s="45"/>
      <c r="DF30" s="45"/>
      <c r="DG30" s="45"/>
      <c r="DH30" s="45"/>
      <c r="DI30" s="45"/>
      <c r="DJ30" s="45"/>
      <c r="DK30" s="45"/>
      <c r="DL30" s="45"/>
      <c r="DM30" s="45"/>
      <c r="DN30" s="45"/>
      <c r="DO30" s="45"/>
      <c r="DP30" s="45"/>
      <c r="DQ30" s="45"/>
      <c r="DR30" s="45"/>
      <c r="DS30" s="45"/>
      <c r="DT30" s="45"/>
      <c r="DU30" s="45"/>
      <c r="DV30" s="45"/>
      <c r="DW30" s="45"/>
      <c r="DX30" s="45"/>
      <c r="DY30" s="45"/>
      <c r="DZ30" s="45"/>
      <c r="EA30" s="45"/>
      <c r="EB30" s="45"/>
      <c r="EC30" s="45"/>
      <c r="ED30" s="45"/>
      <c r="EE30" s="45"/>
      <c r="EF30" s="45"/>
      <c r="EG30" s="45"/>
      <c r="EH30" s="45"/>
      <c r="EI30" s="45"/>
      <c r="EJ30" s="45"/>
      <c r="EK30" s="45"/>
      <c r="EL30" s="45"/>
      <c r="EM30" s="45"/>
      <c r="EN30" s="45"/>
      <c r="EO30" s="45"/>
      <c r="EP30" s="45"/>
      <c r="EQ30" s="45"/>
      <c r="ER30" s="45"/>
      <c r="ES30" s="45"/>
      <c r="ET30" s="45"/>
      <c r="EU30" s="45"/>
      <c r="EV30" s="45"/>
      <c r="EW30" s="45"/>
      <c r="EX30" s="45"/>
      <c r="EY30" s="45"/>
      <c r="EZ30" s="45"/>
      <c r="FA30" s="45"/>
    </row>
    <row r="31" spans="1:157" ht="15.75" customHeight="1" x14ac:dyDescent="0.2">
      <c r="A31" s="44" t="s">
        <v>357</v>
      </c>
      <c r="CH31" s="45">
        <f t="shared" ref="CH31:FA31" si="10">CH29+CH21</f>
        <v>-897175.49524505239</v>
      </c>
      <c r="CI31" s="45">
        <f t="shared" si="10"/>
        <v>-895650.54282766895</v>
      </c>
      <c r="CJ31" s="45">
        <f t="shared" si="10"/>
        <v>-946427.60134986474</v>
      </c>
      <c r="CK31" s="45">
        <f t="shared" si="10"/>
        <v>-844108.96511656267</v>
      </c>
      <c r="CL31" s="45">
        <f t="shared" si="10"/>
        <v>-778488.19993834919</v>
      </c>
      <c r="CM31" s="45">
        <f t="shared" si="10"/>
        <v>-798201.16929464298</v>
      </c>
      <c r="CN31" s="45">
        <f t="shared" si="10"/>
        <v>-769795.23126985598</v>
      </c>
      <c r="CO31" s="45">
        <f t="shared" si="10"/>
        <v>-698259.04164187866</v>
      </c>
      <c r="CP31" s="45">
        <f t="shared" si="10"/>
        <v>-591170.38662402169</v>
      </c>
      <c r="CQ31" s="114">
        <f t="shared" si="10"/>
        <v>-600643.75491913036</v>
      </c>
      <c r="CR31" s="45">
        <f t="shared" si="10"/>
        <v>268399.19614605443</v>
      </c>
      <c r="CS31" s="45">
        <f t="shared" si="10"/>
        <v>285642.88803720125</v>
      </c>
      <c r="CT31" s="45">
        <f t="shared" si="10"/>
        <v>-57115.33263617428</v>
      </c>
      <c r="CU31" s="45">
        <f t="shared" si="10"/>
        <v>14091.496319827391</v>
      </c>
      <c r="CV31" s="45">
        <f t="shared" si="10"/>
        <v>130694.7365657601</v>
      </c>
      <c r="CW31" s="45">
        <f t="shared" si="10"/>
        <v>698797.52584156301</v>
      </c>
      <c r="CX31" s="45">
        <f t="shared" si="10"/>
        <v>1089878.725089747</v>
      </c>
      <c r="CY31" s="45">
        <f t="shared" si="10"/>
        <v>1456375.716574145</v>
      </c>
      <c r="CZ31" s="45">
        <f t="shared" si="10"/>
        <v>1478051.9697412974</v>
      </c>
      <c r="DA31" s="45">
        <f t="shared" si="10"/>
        <v>1500257.6196901239</v>
      </c>
      <c r="DB31" s="45">
        <f t="shared" si="10"/>
        <v>1535774.2479852957</v>
      </c>
      <c r="DC31" s="115">
        <f t="shared" si="10"/>
        <v>1574912.6640618222</v>
      </c>
      <c r="DD31" s="45">
        <f t="shared" si="10"/>
        <v>1619550.8244296839</v>
      </c>
      <c r="DE31" s="45">
        <f t="shared" si="10"/>
        <v>1664396.5471154642</v>
      </c>
      <c r="DF31" s="45">
        <f t="shared" si="10"/>
        <v>1704525.0757201884</v>
      </c>
      <c r="DG31" s="45">
        <f t="shared" si="10"/>
        <v>1747073.473422305</v>
      </c>
      <c r="DH31" s="45">
        <f t="shared" si="10"/>
        <v>1789943.5785102881</v>
      </c>
      <c r="DI31" s="45">
        <f t="shared" si="10"/>
        <v>1836098.3617114711</v>
      </c>
      <c r="DJ31" s="45">
        <f t="shared" si="10"/>
        <v>1877007.0584649821</v>
      </c>
      <c r="DK31" s="45">
        <f t="shared" si="10"/>
        <v>1918385.5202695457</v>
      </c>
      <c r="DL31" s="45">
        <f t="shared" si="10"/>
        <v>1958729.1031077919</v>
      </c>
      <c r="DM31" s="45">
        <f t="shared" si="10"/>
        <v>1999346.733937734</v>
      </c>
      <c r="DN31" s="45">
        <f t="shared" si="10"/>
        <v>2031208.7012192656</v>
      </c>
      <c r="DO31" s="45">
        <f t="shared" si="10"/>
        <v>2062491.4121119352</v>
      </c>
      <c r="DP31" s="45">
        <f t="shared" si="10"/>
        <v>2102603.8617731929</v>
      </c>
      <c r="DQ31" s="45">
        <f t="shared" si="10"/>
        <v>2145210.1116832145</v>
      </c>
      <c r="DR31" s="45">
        <f t="shared" si="10"/>
        <v>2192832.2812033244</v>
      </c>
      <c r="DS31" s="45">
        <f t="shared" si="10"/>
        <v>2236419.5534000387</v>
      </c>
      <c r="DT31" s="45">
        <f t="shared" si="10"/>
        <v>2280871.2000366142</v>
      </c>
      <c r="DU31" s="45">
        <f t="shared" si="10"/>
        <v>2318629.4796180679</v>
      </c>
      <c r="DV31" s="45">
        <f t="shared" si="10"/>
        <v>2355743.5801609629</v>
      </c>
      <c r="DW31" s="45">
        <f t="shared" si="10"/>
        <v>2400902.3176571857</v>
      </c>
      <c r="DX31" s="45">
        <f t="shared" si="10"/>
        <v>2445927.8533769827</v>
      </c>
      <c r="DY31" s="45">
        <f t="shared" si="10"/>
        <v>2492159.1476500705</v>
      </c>
      <c r="DZ31" s="45">
        <f t="shared" si="10"/>
        <v>2543625.6656435914</v>
      </c>
      <c r="EA31" s="45">
        <f t="shared" si="10"/>
        <v>2598466.7963802554</v>
      </c>
      <c r="EB31" s="45">
        <f t="shared" si="10"/>
        <v>2654341.8228221433</v>
      </c>
      <c r="EC31" s="45">
        <f t="shared" si="10"/>
        <v>2713790.7268046299</v>
      </c>
      <c r="ED31" s="45">
        <f t="shared" si="10"/>
        <v>2772414.1096661692</v>
      </c>
      <c r="EE31" s="45">
        <f t="shared" si="10"/>
        <v>2860265.7987487223</v>
      </c>
      <c r="EF31" s="45">
        <f t="shared" si="10"/>
        <v>2885614.819386295</v>
      </c>
      <c r="EG31" s="45">
        <f t="shared" si="10"/>
        <v>2899330.4581265608</v>
      </c>
      <c r="EH31" s="45">
        <f t="shared" si="10"/>
        <v>2928784.7823831085</v>
      </c>
      <c r="EI31" s="45">
        <f t="shared" si="10"/>
        <v>2970798.5546400896</v>
      </c>
      <c r="EJ31" s="45">
        <f t="shared" si="10"/>
        <v>2992230.3533868073</v>
      </c>
      <c r="EK31" s="45">
        <f t="shared" si="10"/>
        <v>2990451.7459713779</v>
      </c>
      <c r="EL31" s="45">
        <f t="shared" si="10"/>
        <v>3027978.627402164</v>
      </c>
      <c r="EM31" s="45">
        <f t="shared" si="10"/>
        <v>3053948.5917557981</v>
      </c>
      <c r="EN31" s="45">
        <f t="shared" si="10"/>
        <v>3098667.3559554918</v>
      </c>
      <c r="EO31" s="45">
        <f t="shared" si="10"/>
        <v>3078687.1520283855</v>
      </c>
      <c r="EP31" s="45">
        <f t="shared" si="10"/>
        <v>3130752.0060867853</v>
      </c>
      <c r="EQ31" s="45">
        <f t="shared" si="10"/>
        <v>3121881.8587774243</v>
      </c>
      <c r="ER31" s="45">
        <f t="shared" si="10"/>
        <v>3201596.5752441632</v>
      </c>
      <c r="ES31" s="45">
        <f t="shared" si="10"/>
        <v>3296126.1991351233</v>
      </c>
      <c r="ET31" s="45">
        <f t="shared" si="10"/>
        <v>3442161.8632822521</v>
      </c>
      <c r="EU31" s="45">
        <f t="shared" si="10"/>
        <v>3542423.8934160052</v>
      </c>
      <c r="EV31" s="45">
        <f t="shared" si="10"/>
        <v>4076937.5746284137</v>
      </c>
      <c r="EW31" s="45">
        <f t="shared" si="10"/>
        <v>4324516.065272727</v>
      </c>
      <c r="EX31" s="45">
        <f t="shared" si="10"/>
        <v>4587596.8764118142</v>
      </c>
      <c r="EY31" s="45">
        <f t="shared" si="10"/>
        <v>728194.78072572686</v>
      </c>
      <c r="EZ31" s="45">
        <f t="shared" si="10"/>
        <v>735181.3012238408</v>
      </c>
      <c r="FA31" s="45">
        <f t="shared" si="10"/>
        <v>742415.02307403041</v>
      </c>
    </row>
    <row r="32" spans="1:157" ht="15.75" customHeight="1" x14ac:dyDescent="0.2">
      <c r="A32" s="44"/>
      <c r="CH32" s="45"/>
      <c r="CI32" s="45"/>
      <c r="CJ32" s="45"/>
      <c r="CK32" s="45"/>
      <c r="CL32" s="45"/>
      <c r="CM32" s="45"/>
      <c r="CN32" s="45"/>
      <c r="CO32" s="45"/>
      <c r="CP32" s="45"/>
      <c r="CQ32" s="114"/>
      <c r="CR32" s="45"/>
      <c r="CS32" s="45"/>
      <c r="CT32" s="45"/>
      <c r="CU32" s="45"/>
      <c r="CV32" s="45"/>
      <c r="CW32" s="45"/>
      <c r="CX32" s="45"/>
      <c r="CY32" s="45"/>
      <c r="CZ32" s="45"/>
      <c r="DA32" s="45"/>
      <c r="DB32" s="45"/>
      <c r="DC32" s="115"/>
      <c r="DD32" s="45"/>
      <c r="DE32" s="45"/>
      <c r="DF32" s="45"/>
      <c r="DG32" s="45"/>
      <c r="DH32" s="45"/>
      <c r="DI32" s="45"/>
      <c r="DJ32" s="45"/>
      <c r="DK32" s="45"/>
      <c r="DL32" s="45"/>
      <c r="DM32" s="45"/>
      <c r="DN32" s="45"/>
      <c r="DO32" s="45"/>
      <c r="DP32" s="45"/>
      <c r="DQ32" s="45"/>
      <c r="DR32" s="45"/>
      <c r="DS32" s="45"/>
      <c r="DT32" s="45"/>
      <c r="DU32" s="45"/>
      <c r="DV32" s="45"/>
      <c r="DW32" s="45"/>
      <c r="DX32" s="45"/>
      <c r="DY32" s="45"/>
      <c r="DZ32" s="45"/>
      <c r="EA32" s="45"/>
      <c r="EB32" s="45"/>
      <c r="EC32" s="45"/>
      <c r="ED32" s="45"/>
      <c r="EE32" s="45"/>
      <c r="EF32" s="45"/>
      <c r="EG32" s="45"/>
      <c r="EH32" s="45"/>
      <c r="EI32" s="45"/>
      <c r="EJ32" s="45"/>
      <c r="EK32" s="45"/>
      <c r="EL32" s="45"/>
      <c r="EM32" s="45"/>
      <c r="EN32" s="45"/>
      <c r="EO32" s="45"/>
      <c r="EP32" s="45"/>
      <c r="EQ32" s="45"/>
      <c r="ER32" s="45"/>
      <c r="ES32" s="45"/>
      <c r="ET32" s="45"/>
      <c r="EU32" s="45"/>
      <c r="EV32" s="45"/>
      <c r="EW32" s="45"/>
      <c r="EX32" s="45"/>
      <c r="EY32" s="45"/>
      <c r="EZ32" s="45"/>
      <c r="FA32" s="45"/>
    </row>
    <row r="33" spans="1:157" ht="15.75" customHeight="1" x14ac:dyDescent="0.2">
      <c r="A33" s="44"/>
      <c r="CH33" s="45"/>
      <c r="CI33" s="45"/>
      <c r="CJ33" s="45"/>
      <c r="CK33" s="45"/>
      <c r="CL33" s="45"/>
      <c r="CM33" s="45"/>
      <c r="CN33" s="45"/>
      <c r="CO33" s="45"/>
      <c r="CP33" s="45"/>
      <c r="CQ33" s="114"/>
      <c r="CR33" s="45"/>
      <c r="CS33" s="45"/>
      <c r="CT33" s="45"/>
      <c r="CU33" s="45"/>
      <c r="CV33" s="45"/>
      <c r="CW33" s="45"/>
      <c r="CX33" s="45"/>
      <c r="CY33" s="45"/>
      <c r="CZ33" s="45"/>
      <c r="DA33" s="45"/>
      <c r="DB33" s="45"/>
      <c r="DC33" s="115"/>
      <c r="DD33" s="45"/>
      <c r="DE33" s="45"/>
      <c r="DF33" s="45"/>
      <c r="DG33" s="45"/>
      <c r="DH33" s="45"/>
      <c r="DI33" s="45"/>
      <c r="DJ33" s="45"/>
      <c r="DK33" s="45"/>
      <c r="DL33" s="45"/>
      <c r="DM33" s="45"/>
      <c r="DN33" s="45"/>
      <c r="DO33" s="45"/>
      <c r="DP33" s="45"/>
      <c r="DQ33" s="45"/>
      <c r="DR33" s="45"/>
      <c r="DS33" s="45"/>
      <c r="DT33" s="45"/>
      <c r="DU33" s="45"/>
      <c r="DV33" s="45"/>
      <c r="DW33" s="45"/>
      <c r="DX33" s="45"/>
      <c r="DY33" s="45"/>
      <c r="DZ33" s="45"/>
      <c r="EA33" s="45"/>
      <c r="EB33" s="45"/>
      <c r="EC33" s="45"/>
      <c r="ED33" s="45"/>
      <c r="EE33" s="45"/>
      <c r="EF33" s="45"/>
      <c r="EG33" s="45"/>
      <c r="EH33" s="45"/>
      <c r="EI33" s="45"/>
      <c r="EJ33" s="45"/>
      <c r="EK33" s="45"/>
      <c r="EL33" s="45"/>
      <c r="EM33" s="45"/>
      <c r="EN33" s="45"/>
      <c r="EO33" s="45"/>
      <c r="EP33" s="45"/>
      <c r="EQ33" s="45"/>
      <c r="ER33" s="45"/>
      <c r="ES33" s="45"/>
      <c r="ET33" s="45"/>
      <c r="EU33" s="45"/>
      <c r="EV33" s="45"/>
      <c r="EW33" s="45"/>
      <c r="EX33" s="45"/>
      <c r="EY33" s="45"/>
      <c r="EZ33" s="45"/>
      <c r="FA33" s="45"/>
    </row>
    <row r="34" spans="1:157" ht="15.75" customHeight="1" x14ac:dyDescent="0.2">
      <c r="A34" s="121" t="s">
        <v>358</v>
      </c>
      <c r="B34" s="122"/>
      <c r="C34" s="122"/>
      <c r="D34" s="122"/>
      <c r="E34" s="122"/>
      <c r="F34" s="122"/>
      <c r="G34" s="122"/>
      <c r="H34" s="122"/>
      <c r="I34" s="122"/>
      <c r="J34" s="122"/>
      <c r="K34" s="122"/>
      <c r="L34" s="122"/>
      <c r="M34" s="122"/>
      <c r="N34" s="122"/>
      <c r="O34" s="122"/>
      <c r="P34" s="122"/>
      <c r="Q34" s="122"/>
      <c r="R34" s="122"/>
      <c r="S34" s="122"/>
      <c r="T34" s="122"/>
      <c r="U34" s="122"/>
      <c r="V34" s="122"/>
      <c r="W34" s="122"/>
      <c r="X34" s="122"/>
      <c r="Y34" s="122"/>
      <c r="Z34" s="122"/>
      <c r="AA34" s="122"/>
      <c r="AB34" s="122"/>
      <c r="AC34" s="122"/>
      <c r="AD34" s="122"/>
      <c r="AE34" s="122"/>
      <c r="AF34" s="122"/>
      <c r="AG34" s="122"/>
      <c r="AH34" s="122"/>
      <c r="AI34" s="122"/>
      <c r="AJ34" s="122"/>
      <c r="AK34" s="122"/>
      <c r="AL34" s="122"/>
      <c r="AM34" s="122"/>
      <c r="AN34" s="122"/>
      <c r="AO34" s="122"/>
      <c r="AP34" s="122"/>
      <c r="AQ34" s="122"/>
      <c r="AR34" s="122"/>
      <c r="AS34" s="122"/>
      <c r="AT34" s="122"/>
      <c r="AU34" s="122"/>
      <c r="AV34" s="122"/>
      <c r="AW34" s="122"/>
      <c r="AX34" s="122"/>
      <c r="AY34" s="122"/>
      <c r="AZ34" s="122"/>
      <c r="BA34" s="122"/>
      <c r="BB34" s="122"/>
      <c r="BC34" s="122"/>
      <c r="BD34" s="122"/>
      <c r="BE34" s="122"/>
      <c r="BF34" s="122"/>
      <c r="BG34" s="122"/>
      <c r="BH34" s="122"/>
      <c r="BI34" s="122"/>
      <c r="BJ34" s="122"/>
      <c r="BK34" s="122"/>
      <c r="BL34" s="122"/>
      <c r="BM34" s="122"/>
      <c r="BN34" s="122"/>
      <c r="BO34" s="122"/>
      <c r="BP34" s="122"/>
      <c r="BQ34" s="122"/>
      <c r="BR34" s="122"/>
      <c r="BS34" s="122"/>
      <c r="BT34" s="122"/>
      <c r="BU34" s="122"/>
      <c r="BV34" s="122"/>
      <c r="BW34" s="122"/>
      <c r="BX34" s="122"/>
      <c r="BY34" s="122"/>
      <c r="BZ34" s="122"/>
      <c r="CA34" s="122"/>
      <c r="CB34" s="122"/>
      <c r="CC34" s="122"/>
      <c r="CD34" s="122"/>
      <c r="CE34" s="122"/>
      <c r="CF34" s="122"/>
      <c r="CG34" s="122"/>
      <c r="CH34" s="122"/>
      <c r="CI34" s="122"/>
      <c r="CJ34" s="122"/>
      <c r="CK34" s="122"/>
      <c r="CL34" s="122"/>
      <c r="CM34" s="122"/>
      <c r="CN34" s="122"/>
      <c r="CO34" s="122"/>
      <c r="CP34" s="122"/>
      <c r="CQ34" s="111"/>
      <c r="CR34" s="122"/>
      <c r="CS34" s="122"/>
      <c r="CT34" s="122"/>
      <c r="CU34" s="122"/>
      <c r="CV34" s="122"/>
      <c r="CW34" s="122"/>
      <c r="CX34" s="122"/>
      <c r="CY34" s="122"/>
      <c r="CZ34" s="122"/>
      <c r="DA34" s="122"/>
      <c r="DB34" s="122"/>
      <c r="DC34" s="112"/>
      <c r="DD34" s="122"/>
      <c r="DE34" s="122"/>
      <c r="DF34" s="122"/>
      <c r="DG34" s="122"/>
      <c r="DH34" s="122"/>
      <c r="DI34" s="122"/>
      <c r="DJ34" s="122"/>
      <c r="DK34" s="122"/>
      <c r="DL34" s="122"/>
      <c r="DM34" s="122"/>
      <c r="DN34" s="122"/>
      <c r="DO34" s="122"/>
      <c r="DP34" s="122"/>
      <c r="DQ34" s="122"/>
      <c r="DR34" s="122"/>
      <c r="DS34" s="122"/>
      <c r="DT34" s="122"/>
      <c r="DU34" s="122"/>
      <c r="DV34" s="122"/>
      <c r="DW34" s="122"/>
      <c r="DX34" s="122"/>
      <c r="DY34" s="122"/>
      <c r="DZ34" s="122"/>
      <c r="EA34" s="122"/>
      <c r="EB34" s="122"/>
      <c r="EC34" s="122"/>
      <c r="ED34" s="122"/>
      <c r="EE34" s="122"/>
      <c r="EF34" s="122"/>
      <c r="EG34" s="122"/>
      <c r="EH34" s="122"/>
      <c r="EI34" s="122"/>
      <c r="EJ34" s="122"/>
      <c r="EK34" s="122"/>
      <c r="EL34" s="122"/>
      <c r="EM34" s="122"/>
      <c r="EN34" s="122"/>
      <c r="EO34" s="122"/>
      <c r="EP34" s="122"/>
      <c r="EQ34" s="122"/>
      <c r="ER34" s="122"/>
      <c r="ES34" s="122"/>
      <c r="ET34" s="122"/>
      <c r="EU34" s="122"/>
      <c r="EV34" s="122"/>
      <c r="EW34" s="122"/>
      <c r="EX34" s="122"/>
      <c r="EY34" s="122"/>
      <c r="EZ34" s="122"/>
      <c r="FA34" s="122"/>
    </row>
    <row r="35" spans="1:157" ht="15.75" customHeight="1" x14ac:dyDescent="0.2">
      <c r="A35" s="44"/>
      <c r="CQ35" s="111"/>
      <c r="DC35" s="112"/>
    </row>
    <row r="36" spans="1:157" ht="15.75" customHeight="1" x14ac:dyDescent="0.2">
      <c r="A36" s="44" t="s">
        <v>359</v>
      </c>
      <c r="B36" s="45" t="e">
        <f t="shared" ref="B36:CG36" si="11">#REF!</f>
        <v>#REF!</v>
      </c>
      <c r="C36" s="45" t="e">
        <f t="shared" si="11"/>
        <v>#REF!</v>
      </c>
      <c r="D36" s="45" t="e">
        <f t="shared" si="11"/>
        <v>#REF!</v>
      </c>
      <c r="E36" s="45" t="e">
        <f t="shared" si="11"/>
        <v>#REF!</v>
      </c>
      <c r="F36" s="45" t="e">
        <f t="shared" si="11"/>
        <v>#REF!</v>
      </c>
      <c r="G36" s="45" t="e">
        <f t="shared" si="11"/>
        <v>#REF!</v>
      </c>
      <c r="H36" s="45" t="e">
        <f t="shared" si="11"/>
        <v>#REF!</v>
      </c>
      <c r="I36" s="45" t="e">
        <f t="shared" si="11"/>
        <v>#REF!</v>
      </c>
      <c r="J36" s="45" t="e">
        <f t="shared" si="11"/>
        <v>#REF!</v>
      </c>
      <c r="K36" s="45" t="e">
        <f t="shared" si="11"/>
        <v>#REF!</v>
      </c>
      <c r="L36" s="45" t="e">
        <f t="shared" si="11"/>
        <v>#REF!</v>
      </c>
      <c r="M36" s="45" t="e">
        <f t="shared" si="11"/>
        <v>#REF!</v>
      </c>
      <c r="N36" s="45" t="e">
        <f t="shared" si="11"/>
        <v>#REF!</v>
      </c>
      <c r="O36" s="45" t="e">
        <f t="shared" si="11"/>
        <v>#REF!</v>
      </c>
      <c r="P36" s="45" t="e">
        <f t="shared" si="11"/>
        <v>#REF!</v>
      </c>
      <c r="Q36" s="45" t="e">
        <f t="shared" si="11"/>
        <v>#REF!</v>
      </c>
      <c r="R36" s="45" t="e">
        <f t="shared" si="11"/>
        <v>#REF!</v>
      </c>
      <c r="S36" s="45" t="e">
        <f t="shared" si="11"/>
        <v>#REF!</v>
      </c>
      <c r="T36" s="45" t="e">
        <f t="shared" si="11"/>
        <v>#REF!</v>
      </c>
      <c r="U36" s="45" t="e">
        <f t="shared" si="11"/>
        <v>#REF!</v>
      </c>
      <c r="V36" s="45" t="e">
        <f t="shared" si="11"/>
        <v>#REF!</v>
      </c>
      <c r="W36" s="45" t="e">
        <f t="shared" si="11"/>
        <v>#REF!</v>
      </c>
      <c r="X36" s="45" t="e">
        <f t="shared" si="11"/>
        <v>#REF!</v>
      </c>
      <c r="Y36" s="45" t="e">
        <f t="shared" si="11"/>
        <v>#REF!</v>
      </c>
      <c r="Z36" s="45" t="e">
        <f t="shared" si="11"/>
        <v>#REF!</v>
      </c>
      <c r="AA36" s="45" t="e">
        <f t="shared" si="11"/>
        <v>#REF!</v>
      </c>
      <c r="AB36" s="45" t="e">
        <f t="shared" si="11"/>
        <v>#REF!</v>
      </c>
      <c r="AC36" s="45" t="e">
        <f t="shared" si="11"/>
        <v>#REF!</v>
      </c>
      <c r="AD36" s="45" t="e">
        <f t="shared" si="11"/>
        <v>#REF!</v>
      </c>
      <c r="AE36" s="45" t="e">
        <f t="shared" si="11"/>
        <v>#REF!</v>
      </c>
      <c r="AF36" s="45" t="e">
        <f t="shared" si="11"/>
        <v>#REF!</v>
      </c>
      <c r="AG36" s="45" t="e">
        <f t="shared" si="11"/>
        <v>#REF!</v>
      </c>
      <c r="AH36" s="45" t="e">
        <f t="shared" si="11"/>
        <v>#REF!</v>
      </c>
      <c r="AI36" s="45" t="e">
        <f t="shared" si="11"/>
        <v>#REF!</v>
      </c>
      <c r="AJ36" s="45" t="e">
        <f t="shared" si="11"/>
        <v>#REF!</v>
      </c>
      <c r="AK36" s="45" t="e">
        <f t="shared" si="11"/>
        <v>#REF!</v>
      </c>
      <c r="AL36" s="45" t="e">
        <f t="shared" si="11"/>
        <v>#REF!</v>
      </c>
      <c r="AM36" s="45" t="e">
        <f t="shared" si="11"/>
        <v>#REF!</v>
      </c>
      <c r="AN36" s="45" t="e">
        <f t="shared" si="11"/>
        <v>#REF!</v>
      </c>
      <c r="AO36" s="45" t="e">
        <f t="shared" si="11"/>
        <v>#REF!</v>
      </c>
      <c r="AP36" s="45" t="e">
        <f t="shared" si="11"/>
        <v>#REF!</v>
      </c>
      <c r="AQ36" s="45" t="e">
        <f t="shared" si="11"/>
        <v>#REF!</v>
      </c>
      <c r="AR36" s="45" t="e">
        <f t="shared" si="11"/>
        <v>#REF!</v>
      </c>
      <c r="AS36" s="45" t="e">
        <f t="shared" si="11"/>
        <v>#REF!</v>
      </c>
      <c r="AT36" s="45" t="e">
        <f t="shared" si="11"/>
        <v>#REF!</v>
      </c>
      <c r="AU36" s="45" t="e">
        <f t="shared" si="11"/>
        <v>#REF!</v>
      </c>
      <c r="AV36" s="45" t="e">
        <f t="shared" si="11"/>
        <v>#REF!</v>
      </c>
      <c r="AW36" s="45" t="e">
        <f t="shared" si="11"/>
        <v>#REF!</v>
      </c>
      <c r="AX36" s="45" t="e">
        <f t="shared" si="11"/>
        <v>#REF!</v>
      </c>
      <c r="AY36" s="45" t="e">
        <f t="shared" si="11"/>
        <v>#REF!</v>
      </c>
      <c r="AZ36" s="45" t="e">
        <f t="shared" si="11"/>
        <v>#REF!</v>
      </c>
      <c r="BA36" s="45" t="e">
        <f t="shared" si="11"/>
        <v>#REF!</v>
      </c>
      <c r="BB36" s="45" t="e">
        <f t="shared" si="11"/>
        <v>#REF!</v>
      </c>
      <c r="BC36" s="45" t="e">
        <f t="shared" si="11"/>
        <v>#REF!</v>
      </c>
      <c r="BD36" s="45" t="e">
        <f t="shared" si="11"/>
        <v>#REF!</v>
      </c>
      <c r="BE36" s="45" t="e">
        <f t="shared" si="11"/>
        <v>#REF!</v>
      </c>
      <c r="BF36" s="45" t="e">
        <f t="shared" si="11"/>
        <v>#REF!</v>
      </c>
      <c r="BG36" s="45" t="e">
        <f t="shared" si="11"/>
        <v>#REF!</v>
      </c>
      <c r="BH36" s="45" t="e">
        <f t="shared" si="11"/>
        <v>#REF!</v>
      </c>
      <c r="BI36" s="45" t="e">
        <f t="shared" si="11"/>
        <v>#REF!</v>
      </c>
      <c r="BJ36" s="45" t="e">
        <f t="shared" si="11"/>
        <v>#REF!</v>
      </c>
      <c r="BK36" s="45" t="e">
        <f t="shared" si="11"/>
        <v>#REF!</v>
      </c>
      <c r="BL36" s="45" t="e">
        <f t="shared" si="11"/>
        <v>#REF!</v>
      </c>
      <c r="BM36" s="45" t="e">
        <f t="shared" si="11"/>
        <v>#REF!</v>
      </c>
      <c r="BN36" s="45" t="e">
        <f t="shared" si="11"/>
        <v>#REF!</v>
      </c>
      <c r="BO36" s="45" t="e">
        <f t="shared" si="11"/>
        <v>#REF!</v>
      </c>
      <c r="BP36" s="45" t="e">
        <f t="shared" si="11"/>
        <v>#REF!</v>
      </c>
      <c r="BQ36" s="45" t="e">
        <f t="shared" si="11"/>
        <v>#REF!</v>
      </c>
      <c r="BR36" s="45" t="e">
        <f t="shared" si="11"/>
        <v>#REF!</v>
      </c>
      <c r="BS36" s="45" t="e">
        <f t="shared" si="11"/>
        <v>#REF!</v>
      </c>
      <c r="BT36" s="45" t="e">
        <f t="shared" si="11"/>
        <v>#REF!</v>
      </c>
      <c r="BU36" s="45" t="e">
        <f t="shared" si="11"/>
        <v>#REF!</v>
      </c>
      <c r="BV36" s="45" t="e">
        <f t="shared" si="11"/>
        <v>#REF!</v>
      </c>
      <c r="BW36" s="45" t="e">
        <f t="shared" si="11"/>
        <v>#REF!</v>
      </c>
      <c r="BX36" s="45" t="e">
        <f t="shared" si="11"/>
        <v>#REF!</v>
      </c>
      <c r="BY36" s="45" t="e">
        <f t="shared" si="11"/>
        <v>#REF!</v>
      </c>
      <c r="BZ36" s="45" t="e">
        <f t="shared" si="11"/>
        <v>#REF!</v>
      </c>
      <c r="CA36" s="45" t="e">
        <f t="shared" si="11"/>
        <v>#REF!</v>
      </c>
      <c r="CB36" s="45" t="e">
        <f t="shared" si="11"/>
        <v>#REF!</v>
      </c>
      <c r="CC36" s="45" t="e">
        <f t="shared" si="11"/>
        <v>#REF!</v>
      </c>
      <c r="CD36" s="45" t="e">
        <f t="shared" si="11"/>
        <v>#REF!</v>
      </c>
      <c r="CE36" s="45" t="e">
        <f t="shared" si="11"/>
        <v>#REF!</v>
      </c>
      <c r="CF36" s="45" t="e">
        <f t="shared" si="11"/>
        <v>#REF!</v>
      </c>
      <c r="CG36" s="45" t="e">
        <f t="shared" si="11"/>
        <v>#REF!</v>
      </c>
      <c r="CH36" s="45">
        <v>121289545.96758562</v>
      </c>
      <c r="CI36" s="45">
        <v>119278450.29045272</v>
      </c>
      <c r="CJ36" s="45">
        <v>116379796.11323117</v>
      </c>
      <c r="CK36" s="45">
        <v>119198812.32610202</v>
      </c>
      <c r="CL36" s="45">
        <v>122282584.93230812</v>
      </c>
      <c r="CM36" s="45">
        <v>121738471.74173634</v>
      </c>
      <c r="CN36" s="45">
        <v>122618929.57236031</v>
      </c>
      <c r="CO36" s="45">
        <v>126276755.2832114</v>
      </c>
      <c r="CP36" s="45">
        <v>129525397.07358071</v>
      </c>
      <c r="CQ36" s="114">
        <v>125887809.66490011</v>
      </c>
      <c r="CR36" s="45">
        <v>121407537.88018818</v>
      </c>
      <c r="CS36" s="45">
        <v>117075361.55397403</v>
      </c>
      <c r="CT36" s="45">
        <v>112885223.78474355</v>
      </c>
      <c r="CU36" s="45">
        <v>108816564.03504921</v>
      </c>
      <c r="CV36" s="45">
        <v>104745768.07382689</v>
      </c>
      <c r="CW36" s="45">
        <v>100645701.71348932</v>
      </c>
      <c r="CX36" s="45">
        <v>96712501.802719742</v>
      </c>
      <c r="CY36" s="45">
        <v>93016041.627741098</v>
      </c>
      <c r="CZ36" s="45">
        <v>89323687.278322428</v>
      </c>
      <c r="DA36" s="45">
        <v>85641530.054124683</v>
      </c>
      <c r="DB36" s="45">
        <v>81927311.288349077</v>
      </c>
      <c r="DC36" s="115">
        <v>78500898.826989606</v>
      </c>
      <c r="DD36" s="45">
        <v>75096359.558526129</v>
      </c>
      <c r="DE36" s="45">
        <v>71682210.195125014</v>
      </c>
      <c r="DF36" s="45">
        <v>68303400.268835008</v>
      </c>
      <c r="DG36" s="45">
        <v>65037590.637329429</v>
      </c>
      <c r="DH36" s="45">
        <v>61785767.83898975</v>
      </c>
      <c r="DI36" s="45">
        <v>58589880.268154182</v>
      </c>
      <c r="DJ36" s="45">
        <v>55369689.417527884</v>
      </c>
      <c r="DK36" s="45">
        <v>52321435.010605969</v>
      </c>
      <c r="DL36" s="45">
        <v>49353679.733888216</v>
      </c>
      <c r="DM36" s="45">
        <v>46515261.831803568</v>
      </c>
      <c r="DN36" s="45">
        <v>43806826.230608307</v>
      </c>
      <c r="DO36" s="45">
        <v>41369391.420616142</v>
      </c>
      <c r="DP36" s="45">
        <v>39137339.831489362</v>
      </c>
      <c r="DQ36" s="45">
        <v>36986755.672122598</v>
      </c>
      <c r="DR36" s="45">
        <v>34888324.094056942</v>
      </c>
      <c r="DS36" s="45">
        <v>32771123.688936159</v>
      </c>
      <c r="DT36" s="45">
        <v>30742455.831977792</v>
      </c>
      <c r="DU36" s="45">
        <v>28768686.465478636</v>
      </c>
      <c r="DV36" s="45">
        <v>26951350.017340224</v>
      </c>
      <c r="DW36" s="45">
        <v>25267029.620279942</v>
      </c>
      <c r="DX36" s="45">
        <v>23609290.157951634</v>
      </c>
      <c r="DY36" s="45">
        <v>22008642.895189468</v>
      </c>
      <c r="DZ36" s="45">
        <v>20460161.449588638</v>
      </c>
      <c r="EA36" s="45">
        <v>18927535.359911408</v>
      </c>
      <c r="EB36" s="45">
        <v>17400883.076769944</v>
      </c>
      <c r="EC36" s="45">
        <v>15898429.576549271</v>
      </c>
      <c r="ED36" s="45">
        <v>14396630.815628499</v>
      </c>
      <c r="EE36" s="45">
        <v>12933729.165179584</v>
      </c>
      <c r="EF36" s="45">
        <v>11463164.327640194</v>
      </c>
      <c r="EG36" s="45">
        <v>10044013.875566188</v>
      </c>
      <c r="EH36" s="45">
        <v>8755569.9947124757</v>
      </c>
      <c r="EI36" s="45">
        <v>7517231.0803298997</v>
      </c>
      <c r="EJ36" s="45">
        <v>6313688.3594298558</v>
      </c>
      <c r="EK36" s="45">
        <v>5246644.4233302316</v>
      </c>
      <c r="EL36" s="45">
        <v>4373268.0222654166</v>
      </c>
      <c r="EM36" s="45">
        <v>3569192.0679648914</v>
      </c>
      <c r="EN36" s="45">
        <v>2874475.8598613888</v>
      </c>
      <c r="EO36" s="45">
        <v>2250600.2852135589</v>
      </c>
      <c r="EP36" s="45">
        <v>1778920.0304462202</v>
      </c>
      <c r="EQ36" s="45">
        <v>1358716.4128320336</v>
      </c>
      <c r="ER36" s="45">
        <v>1039519.8153580951</v>
      </c>
      <c r="ES36" s="45">
        <v>751406.53157825582</v>
      </c>
      <c r="ET36" s="45">
        <v>504727.71232144703</v>
      </c>
      <c r="EU36" s="45">
        <v>301520.04501266207</v>
      </c>
      <c r="EV36" s="45">
        <v>165584.71879924173</v>
      </c>
      <c r="EW36" s="45">
        <v>46854.222825397141</v>
      </c>
      <c r="EX36" s="45">
        <v>9475.015721070984</v>
      </c>
      <c r="EY36" s="45">
        <v>0</v>
      </c>
      <c r="EZ36" s="45">
        <v>0</v>
      </c>
      <c r="FA36" s="45">
        <v>0</v>
      </c>
    </row>
    <row r="37" spans="1:157" ht="15.75" customHeight="1" x14ac:dyDescent="0.2">
      <c r="A37" s="44" t="s">
        <v>360</v>
      </c>
      <c r="B37" s="45" t="e">
        <f t="shared" ref="B37:CG37" si="12">#REF!</f>
        <v>#REF!</v>
      </c>
      <c r="C37" s="45" t="e">
        <f t="shared" si="12"/>
        <v>#REF!</v>
      </c>
      <c r="D37" s="45" t="e">
        <f t="shared" si="12"/>
        <v>#REF!</v>
      </c>
      <c r="E37" s="45" t="e">
        <f t="shared" si="12"/>
        <v>#REF!</v>
      </c>
      <c r="F37" s="45" t="e">
        <f t="shared" si="12"/>
        <v>#REF!</v>
      </c>
      <c r="G37" s="45" t="e">
        <f t="shared" si="12"/>
        <v>#REF!</v>
      </c>
      <c r="H37" s="45" t="e">
        <f t="shared" si="12"/>
        <v>#REF!</v>
      </c>
      <c r="I37" s="45" t="e">
        <f t="shared" si="12"/>
        <v>#REF!</v>
      </c>
      <c r="J37" s="45" t="e">
        <f t="shared" si="12"/>
        <v>#REF!</v>
      </c>
      <c r="K37" s="45" t="e">
        <f t="shared" si="12"/>
        <v>#REF!</v>
      </c>
      <c r="L37" s="45" t="e">
        <f t="shared" si="12"/>
        <v>#REF!</v>
      </c>
      <c r="M37" s="45" t="e">
        <f t="shared" si="12"/>
        <v>#REF!</v>
      </c>
      <c r="N37" s="45" t="e">
        <f t="shared" si="12"/>
        <v>#REF!</v>
      </c>
      <c r="O37" s="45" t="e">
        <f t="shared" si="12"/>
        <v>#REF!</v>
      </c>
      <c r="P37" s="45" t="e">
        <f t="shared" si="12"/>
        <v>#REF!</v>
      </c>
      <c r="Q37" s="45" t="e">
        <f t="shared" si="12"/>
        <v>#REF!</v>
      </c>
      <c r="R37" s="45" t="e">
        <f t="shared" si="12"/>
        <v>#REF!</v>
      </c>
      <c r="S37" s="45" t="e">
        <f t="shared" si="12"/>
        <v>#REF!</v>
      </c>
      <c r="T37" s="45" t="e">
        <f t="shared" si="12"/>
        <v>#REF!</v>
      </c>
      <c r="U37" s="45" t="e">
        <f t="shared" si="12"/>
        <v>#REF!</v>
      </c>
      <c r="V37" s="45" t="e">
        <f t="shared" si="12"/>
        <v>#REF!</v>
      </c>
      <c r="W37" s="45" t="e">
        <f t="shared" si="12"/>
        <v>#REF!</v>
      </c>
      <c r="X37" s="45" t="e">
        <f t="shared" si="12"/>
        <v>#REF!</v>
      </c>
      <c r="Y37" s="45" t="e">
        <f t="shared" si="12"/>
        <v>#REF!</v>
      </c>
      <c r="Z37" s="45" t="e">
        <f t="shared" si="12"/>
        <v>#REF!</v>
      </c>
      <c r="AA37" s="45" t="e">
        <f t="shared" si="12"/>
        <v>#REF!</v>
      </c>
      <c r="AB37" s="45" t="e">
        <f t="shared" si="12"/>
        <v>#REF!</v>
      </c>
      <c r="AC37" s="45" t="e">
        <f t="shared" si="12"/>
        <v>#REF!</v>
      </c>
      <c r="AD37" s="45" t="e">
        <f t="shared" si="12"/>
        <v>#REF!</v>
      </c>
      <c r="AE37" s="45" t="e">
        <f t="shared" si="12"/>
        <v>#REF!</v>
      </c>
      <c r="AF37" s="45" t="e">
        <f t="shared" si="12"/>
        <v>#REF!</v>
      </c>
      <c r="AG37" s="45" t="e">
        <f t="shared" si="12"/>
        <v>#REF!</v>
      </c>
      <c r="AH37" s="45" t="e">
        <f t="shared" si="12"/>
        <v>#REF!</v>
      </c>
      <c r="AI37" s="45" t="e">
        <f t="shared" si="12"/>
        <v>#REF!</v>
      </c>
      <c r="AJ37" s="45" t="e">
        <f t="shared" si="12"/>
        <v>#REF!</v>
      </c>
      <c r="AK37" s="45" t="e">
        <f t="shared" si="12"/>
        <v>#REF!</v>
      </c>
      <c r="AL37" s="45" t="e">
        <f t="shared" si="12"/>
        <v>#REF!</v>
      </c>
      <c r="AM37" s="45" t="e">
        <f t="shared" si="12"/>
        <v>#REF!</v>
      </c>
      <c r="AN37" s="45" t="e">
        <f t="shared" si="12"/>
        <v>#REF!</v>
      </c>
      <c r="AO37" s="45" t="e">
        <f t="shared" si="12"/>
        <v>#REF!</v>
      </c>
      <c r="AP37" s="45" t="e">
        <f t="shared" si="12"/>
        <v>#REF!</v>
      </c>
      <c r="AQ37" s="45" t="e">
        <f t="shared" si="12"/>
        <v>#REF!</v>
      </c>
      <c r="AR37" s="45" t="e">
        <f t="shared" si="12"/>
        <v>#REF!</v>
      </c>
      <c r="AS37" s="45" t="e">
        <f t="shared" si="12"/>
        <v>#REF!</v>
      </c>
      <c r="AT37" s="45" t="e">
        <f t="shared" si="12"/>
        <v>#REF!</v>
      </c>
      <c r="AU37" s="45" t="e">
        <f t="shared" si="12"/>
        <v>#REF!</v>
      </c>
      <c r="AV37" s="45" t="e">
        <f t="shared" si="12"/>
        <v>#REF!</v>
      </c>
      <c r="AW37" s="45" t="e">
        <f t="shared" si="12"/>
        <v>#REF!</v>
      </c>
      <c r="AX37" s="45" t="e">
        <f t="shared" si="12"/>
        <v>#REF!</v>
      </c>
      <c r="AY37" s="45" t="e">
        <f t="shared" si="12"/>
        <v>#REF!</v>
      </c>
      <c r="AZ37" s="45" t="e">
        <f t="shared" si="12"/>
        <v>#REF!</v>
      </c>
      <c r="BA37" s="45" t="e">
        <f t="shared" si="12"/>
        <v>#REF!</v>
      </c>
      <c r="BB37" s="45" t="e">
        <f t="shared" si="12"/>
        <v>#REF!</v>
      </c>
      <c r="BC37" s="45" t="e">
        <f t="shared" si="12"/>
        <v>#REF!</v>
      </c>
      <c r="BD37" s="45" t="e">
        <f t="shared" si="12"/>
        <v>#REF!</v>
      </c>
      <c r="BE37" s="45" t="e">
        <f t="shared" si="12"/>
        <v>#REF!</v>
      </c>
      <c r="BF37" s="45" t="e">
        <f t="shared" si="12"/>
        <v>#REF!</v>
      </c>
      <c r="BG37" s="45" t="e">
        <f t="shared" si="12"/>
        <v>#REF!</v>
      </c>
      <c r="BH37" s="45" t="e">
        <f t="shared" si="12"/>
        <v>#REF!</v>
      </c>
      <c r="BI37" s="45" t="e">
        <f t="shared" si="12"/>
        <v>#REF!</v>
      </c>
      <c r="BJ37" s="45" t="e">
        <f t="shared" si="12"/>
        <v>#REF!</v>
      </c>
      <c r="BK37" s="45" t="e">
        <f t="shared" si="12"/>
        <v>#REF!</v>
      </c>
      <c r="BL37" s="45" t="e">
        <f t="shared" si="12"/>
        <v>#REF!</v>
      </c>
      <c r="BM37" s="45" t="e">
        <f t="shared" si="12"/>
        <v>#REF!</v>
      </c>
      <c r="BN37" s="45" t="e">
        <f t="shared" si="12"/>
        <v>#REF!</v>
      </c>
      <c r="BO37" s="45" t="e">
        <f t="shared" si="12"/>
        <v>#REF!</v>
      </c>
      <c r="BP37" s="45" t="e">
        <f t="shared" si="12"/>
        <v>#REF!</v>
      </c>
      <c r="BQ37" s="45" t="e">
        <f t="shared" si="12"/>
        <v>#REF!</v>
      </c>
      <c r="BR37" s="45" t="e">
        <f t="shared" si="12"/>
        <v>#REF!</v>
      </c>
      <c r="BS37" s="45" t="e">
        <f t="shared" si="12"/>
        <v>#REF!</v>
      </c>
      <c r="BT37" s="45" t="e">
        <f t="shared" si="12"/>
        <v>#REF!</v>
      </c>
      <c r="BU37" s="45" t="e">
        <f t="shared" si="12"/>
        <v>#REF!</v>
      </c>
      <c r="BV37" s="45" t="e">
        <f t="shared" si="12"/>
        <v>#REF!</v>
      </c>
      <c r="BW37" s="45" t="e">
        <f t="shared" si="12"/>
        <v>#REF!</v>
      </c>
      <c r="BX37" s="45" t="e">
        <f t="shared" si="12"/>
        <v>#REF!</v>
      </c>
      <c r="BY37" s="45" t="e">
        <f t="shared" si="12"/>
        <v>#REF!</v>
      </c>
      <c r="BZ37" s="45" t="e">
        <f t="shared" si="12"/>
        <v>#REF!</v>
      </c>
      <c r="CA37" s="45" t="e">
        <f t="shared" si="12"/>
        <v>#REF!</v>
      </c>
      <c r="CB37" s="45" t="e">
        <f t="shared" si="12"/>
        <v>#REF!</v>
      </c>
      <c r="CC37" s="45" t="e">
        <f t="shared" si="12"/>
        <v>#REF!</v>
      </c>
      <c r="CD37" s="45" t="e">
        <f t="shared" si="12"/>
        <v>#REF!</v>
      </c>
      <c r="CE37" s="45" t="e">
        <f t="shared" si="12"/>
        <v>#REF!</v>
      </c>
      <c r="CF37" s="45" t="e">
        <f t="shared" si="12"/>
        <v>#REF!</v>
      </c>
      <c r="CG37" s="45" t="e">
        <f t="shared" si="12"/>
        <v>#REF!</v>
      </c>
      <c r="CH37" s="45">
        <v>20882183.968355905</v>
      </c>
      <c r="CI37" s="45">
        <v>23945659.578811098</v>
      </c>
      <c r="CJ37" s="45">
        <v>24217653.495364908</v>
      </c>
      <c r="CK37" s="45">
        <v>24591728.397589985</v>
      </c>
      <c r="CL37" s="45">
        <v>25629326.808975853</v>
      </c>
      <c r="CM37" s="45">
        <v>26271007.7368325</v>
      </c>
      <c r="CN37" s="45">
        <v>26271007.7368325</v>
      </c>
      <c r="CO37" s="45">
        <v>26368009.603201427</v>
      </c>
      <c r="CP37" s="45">
        <v>26515280.075767297</v>
      </c>
      <c r="CQ37" s="114">
        <v>26515280.075767297</v>
      </c>
      <c r="CR37" s="45">
        <v>26515280.075767297</v>
      </c>
      <c r="CS37" s="45">
        <v>26515280.075767297</v>
      </c>
      <c r="CT37" s="45">
        <v>26515280.075767297</v>
      </c>
      <c r="CU37" s="45">
        <v>26515280.075767297</v>
      </c>
      <c r="CV37" s="45">
        <v>26515280.075767297</v>
      </c>
      <c r="CW37" s="45">
        <v>26515280.075767297</v>
      </c>
      <c r="CX37" s="45">
        <v>26515280.075767297</v>
      </c>
      <c r="CY37" s="45">
        <v>26515280.075767297</v>
      </c>
      <c r="CZ37" s="45">
        <v>26515280.075767297</v>
      </c>
      <c r="DA37" s="45">
        <v>26515280.075767297</v>
      </c>
      <c r="DB37" s="45">
        <v>26515280.075767297</v>
      </c>
      <c r="DC37" s="115">
        <v>26515280.075767297</v>
      </c>
      <c r="DD37" s="45">
        <v>26515280.075767297</v>
      </c>
      <c r="DE37" s="45">
        <v>26515280.075767297</v>
      </c>
      <c r="DF37" s="45">
        <v>26515280.075767297</v>
      </c>
      <c r="DG37" s="45">
        <v>26515280.075767297</v>
      </c>
      <c r="DH37" s="45">
        <v>26515280.075767297</v>
      </c>
      <c r="DI37" s="45">
        <v>26515280.075767297</v>
      </c>
      <c r="DJ37" s="45">
        <v>26515280.075767297</v>
      </c>
      <c r="DK37" s="45">
        <v>26515280.075767297</v>
      </c>
      <c r="DL37" s="45">
        <v>26515280.075767297</v>
      </c>
      <c r="DM37" s="45">
        <v>26515280.075767297</v>
      </c>
      <c r="DN37" s="45">
        <v>26515280.075767297</v>
      </c>
      <c r="DO37" s="45">
        <v>26515280.075767297</v>
      </c>
      <c r="DP37" s="45">
        <v>26515280.075767297</v>
      </c>
      <c r="DQ37" s="45">
        <v>26515280.075767297</v>
      </c>
      <c r="DR37" s="45">
        <v>26515280.075767297</v>
      </c>
      <c r="DS37" s="45">
        <v>26515280.075767297</v>
      </c>
      <c r="DT37" s="45">
        <v>26515280.075767297</v>
      </c>
      <c r="DU37" s="45">
        <v>26515280.075767297</v>
      </c>
      <c r="DV37" s="45">
        <v>26515280.075767297</v>
      </c>
      <c r="DW37" s="45">
        <v>26515280.075767297</v>
      </c>
      <c r="DX37" s="45">
        <v>26515280.075767297</v>
      </c>
      <c r="DY37" s="45">
        <v>26515280.075767297</v>
      </c>
      <c r="DZ37" s="45">
        <v>26515280.075767297</v>
      </c>
      <c r="EA37" s="45">
        <v>26515280.075767297</v>
      </c>
      <c r="EB37" s="45">
        <v>26515280.075767297</v>
      </c>
      <c r="EC37" s="45">
        <v>26515280.075767297</v>
      </c>
      <c r="ED37" s="45">
        <v>26515280.075767297</v>
      </c>
      <c r="EE37" s="45">
        <v>26515280.075767297</v>
      </c>
      <c r="EF37" s="45">
        <v>26515280.075767297</v>
      </c>
      <c r="EG37" s="45">
        <v>26515280.075767297</v>
      </c>
      <c r="EH37" s="45">
        <v>26515280.075767297</v>
      </c>
      <c r="EI37" s="45">
        <v>26515280.075767297</v>
      </c>
      <c r="EJ37" s="45">
        <v>26515280.075767297</v>
      </c>
      <c r="EK37" s="45">
        <v>26515280.075767297</v>
      </c>
      <c r="EL37" s="45">
        <v>26515280.075767297</v>
      </c>
      <c r="EM37" s="45">
        <v>26515280.075767297</v>
      </c>
      <c r="EN37" s="45">
        <v>26515280.075767297</v>
      </c>
      <c r="EO37" s="45">
        <v>26515280.075767297</v>
      </c>
      <c r="EP37" s="45">
        <v>26515280.075767297</v>
      </c>
      <c r="EQ37" s="45">
        <v>26515280.075767297</v>
      </c>
      <c r="ER37" s="45">
        <v>26515280.075767297</v>
      </c>
      <c r="ES37" s="45">
        <v>26515280.075767297</v>
      </c>
      <c r="ET37" s="45">
        <v>26515280.075767297</v>
      </c>
      <c r="EU37" s="45">
        <v>26515280.075767297</v>
      </c>
      <c r="EV37" s="45">
        <v>26515280.075767297</v>
      </c>
      <c r="EW37" s="45">
        <v>26515280.075767297</v>
      </c>
      <c r="EX37" s="45">
        <v>26515280.075767297</v>
      </c>
      <c r="EY37" s="45">
        <v>26515280.075767297</v>
      </c>
      <c r="EZ37" s="45">
        <v>26515280.075767297</v>
      </c>
      <c r="FA37" s="45">
        <v>26515280.075767297</v>
      </c>
    </row>
    <row r="38" spans="1:157" ht="15.75" customHeight="1" x14ac:dyDescent="0.2">
      <c r="A38" s="44" t="s">
        <v>361</v>
      </c>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c r="BM38" s="45"/>
      <c r="BN38" s="45"/>
      <c r="BO38" s="45"/>
      <c r="BP38" s="45"/>
      <c r="BQ38" s="45"/>
      <c r="BR38" s="45"/>
      <c r="BS38" s="45"/>
      <c r="BT38" s="45"/>
      <c r="BU38" s="45"/>
      <c r="BV38" s="45"/>
      <c r="BW38" s="45"/>
      <c r="BX38" s="45"/>
      <c r="BY38" s="45"/>
      <c r="BZ38" s="45"/>
      <c r="CA38" s="45"/>
      <c r="CB38" s="45"/>
      <c r="CC38" s="45"/>
      <c r="CD38" s="45"/>
      <c r="CE38" s="45"/>
      <c r="CF38" s="45"/>
      <c r="CG38" s="45"/>
      <c r="CH38" s="45"/>
      <c r="CI38" s="45"/>
      <c r="CJ38" s="45"/>
      <c r="CK38" s="45"/>
      <c r="CL38" s="45"/>
      <c r="CM38" s="45"/>
      <c r="CN38" s="45"/>
      <c r="CO38" s="45"/>
      <c r="CP38" s="45"/>
      <c r="CQ38" s="114"/>
      <c r="CR38" s="45">
        <v>5623294.9577669501</v>
      </c>
      <c r="CS38" s="45">
        <v>11107067.130834013</v>
      </c>
      <c r="CT38" s="45">
        <v>16457437.715768814</v>
      </c>
      <c r="CU38" s="45">
        <v>21695032.027285278</v>
      </c>
      <c r="CV38" s="45">
        <v>26943529.559543371</v>
      </c>
      <c r="CW38" s="45">
        <v>32230130.252699479</v>
      </c>
      <c r="CX38" s="45">
        <v>37358763.503783748</v>
      </c>
      <c r="CY38" s="45">
        <v>42259622.76912944</v>
      </c>
      <c r="CZ38" s="45">
        <v>47165409.202092901</v>
      </c>
      <c r="DA38" s="45">
        <v>52070099.25046204</v>
      </c>
      <c r="DB38" s="45">
        <v>57016019.83659032</v>
      </c>
      <c r="DC38" s="115">
        <v>61683371.881955087</v>
      </c>
      <c r="DD38" s="45">
        <v>66338157.781303927</v>
      </c>
      <c r="DE38" s="45">
        <v>71011930.625322029</v>
      </c>
      <c r="DF38" s="45">
        <v>75659811.208333656</v>
      </c>
      <c r="DG38" s="45">
        <v>80204209.526486263</v>
      </c>
      <c r="DH38" s="45">
        <v>84744210.426622838</v>
      </c>
      <c r="DI38" s="45">
        <v>89237937.435018748</v>
      </c>
      <c r="DJ38" s="45">
        <v>93765701.518987104</v>
      </c>
      <c r="DK38" s="45">
        <v>98131335.95850113</v>
      </c>
      <c r="DL38" s="45">
        <v>102426351.61805546</v>
      </c>
      <c r="DM38" s="45">
        <v>106601984.35584795</v>
      </c>
      <c r="DN38" s="45">
        <v>110657663.90401886</v>
      </c>
      <c r="DO38" s="45">
        <v>114452446.99058901</v>
      </c>
      <c r="DP38" s="45">
        <v>118052026.96836808</v>
      </c>
      <c r="DQ38" s="45">
        <v>121580395.97930206</v>
      </c>
      <c r="DR38" s="45">
        <v>125066945.79532167</v>
      </c>
      <c r="DS38" s="45">
        <v>128582675.32518107</v>
      </c>
      <c r="DT38" s="45">
        <v>132020361.27531359</v>
      </c>
      <c r="DU38" s="45">
        <v>135413716.3706857</v>
      </c>
      <c r="DV38" s="45">
        <v>138661285.44066361</v>
      </c>
      <c r="DW38" s="45">
        <v>141786565.20422718</v>
      </c>
      <c r="DX38" s="45">
        <v>144896071.22830757</v>
      </c>
      <c r="DY38" s="45">
        <v>147959373.30203494</v>
      </c>
      <c r="DZ38" s="45">
        <v>150981479.46968323</v>
      </c>
      <c r="EA38" s="45">
        <v>153998782.46682328</v>
      </c>
      <c r="EB38" s="45">
        <v>157021246.7342335</v>
      </c>
      <c r="EC38" s="45">
        <v>160030730.80860499</v>
      </c>
      <c r="ED38" s="45">
        <v>163050862.87298268</v>
      </c>
      <c r="EE38" s="45">
        <v>166043485.32666445</v>
      </c>
      <c r="EF38" s="45">
        <v>169055243.87346095</v>
      </c>
      <c r="EG38" s="45">
        <v>172027146.98761147</v>
      </c>
      <c r="EH38" s="45">
        <v>174879989.17550728</v>
      </c>
      <c r="EI38" s="45">
        <v>177694459.38423476</v>
      </c>
      <c r="EJ38" s="45">
        <v>180485954.38418731</v>
      </c>
      <c r="EK38" s="45">
        <v>183152860.24143234</v>
      </c>
      <c r="EL38" s="45">
        <v>185638097.52805114</v>
      </c>
      <c r="EM38" s="45">
        <v>188066123.32454729</v>
      </c>
      <c r="EN38" s="45">
        <v>190396968.99866292</v>
      </c>
      <c r="EO38" s="45">
        <v>192669245.01031792</v>
      </c>
      <c r="EP38" s="45">
        <v>194801688.70537004</v>
      </c>
      <c r="EQ38" s="45">
        <v>196895111.4890711</v>
      </c>
      <c r="ER38" s="45">
        <v>198900076.39637759</v>
      </c>
      <c r="ES38" s="45">
        <v>200886601.2523137</v>
      </c>
      <c r="ET38" s="45">
        <v>202844429.73051798</v>
      </c>
      <c r="EU38" s="45">
        <v>204771620.67921633</v>
      </c>
      <c r="EV38" s="45">
        <v>206644469.16142973</v>
      </c>
      <c r="EW38" s="45">
        <v>208513139.66207358</v>
      </c>
      <c r="EX38" s="45">
        <v>210313583.42388293</v>
      </c>
      <c r="EY38" s="45">
        <v>212099345.97846928</v>
      </c>
      <c r="EZ38" s="45">
        <v>213888955.67387608</v>
      </c>
      <c r="FA38" s="45">
        <v>215691987.44199842</v>
      </c>
    </row>
    <row r="39" spans="1:157" ht="15.75" customHeight="1" x14ac:dyDescent="0.2">
      <c r="A39" s="44" t="s">
        <v>362</v>
      </c>
      <c r="B39" s="104" t="e">
        <f t="shared" ref="B39:CQ39" si="13">SUM(B36:B37)</f>
        <v>#REF!</v>
      </c>
      <c r="C39" s="104" t="e">
        <f t="shared" si="13"/>
        <v>#REF!</v>
      </c>
      <c r="D39" s="104" t="e">
        <f t="shared" si="13"/>
        <v>#REF!</v>
      </c>
      <c r="E39" s="104" t="e">
        <f t="shared" si="13"/>
        <v>#REF!</v>
      </c>
      <c r="F39" s="104" t="e">
        <f t="shared" si="13"/>
        <v>#REF!</v>
      </c>
      <c r="G39" s="104" t="e">
        <f t="shared" si="13"/>
        <v>#REF!</v>
      </c>
      <c r="H39" s="104" t="e">
        <f t="shared" si="13"/>
        <v>#REF!</v>
      </c>
      <c r="I39" s="104" t="e">
        <f t="shared" si="13"/>
        <v>#REF!</v>
      </c>
      <c r="J39" s="104" t="e">
        <f t="shared" si="13"/>
        <v>#REF!</v>
      </c>
      <c r="K39" s="104" t="e">
        <f t="shared" si="13"/>
        <v>#REF!</v>
      </c>
      <c r="L39" s="104" t="e">
        <f t="shared" si="13"/>
        <v>#REF!</v>
      </c>
      <c r="M39" s="104" t="e">
        <f t="shared" si="13"/>
        <v>#REF!</v>
      </c>
      <c r="N39" s="104" t="e">
        <f t="shared" si="13"/>
        <v>#REF!</v>
      </c>
      <c r="O39" s="104" t="e">
        <f t="shared" si="13"/>
        <v>#REF!</v>
      </c>
      <c r="P39" s="104" t="e">
        <f t="shared" si="13"/>
        <v>#REF!</v>
      </c>
      <c r="Q39" s="104" t="e">
        <f t="shared" si="13"/>
        <v>#REF!</v>
      </c>
      <c r="R39" s="104" t="e">
        <f t="shared" si="13"/>
        <v>#REF!</v>
      </c>
      <c r="S39" s="104" t="e">
        <f t="shared" si="13"/>
        <v>#REF!</v>
      </c>
      <c r="T39" s="104" t="e">
        <f t="shared" si="13"/>
        <v>#REF!</v>
      </c>
      <c r="U39" s="104" t="e">
        <f t="shared" si="13"/>
        <v>#REF!</v>
      </c>
      <c r="V39" s="104" t="e">
        <f t="shared" si="13"/>
        <v>#REF!</v>
      </c>
      <c r="W39" s="104" t="e">
        <f t="shared" si="13"/>
        <v>#REF!</v>
      </c>
      <c r="X39" s="104" t="e">
        <f t="shared" si="13"/>
        <v>#REF!</v>
      </c>
      <c r="Y39" s="104" t="e">
        <f t="shared" si="13"/>
        <v>#REF!</v>
      </c>
      <c r="Z39" s="104" t="e">
        <f t="shared" si="13"/>
        <v>#REF!</v>
      </c>
      <c r="AA39" s="104" t="e">
        <f t="shared" si="13"/>
        <v>#REF!</v>
      </c>
      <c r="AB39" s="104" t="e">
        <f t="shared" si="13"/>
        <v>#REF!</v>
      </c>
      <c r="AC39" s="104" t="e">
        <f t="shared" si="13"/>
        <v>#REF!</v>
      </c>
      <c r="AD39" s="104" t="e">
        <f t="shared" si="13"/>
        <v>#REF!</v>
      </c>
      <c r="AE39" s="104" t="e">
        <f t="shared" si="13"/>
        <v>#REF!</v>
      </c>
      <c r="AF39" s="104" t="e">
        <f t="shared" si="13"/>
        <v>#REF!</v>
      </c>
      <c r="AG39" s="104" t="e">
        <f t="shared" si="13"/>
        <v>#REF!</v>
      </c>
      <c r="AH39" s="104" t="e">
        <f t="shared" si="13"/>
        <v>#REF!</v>
      </c>
      <c r="AI39" s="104" t="e">
        <f t="shared" si="13"/>
        <v>#REF!</v>
      </c>
      <c r="AJ39" s="104" t="e">
        <f t="shared" si="13"/>
        <v>#REF!</v>
      </c>
      <c r="AK39" s="104" t="e">
        <f t="shared" si="13"/>
        <v>#REF!</v>
      </c>
      <c r="AL39" s="104" t="e">
        <f t="shared" si="13"/>
        <v>#REF!</v>
      </c>
      <c r="AM39" s="104" t="e">
        <f t="shared" si="13"/>
        <v>#REF!</v>
      </c>
      <c r="AN39" s="104" t="e">
        <f t="shared" si="13"/>
        <v>#REF!</v>
      </c>
      <c r="AO39" s="104" t="e">
        <f t="shared" si="13"/>
        <v>#REF!</v>
      </c>
      <c r="AP39" s="104" t="e">
        <f t="shared" si="13"/>
        <v>#REF!</v>
      </c>
      <c r="AQ39" s="104" t="e">
        <f t="shared" si="13"/>
        <v>#REF!</v>
      </c>
      <c r="AR39" s="104" t="e">
        <f t="shared" si="13"/>
        <v>#REF!</v>
      </c>
      <c r="AS39" s="104" t="e">
        <f t="shared" si="13"/>
        <v>#REF!</v>
      </c>
      <c r="AT39" s="104" t="e">
        <f t="shared" si="13"/>
        <v>#REF!</v>
      </c>
      <c r="AU39" s="104" t="e">
        <f t="shared" si="13"/>
        <v>#REF!</v>
      </c>
      <c r="AV39" s="104" t="e">
        <f t="shared" si="13"/>
        <v>#REF!</v>
      </c>
      <c r="AW39" s="104" t="e">
        <f t="shared" si="13"/>
        <v>#REF!</v>
      </c>
      <c r="AX39" s="104" t="e">
        <f t="shared" si="13"/>
        <v>#REF!</v>
      </c>
      <c r="AY39" s="104" t="e">
        <f t="shared" si="13"/>
        <v>#REF!</v>
      </c>
      <c r="AZ39" s="104" t="e">
        <f t="shared" si="13"/>
        <v>#REF!</v>
      </c>
      <c r="BA39" s="104" t="e">
        <f t="shared" si="13"/>
        <v>#REF!</v>
      </c>
      <c r="BB39" s="104" t="e">
        <f t="shared" si="13"/>
        <v>#REF!</v>
      </c>
      <c r="BC39" s="104" t="e">
        <f t="shared" si="13"/>
        <v>#REF!</v>
      </c>
      <c r="BD39" s="104" t="e">
        <f t="shared" si="13"/>
        <v>#REF!</v>
      </c>
      <c r="BE39" s="104" t="e">
        <f t="shared" si="13"/>
        <v>#REF!</v>
      </c>
      <c r="BF39" s="104" t="e">
        <f t="shared" si="13"/>
        <v>#REF!</v>
      </c>
      <c r="BG39" s="104" t="e">
        <f t="shared" si="13"/>
        <v>#REF!</v>
      </c>
      <c r="BH39" s="104" t="e">
        <f t="shared" si="13"/>
        <v>#REF!</v>
      </c>
      <c r="BI39" s="104" t="e">
        <f t="shared" si="13"/>
        <v>#REF!</v>
      </c>
      <c r="BJ39" s="104" t="e">
        <f t="shared" si="13"/>
        <v>#REF!</v>
      </c>
      <c r="BK39" s="104" t="e">
        <f t="shared" si="13"/>
        <v>#REF!</v>
      </c>
      <c r="BL39" s="104" t="e">
        <f t="shared" si="13"/>
        <v>#REF!</v>
      </c>
      <c r="BM39" s="104" t="e">
        <f t="shared" si="13"/>
        <v>#REF!</v>
      </c>
      <c r="BN39" s="104" t="e">
        <f t="shared" si="13"/>
        <v>#REF!</v>
      </c>
      <c r="BO39" s="104" t="e">
        <f t="shared" si="13"/>
        <v>#REF!</v>
      </c>
      <c r="BP39" s="104" t="e">
        <f t="shared" si="13"/>
        <v>#REF!</v>
      </c>
      <c r="BQ39" s="104" t="e">
        <f t="shared" si="13"/>
        <v>#REF!</v>
      </c>
      <c r="BR39" s="104" t="e">
        <f t="shared" si="13"/>
        <v>#REF!</v>
      </c>
      <c r="BS39" s="104" t="e">
        <f t="shared" si="13"/>
        <v>#REF!</v>
      </c>
      <c r="BT39" s="104" t="e">
        <f t="shared" si="13"/>
        <v>#REF!</v>
      </c>
      <c r="BU39" s="104" t="e">
        <f t="shared" si="13"/>
        <v>#REF!</v>
      </c>
      <c r="BV39" s="104" t="e">
        <f t="shared" si="13"/>
        <v>#REF!</v>
      </c>
      <c r="BW39" s="104" t="e">
        <f t="shared" si="13"/>
        <v>#REF!</v>
      </c>
      <c r="BX39" s="104" t="e">
        <f t="shared" si="13"/>
        <v>#REF!</v>
      </c>
      <c r="BY39" s="104" t="e">
        <f t="shared" si="13"/>
        <v>#REF!</v>
      </c>
      <c r="BZ39" s="104" t="e">
        <f t="shared" si="13"/>
        <v>#REF!</v>
      </c>
      <c r="CA39" s="104" t="e">
        <f t="shared" si="13"/>
        <v>#REF!</v>
      </c>
      <c r="CB39" s="104" t="e">
        <f t="shared" si="13"/>
        <v>#REF!</v>
      </c>
      <c r="CC39" s="104" t="e">
        <f t="shared" si="13"/>
        <v>#REF!</v>
      </c>
      <c r="CD39" s="104" t="e">
        <f t="shared" si="13"/>
        <v>#REF!</v>
      </c>
      <c r="CE39" s="104" t="e">
        <f t="shared" si="13"/>
        <v>#REF!</v>
      </c>
      <c r="CF39" s="104" t="e">
        <f t="shared" si="13"/>
        <v>#REF!</v>
      </c>
      <c r="CG39" s="104" t="e">
        <f t="shared" si="13"/>
        <v>#REF!</v>
      </c>
      <c r="CH39" s="104">
        <f t="shared" si="13"/>
        <v>142171729.93594152</v>
      </c>
      <c r="CI39" s="104">
        <f t="shared" si="13"/>
        <v>143224109.86926383</v>
      </c>
      <c r="CJ39" s="104">
        <f t="shared" si="13"/>
        <v>140597449.60859609</v>
      </c>
      <c r="CK39" s="104">
        <f t="shared" si="13"/>
        <v>143790540.723692</v>
      </c>
      <c r="CL39" s="104">
        <f t="shared" si="13"/>
        <v>147911911.74128398</v>
      </c>
      <c r="CM39" s="104">
        <f t="shared" si="13"/>
        <v>148009479.47856885</v>
      </c>
      <c r="CN39" s="104">
        <f t="shared" si="13"/>
        <v>148889937.30919281</v>
      </c>
      <c r="CO39" s="104">
        <f t="shared" si="13"/>
        <v>152644764.88641283</v>
      </c>
      <c r="CP39" s="104">
        <f t="shared" si="13"/>
        <v>156040677.14934802</v>
      </c>
      <c r="CQ39" s="109">
        <f t="shared" si="13"/>
        <v>152403089.7406674</v>
      </c>
      <c r="CR39" s="104">
        <f>CQ39*(1+Supuestos!$B$5)</f>
        <v>153546112.91372243</v>
      </c>
      <c r="CS39" s="104">
        <f>CR39*(1+Supuestos!$B$5)</f>
        <v>154697708.76057535</v>
      </c>
      <c r="CT39" s="104">
        <f>CS39*(1+Supuestos!$B$5)</f>
        <v>155857941.57627967</v>
      </c>
      <c r="CU39" s="104">
        <f>CT39*(1+Supuestos!$B$5)</f>
        <v>157026876.13810179</v>
      </c>
      <c r="CV39" s="104">
        <f>CU39*(1+Supuestos!$B$5)</f>
        <v>158204577.70913756</v>
      </c>
      <c r="CW39" s="104">
        <f>CV39*(1+Supuestos!$B$5)</f>
        <v>159391112.0419561</v>
      </c>
      <c r="CX39" s="104">
        <f>CW39*(1+Supuestos!$B$5)</f>
        <v>160586545.38227078</v>
      </c>
      <c r="CY39" s="104">
        <f>CX39*(1+Supuestos!$B$5)</f>
        <v>161790944.47263783</v>
      </c>
      <c r="CZ39" s="104">
        <f>CY39*(1+Supuestos!$B$5)</f>
        <v>163004376.55618262</v>
      </c>
      <c r="DA39" s="104">
        <f>CZ39*(1+Supuestos!$B$5)</f>
        <v>164226909.38035402</v>
      </c>
      <c r="DB39" s="104">
        <f>DA39*(1+Supuestos!$B$5)</f>
        <v>165458611.20070669</v>
      </c>
      <c r="DC39" s="110">
        <f>DB39*(1+Supuestos!$B$5)</f>
        <v>166699550.78471199</v>
      </c>
      <c r="DD39" s="104">
        <f>DC39*(1+Supuestos!$B$5)</f>
        <v>167949797.41559735</v>
      </c>
      <c r="DE39" s="104">
        <f>DD39*(1+Supuestos!$B$5)</f>
        <v>169209420.89621434</v>
      </c>
      <c r="DF39" s="104">
        <f>DE39*(1+Supuestos!$B$5)</f>
        <v>170478491.55293596</v>
      </c>
      <c r="DG39" s="104">
        <f>DF39*(1+Supuestos!$B$5)</f>
        <v>171757080.23958299</v>
      </c>
      <c r="DH39" s="104">
        <f>DG39*(1+Supuestos!$B$5)</f>
        <v>173045258.34137988</v>
      </c>
      <c r="DI39" s="104">
        <f>DH39*(1+Supuestos!$B$5)</f>
        <v>174343097.77894023</v>
      </c>
      <c r="DJ39" s="104">
        <f>DI39*(1+Supuestos!$B$5)</f>
        <v>175650671.01228228</v>
      </c>
      <c r="DK39" s="104">
        <f>DJ39*(1+Supuestos!$B$5)</f>
        <v>176968051.0448744</v>
      </c>
      <c r="DL39" s="104">
        <f>DK39*(1+Supuestos!$B$5)</f>
        <v>178295311.42771098</v>
      </c>
      <c r="DM39" s="104">
        <f>DL39*(1+Supuestos!$B$5)</f>
        <v>179632526.26341882</v>
      </c>
      <c r="DN39" s="104">
        <f>DM39*(1+Supuestos!$B$5)</f>
        <v>180979770.21039447</v>
      </c>
      <c r="DO39" s="104">
        <f>DN39*(1+Supuestos!$B$5)</f>
        <v>182337118.48697245</v>
      </c>
      <c r="DP39" s="104">
        <f>DO39*(1+Supuestos!$B$5)</f>
        <v>183704646.87562475</v>
      </c>
      <c r="DQ39" s="104">
        <f>DP39*(1+Supuestos!$B$5)</f>
        <v>185082431.72719195</v>
      </c>
      <c r="DR39" s="104">
        <f>DQ39*(1+Supuestos!$B$5)</f>
        <v>186470549.96514592</v>
      </c>
      <c r="DS39" s="104">
        <f>DR39*(1+Supuestos!$B$5)</f>
        <v>187869079.08988452</v>
      </c>
      <c r="DT39" s="104">
        <f>DS39*(1+Supuestos!$B$5)</f>
        <v>189278097.18305868</v>
      </c>
      <c r="DU39" s="104">
        <f>DT39*(1+Supuestos!$B$5)</f>
        <v>190697682.91193163</v>
      </c>
      <c r="DV39" s="104">
        <f>DU39*(1+Supuestos!$B$5)</f>
        <v>192127915.53377113</v>
      </c>
      <c r="DW39" s="104">
        <f>DV39*(1+Supuestos!$B$5)</f>
        <v>193568874.90027443</v>
      </c>
      <c r="DX39" s="104">
        <f>DW39*(1+Supuestos!$B$5)</f>
        <v>195020641.46202651</v>
      </c>
      <c r="DY39" s="104">
        <f>DX39*(1+Supuestos!$B$5)</f>
        <v>196483296.27299172</v>
      </c>
      <c r="DZ39" s="104">
        <f>DY39*(1+Supuestos!$B$5)</f>
        <v>197956920.99503917</v>
      </c>
      <c r="EA39" s="104">
        <f>DZ39*(1+Supuestos!$B$5)</f>
        <v>199441597.90250197</v>
      </c>
      <c r="EB39" s="104">
        <f>EA39*(1+Supuestos!$B$5)</f>
        <v>200937409.88677076</v>
      </c>
      <c r="EC39" s="104">
        <f>EB39*(1+Supuestos!$B$5)</f>
        <v>202444440.46092156</v>
      </c>
      <c r="ED39" s="104">
        <f>EC39*(1+Supuestos!$B$5)</f>
        <v>203962773.76437849</v>
      </c>
      <c r="EE39" s="104">
        <f>ED39*(1+Supuestos!$B$5)</f>
        <v>205492494.56761134</v>
      </c>
      <c r="EF39" s="104">
        <f>EE39*(1+Supuestos!$B$5)</f>
        <v>207033688.27686843</v>
      </c>
      <c r="EG39" s="104">
        <f>EF39*(1+Supuestos!$B$5)</f>
        <v>208586440.93894497</v>
      </c>
      <c r="EH39" s="104">
        <f>EG39*(1+Supuestos!$B$5)</f>
        <v>210150839.24598706</v>
      </c>
      <c r="EI39" s="104">
        <f>EH39*(1+Supuestos!$B$5)</f>
        <v>211726970.54033196</v>
      </c>
      <c r="EJ39" s="104">
        <f>EI39*(1+Supuestos!$B$5)</f>
        <v>213314922.81938446</v>
      </c>
      <c r="EK39" s="104">
        <f>EJ39*(1+Supuestos!$B$5)</f>
        <v>214914784.74052987</v>
      </c>
      <c r="EL39" s="104">
        <f>EK39*(1+Supuestos!$B$5)</f>
        <v>216526645.62608385</v>
      </c>
      <c r="EM39" s="104">
        <f>EL39*(1+Supuestos!$B$5)</f>
        <v>218150595.46827948</v>
      </c>
      <c r="EN39" s="104">
        <f>EM39*(1+Supuestos!$B$5)</f>
        <v>219786724.9342916</v>
      </c>
      <c r="EO39" s="104">
        <f>EN39*(1+Supuestos!$B$5)</f>
        <v>221435125.37129879</v>
      </c>
      <c r="EP39" s="104">
        <f>EO39*(1+Supuestos!$B$5)</f>
        <v>223095888.81158355</v>
      </c>
      <c r="EQ39" s="104">
        <f>EP39*(1+Supuestos!$B$5)</f>
        <v>224769107.97767043</v>
      </c>
      <c r="ER39" s="104">
        <f>EQ39*(1+Supuestos!$B$5)</f>
        <v>226454876.28750297</v>
      </c>
      <c r="ES39" s="104">
        <f>ER39*(1+Supuestos!$B$5)</f>
        <v>228153287.85965925</v>
      </c>
      <c r="ET39" s="104">
        <f>ES39*(1+Supuestos!$B$5)</f>
        <v>229864437.51860672</v>
      </c>
      <c r="EU39" s="104">
        <f>ET39*(1+Supuestos!$B$5)</f>
        <v>231588420.79999629</v>
      </c>
      <c r="EV39" s="104">
        <f>EU39*(1+Supuestos!$B$5)</f>
        <v>233325333.95599627</v>
      </c>
      <c r="EW39" s="104">
        <f>EV39*(1+Supuestos!$B$5)</f>
        <v>235075273.96066627</v>
      </c>
      <c r="EX39" s="104">
        <f>EW39*(1+Supuestos!$B$5)</f>
        <v>236838338.51537129</v>
      </c>
      <c r="EY39" s="104">
        <f>EX39*(1+Supuestos!$B$5)</f>
        <v>238614626.05423659</v>
      </c>
      <c r="EZ39" s="104">
        <f>EY39*(1+Supuestos!$B$5)</f>
        <v>240404235.74964339</v>
      </c>
      <c r="FA39" s="104">
        <f>EZ39*(1+Supuestos!$B$5)</f>
        <v>242207267.51776573</v>
      </c>
    </row>
    <row r="40" spans="1:157" ht="15.75" customHeight="1" x14ac:dyDescent="0.2">
      <c r="A40" s="4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c r="BU40" s="104"/>
      <c r="BV40" s="104"/>
      <c r="BW40" s="104"/>
      <c r="BX40" s="104"/>
      <c r="BY40" s="104"/>
      <c r="BZ40" s="104"/>
      <c r="CA40" s="104"/>
      <c r="CB40" s="104"/>
      <c r="CC40" s="104"/>
      <c r="CD40" s="104"/>
      <c r="CE40" s="104"/>
      <c r="CF40" s="104"/>
      <c r="CG40" s="104"/>
      <c r="CH40" s="104"/>
      <c r="CI40" s="104"/>
      <c r="CJ40" s="104"/>
      <c r="CK40" s="104"/>
      <c r="CL40" s="104"/>
      <c r="CM40" s="104"/>
      <c r="CN40" s="104"/>
      <c r="CO40" s="104"/>
      <c r="CP40" s="104"/>
      <c r="CQ40" s="109"/>
      <c r="CR40" s="104"/>
      <c r="CS40" s="104"/>
      <c r="CT40" s="104"/>
      <c r="CU40" s="104"/>
      <c r="CV40" s="104"/>
      <c r="CW40" s="104"/>
      <c r="CX40" s="104"/>
      <c r="CY40" s="104"/>
      <c r="CZ40" s="104"/>
      <c r="DA40" s="104"/>
      <c r="DB40" s="104"/>
      <c r="DC40" s="110"/>
      <c r="DD40" s="104"/>
      <c r="DE40" s="104"/>
      <c r="DF40" s="104"/>
      <c r="DG40" s="104"/>
      <c r="DH40" s="104"/>
      <c r="DI40" s="104"/>
      <c r="DJ40" s="104"/>
      <c r="DK40" s="104"/>
      <c r="DL40" s="104"/>
      <c r="DM40" s="104"/>
      <c r="DN40" s="104"/>
      <c r="DO40" s="104"/>
      <c r="DP40" s="104"/>
      <c r="DQ40" s="104"/>
      <c r="DR40" s="104"/>
      <c r="DS40" s="104"/>
      <c r="DT40" s="104"/>
      <c r="DU40" s="104"/>
      <c r="DV40" s="104"/>
      <c r="DW40" s="104"/>
      <c r="DX40" s="104"/>
      <c r="DY40" s="104"/>
      <c r="DZ40" s="104"/>
      <c r="EA40" s="104"/>
      <c r="EB40" s="104"/>
      <c r="EC40" s="104"/>
      <c r="ED40" s="104"/>
      <c r="EE40" s="104"/>
      <c r="EF40" s="104"/>
      <c r="EG40" s="104"/>
      <c r="EH40" s="104"/>
      <c r="EI40" s="104"/>
      <c r="EJ40" s="104"/>
      <c r="EK40" s="104"/>
      <c r="EL40" s="104"/>
      <c r="EM40" s="104"/>
      <c r="EN40" s="104"/>
      <c r="EO40" s="104"/>
      <c r="EP40" s="104"/>
      <c r="EQ40" s="104"/>
      <c r="ER40" s="104"/>
      <c r="ES40" s="104"/>
      <c r="ET40" s="104"/>
      <c r="EU40" s="104"/>
      <c r="EV40" s="104"/>
      <c r="EW40" s="104"/>
      <c r="EX40" s="104"/>
      <c r="EY40" s="104"/>
      <c r="EZ40" s="104"/>
      <c r="FA40" s="104"/>
    </row>
    <row r="41" spans="1:157" ht="15.75" customHeight="1" x14ac:dyDescent="0.2">
      <c r="A41" s="44" t="s">
        <v>363</v>
      </c>
      <c r="B41" s="45" t="e">
        <f t="shared" ref="B41:CG41" si="14">#REF!</f>
        <v>#REF!</v>
      </c>
      <c r="C41" s="45" t="e">
        <f t="shared" si="14"/>
        <v>#REF!</v>
      </c>
      <c r="D41" s="45" t="e">
        <f t="shared" si="14"/>
        <v>#REF!</v>
      </c>
      <c r="E41" s="45" t="e">
        <f t="shared" si="14"/>
        <v>#REF!</v>
      </c>
      <c r="F41" s="45" t="e">
        <f t="shared" si="14"/>
        <v>#REF!</v>
      </c>
      <c r="G41" s="45" t="e">
        <f t="shared" si="14"/>
        <v>#REF!</v>
      </c>
      <c r="H41" s="45" t="e">
        <f t="shared" si="14"/>
        <v>#REF!</v>
      </c>
      <c r="I41" s="45" t="e">
        <f t="shared" si="14"/>
        <v>#REF!</v>
      </c>
      <c r="J41" s="45" t="e">
        <f t="shared" si="14"/>
        <v>#REF!</v>
      </c>
      <c r="K41" s="45" t="e">
        <f t="shared" si="14"/>
        <v>#REF!</v>
      </c>
      <c r="L41" s="45" t="e">
        <f t="shared" si="14"/>
        <v>#REF!</v>
      </c>
      <c r="M41" s="45" t="e">
        <f t="shared" si="14"/>
        <v>#REF!</v>
      </c>
      <c r="N41" s="45" t="e">
        <f t="shared" si="14"/>
        <v>#REF!</v>
      </c>
      <c r="O41" s="45" t="e">
        <f t="shared" si="14"/>
        <v>#REF!</v>
      </c>
      <c r="P41" s="45" t="e">
        <f t="shared" si="14"/>
        <v>#REF!</v>
      </c>
      <c r="Q41" s="45" t="e">
        <f t="shared" si="14"/>
        <v>#REF!</v>
      </c>
      <c r="R41" s="45" t="e">
        <f t="shared" si="14"/>
        <v>#REF!</v>
      </c>
      <c r="S41" s="45" t="e">
        <f t="shared" si="14"/>
        <v>#REF!</v>
      </c>
      <c r="T41" s="45" t="e">
        <f t="shared" si="14"/>
        <v>#REF!</v>
      </c>
      <c r="U41" s="45" t="e">
        <f t="shared" si="14"/>
        <v>#REF!</v>
      </c>
      <c r="V41" s="45" t="e">
        <f t="shared" si="14"/>
        <v>#REF!</v>
      </c>
      <c r="W41" s="45" t="e">
        <f t="shared" si="14"/>
        <v>#REF!</v>
      </c>
      <c r="X41" s="45" t="e">
        <f t="shared" si="14"/>
        <v>#REF!</v>
      </c>
      <c r="Y41" s="45" t="e">
        <f t="shared" si="14"/>
        <v>#REF!</v>
      </c>
      <c r="Z41" s="45" t="e">
        <f t="shared" si="14"/>
        <v>#REF!</v>
      </c>
      <c r="AA41" s="45" t="e">
        <f t="shared" si="14"/>
        <v>#REF!</v>
      </c>
      <c r="AB41" s="45" t="e">
        <f t="shared" si="14"/>
        <v>#REF!</v>
      </c>
      <c r="AC41" s="45" t="e">
        <f t="shared" si="14"/>
        <v>#REF!</v>
      </c>
      <c r="AD41" s="45" t="e">
        <f t="shared" si="14"/>
        <v>#REF!</v>
      </c>
      <c r="AE41" s="45" t="e">
        <f t="shared" si="14"/>
        <v>#REF!</v>
      </c>
      <c r="AF41" s="45" t="e">
        <f t="shared" si="14"/>
        <v>#REF!</v>
      </c>
      <c r="AG41" s="45" t="e">
        <f t="shared" si="14"/>
        <v>#REF!</v>
      </c>
      <c r="AH41" s="45" t="e">
        <f t="shared" si="14"/>
        <v>#REF!</v>
      </c>
      <c r="AI41" s="45" t="e">
        <f t="shared" si="14"/>
        <v>#REF!</v>
      </c>
      <c r="AJ41" s="45" t="e">
        <f t="shared" si="14"/>
        <v>#REF!</v>
      </c>
      <c r="AK41" s="45" t="e">
        <f t="shared" si="14"/>
        <v>#REF!</v>
      </c>
      <c r="AL41" s="45" t="e">
        <f t="shared" si="14"/>
        <v>#REF!</v>
      </c>
      <c r="AM41" s="45" t="e">
        <f t="shared" si="14"/>
        <v>#REF!</v>
      </c>
      <c r="AN41" s="45" t="e">
        <f t="shared" si="14"/>
        <v>#REF!</v>
      </c>
      <c r="AO41" s="45" t="e">
        <f t="shared" si="14"/>
        <v>#REF!</v>
      </c>
      <c r="AP41" s="45" t="e">
        <f t="shared" si="14"/>
        <v>#REF!</v>
      </c>
      <c r="AQ41" s="45" t="e">
        <f t="shared" si="14"/>
        <v>#REF!</v>
      </c>
      <c r="AR41" s="45" t="e">
        <f t="shared" si="14"/>
        <v>#REF!</v>
      </c>
      <c r="AS41" s="45" t="e">
        <f t="shared" si="14"/>
        <v>#REF!</v>
      </c>
      <c r="AT41" s="45" t="e">
        <f t="shared" si="14"/>
        <v>#REF!</v>
      </c>
      <c r="AU41" s="45" t="e">
        <f t="shared" si="14"/>
        <v>#REF!</v>
      </c>
      <c r="AV41" s="45" t="e">
        <f t="shared" si="14"/>
        <v>#REF!</v>
      </c>
      <c r="AW41" s="45" t="e">
        <f t="shared" si="14"/>
        <v>#REF!</v>
      </c>
      <c r="AX41" s="45" t="e">
        <f t="shared" si="14"/>
        <v>#REF!</v>
      </c>
      <c r="AY41" s="45" t="e">
        <f t="shared" si="14"/>
        <v>#REF!</v>
      </c>
      <c r="AZ41" s="45" t="e">
        <f t="shared" si="14"/>
        <v>#REF!</v>
      </c>
      <c r="BA41" s="45" t="e">
        <f t="shared" si="14"/>
        <v>#REF!</v>
      </c>
      <c r="BB41" s="45" t="e">
        <f t="shared" si="14"/>
        <v>#REF!</v>
      </c>
      <c r="BC41" s="45" t="e">
        <f t="shared" si="14"/>
        <v>#REF!</v>
      </c>
      <c r="BD41" s="45" t="e">
        <f t="shared" si="14"/>
        <v>#REF!</v>
      </c>
      <c r="BE41" s="45" t="e">
        <f t="shared" si="14"/>
        <v>#REF!</v>
      </c>
      <c r="BF41" s="45" t="e">
        <f t="shared" si="14"/>
        <v>#REF!</v>
      </c>
      <c r="BG41" s="45" t="e">
        <f t="shared" si="14"/>
        <v>#REF!</v>
      </c>
      <c r="BH41" s="45" t="e">
        <f t="shared" si="14"/>
        <v>#REF!</v>
      </c>
      <c r="BI41" s="45" t="e">
        <f t="shared" si="14"/>
        <v>#REF!</v>
      </c>
      <c r="BJ41" s="45" t="e">
        <f t="shared" si="14"/>
        <v>#REF!</v>
      </c>
      <c r="BK41" s="45" t="e">
        <f t="shared" si="14"/>
        <v>#REF!</v>
      </c>
      <c r="BL41" s="45" t="e">
        <f t="shared" si="14"/>
        <v>#REF!</v>
      </c>
      <c r="BM41" s="45" t="e">
        <f t="shared" si="14"/>
        <v>#REF!</v>
      </c>
      <c r="BN41" s="45" t="e">
        <f t="shared" si="14"/>
        <v>#REF!</v>
      </c>
      <c r="BO41" s="45" t="e">
        <f t="shared" si="14"/>
        <v>#REF!</v>
      </c>
      <c r="BP41" s="45" t="e">
        <f t="shared" si="14"/>
        <v>#REF!</v>
      </c>
      <c r="BQ41" s="45" t="e">
        <f t="shared" si="14"/>
        <v>#REF!</v>
      </c>
      <c r="BR41" s="45" t="e">
        <f t="shared" si="14"/>
        <v>#REF!</v>
      </c>
      <c r="BS41" s="45" t="e">
        <f t="shared" si="14"/>
        <v>#REF!</v>
      </c>
      <c r="BT41" s="45" t="e">
        <f t="shared" si="14"/>
        <v>#REF!</v>
      </c>
      <c r="BU41" s="45" t="e">
        <f t="shared" si="14"/>
        <v>#REF!</v>
      </c>
      <c r="BV41" s="45" t="e">
        <f t="shared" si="14"/>
        <v>#REF!</v>
      </c>
      <c r="BW41" s="45" t="e">
        <f t="shared" si="14"/>
        <v>#REF!</v>
      </c>
      <c r="BX41" s="45" t="e">
        <f t="shared" si="14"/>
        <v>#REF!</v>
      </c>
      <c r="BY41" s="45" t="e">
        <f t="shared" si="14"/>
        <v>#REF!</v>
      </c>
      <c r="BZ41" s="45" t="e">
        <f t="shared" si="14"/>
        <v>#REF!</v>
      </c>
      <c r="CA41" s="45" t="e">
        <f t="shared" si="14"/>
        <v>#REF!</v>
      </c>
      <c r="CB41" s="45" t="e">
        <f t="shared" si="14"/>
        <v>#REF!</v>
      </c>
      <c r="CC41" s="45" t="e">
        <f t="shared" si="14"/>
        <v>#REF!</v>
      </c>
      <c r="CD41" s="45" t="e">
        <f t="shared" si="14"/>
        <v>#REF!</v>
      </c>
      <c r="CE41" s="45" t="e">
        <f t="shared" si="14"/>
        <v>#REF!</v>
      </c>
      <c r="CF41" s="45" t="e">
        <f t="shared" si="14"/>
        <v>#REF!</v>
      </c>
      <c r="CG41" s="45" t="e">
        <f t="shared" si="14"/>
        <v>#REF!</v>
      </c>
      <c r="CH41" s="45">
        <v>1768075.2900307721</v>
      </c>
      <c r="CI41" s="45">
        <v>1763154.7004402282</v>
      </c>
      <c r="CJ41" s="45">
        <v>1777145.4136213979</v>
      </c>
      <c r="CK41" s="45">
        <v>1739061.5515464847</v>
      </c>
      <c r="CL41" s="45">
        <v>1774496.011684468</v>
      </c>
      <c r="CM41" s="45">
        <v>1822477.8388810463</v>
      </c>
      <c r="CN41" s="45">
        <v>1822048.227010221</v>
      </c>
      <c r="CO41" s="45">
        <v>1845706.6646474565</v>
      </c>
      <c r="CP41" s="45">
        <v>1900792.1339000501</v>
      </c>
      <c r="CQ41" s="114">
        <v>1960940.588562917</v>
      </c>
      <c r="CR41" s="45">
        <v>1906342.0430283644</v>
      </c>
      <c r="CS41" s="45">
        <v>1839633.0260793518</v>
      </c>
      <c r="CT41" s="45">
        <v>1775118.5464286448</v>
      </c>
      <c r="CU41" s="45">
        <v>1714457.1039545306</v>
      </c>
      <c r="CV41" s="45">
        <v>1654033.0001001921</v>
      </c>
      <c r="CW41" s="45">
        <v>1590068.8891455352</v>
      </c>
      <c r="CX41" s="45">
        <v>1527830.171700085</v>
      </c>
      <c r="CY41" s="45">
        <v>1472736.5599070736</v>
      </c>
      <c r="CZ41" s="45">
        <v>1417268.1973208813</v>
      </c>
      <c r="DA41" s="45">
        <v>1362504.8371593815</v>
      </c>
      <c r="DB41" s="45">
        <v>1302325.0058429621</v>
      </c>
      <c r="DC41" s="115">
        <v>1250933.8972737705</v>
      </c>
      <c r="DD41" s="45">
        <v>1200114.3414964965</v>
      </c>
      <c r="DE41" s="45">
        <v>1148636.2912069042</v>
      </c>
      <c r="DF41" s="45">
        <v>1096097.2899369563</v>
      </c>
      <c r="DG41" s="45">
        <v>1046781.719511282</v>
      </c>
      <c r="DH41" s="45">
        <v>997143.0520200741</v>
      </c>
      <c r="DI41" s="45">
        <v>949420.95405451441</v>
      </c>
      <c r="DJ41" s="45">
        <v>898511.00950465247</v>
      </c>
      <c r="DK41" s="45">
        <v>851307.46147420711</v>
      </c>
      <c r="DL41" s="45">
        <v>804443.16701047542</v>
      </c>
      <c r="DM41" s="45">
        <v>759598.87485351099</v>
      </c>
      <c r="DN41" s="45">
        <v>714397.10003492434</v>
      </c>
      <c r="DO41" s="45">
        <v>674054.03685454722</v>
      </c>
      <c r="DP41" s="45">
        <v>638904.53783065896</v>
      </c>
      <c r="DQ41" s="45">
        <v>605094.5105981665</v>
      </c>
      <c r="DR41" s="45">
        <v>573018.48763909354</v>
      </c>
      <c r="DS41" s="45">
        <v>539000.08850535948</v>
      </c>
      <c r="DT41" s="45">
        <v>506818.70467840665</v>
      </c>
      <c r="DU41" s="45">
        <v>474078.71416037885</v>
      </c>
      <c r="DV41" s="45">
        <v>443841.71728329174</v>
      </c>
      <c r="DW41" s="45">
        <v>417328.55370403139</v>
      </c>
      <c r="DX41" s="45">
        <v>390668.49941479188</v>
      </c>
      <c r="DY41" s="45">
        <v>365031.74433567683</v>
      </c>
      <c r="DZ41" s="45">
        <v>340875.57005025505</v>
      </c>
      <c r="EA41" s="45">
        <v>317056.14397217409</v>
      </c>
      <c r="EB41" s="45">
        <v>293063.58566967095</v>
      </c>
      <c r="EC41" s="45">
        <v>269691.38907715428</v>
      </c>
      <c r="ED41" s="45">
        <v>245791.93735678899</v>
      </c>
      <c r="EE41" s="45">
        <v>223052.04281001131</v>
      </c>
      <c r="EF41" s="45">
        <v>199280.66086098354</v>
      </c>
      <c r="EG41" s="45">
        <v>175223.14521393029</v>
      </c>
      <c r="EH41" s="45">
        <v>154387.93694914968</v>
      </c>
      <c r="EI41" s="45">
        <v>134592.19644459197</v>
      </c>
      <c r="EJ41" s="45">
        <v>113774.18247955356</v>
      </c>
      <c r="EK41" s="45">
        <v>94301.068196321488</v>
      </c>
      <c r="EL41" s="45">
        <v>79719.205833538173</v>
      </c>
      <c r="EM41" s="45">
        <v>65598.000377307224</v>
      </c>
      <c r="EN41" s="45">
        <v>53681.401869804118</v>
      </c>
      <c r="EO41" s="45">
        <v>41574.569063676536</v>
      </c>
      <c r="EP41" s="45">
        <v>33492.391830595836</v>
      </c>
      <c r="EQ41" s="45">
        <v>25411.323922753338</v>
      </c>
      <c r="ER41" s="45">
        <v>20018.910413524998</v>
      </c>
      <c r="ES41" s="45">
        <v>14964.742215890472</v>
      </c>
      <c r="ET41" s="45">
        <v>10582.338066749404</v>
      </c>
      <c r="EU41" s="45">
        <v>6532.8187171424079</v>
      </c>
      <c r="EV41" s="45">
        <v>4251.4751165744419</v>
      </c>
      <c r="EW41" s="45">
        <v>1287.8354799828151</v>
      </c>
      <c r="EX41" s="45">
        <v>278.70098627637157</v>
      </c>
      <c r="EY41" s="45">
        <v>0</v>
      </c>
      <c r="EZ41" s="45">
        <v>0</v>
      </c>
      <c r="FA41" s="45">
        <v>0</v>
      </c>
    </row>
    <row r="42" spans="1:157" ht="15.75" customHeight="1" x14ac:dyDescent="0.2">
      <c r="A42" s="44" t="s">
        <v>364</v>
      </c>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c r="BM42" s="45"/>
      <c r="BN42" s="45"/>
      <c r="BO42" s="45"/>
      <c r="BP42" s="45"/>
      <c r="BQ42" s="45"/>
      <c r="BR42" s="45"/>
      <c r="BS42" s="45"/>
      <c r="BT42" s="45"/>
      <c r="BU42" s="45"/>
      <c r="BV42" s="45"/>
      <c r="BW42" s="45"/>
      <c r="BX42" s="45"/>
      <c r="BY42" s="45"/>
      <c r="BZ42" s="45"/>
      <c r="CA42" s="45"/>
      <c r="CB42" s="45"/>
      <c r="CC42" s="45"/>
      <c r="CD42" s="45"/>
      <c r="CE42" s="45"/>
      <c r="CF42" s="45"/>
      <c r="CG42" s="45"/>
      <c r="CH42" s="45"/>
      <c r="CI42" s="45"/>
      <c r="CJ42" s="45"/>
      <c r="CK42" s="45"/>
      <c r="CL42" s="45"/>
      <c r="CM42" s="45"/>
      <c r="CN42" s="45"/>
      <c r="CO42" s="45"/>
      <c r="CP42" s="45"/>
      <c r="CQ42" s="114"/>
      <c r="CR42" s="45">
        <v>88297.018336040826</v>
      </c>
      <c r="CS42" s="45">
        <v>174527.98988233489</v>
      </c>
      <c r="CT42" s="45">
        <v>258792.97516973838</v>
      </c>
      <c r="CU42" s="45">
        <v>341815.62439078611</v>
      </c>
      <c r="CV42" s="45">
        <v>425463.36572995572</v>
      </c>
      <c r="CW42" s="45">
        <v>509193.4035475764</v>
      </c>
      <c r="CX42" s="45">
        <v>590180.63843410625</v>
      </c>
      <c r="CY42" s="45">
        <v>669102.77378882444</v>
      </c>
      <c r="CZ42" s="45">
        <v>748357.31162180158</v>
      </c>
      <c r="DA42" s="45">
        <v>828403.7201961074</v>
      </c>
      <c r="DB42" s="45">
        <v>906332.54282555159</v>
      </c>
      <c r="DC42" s="115">
        <v>982941.87631329615</v>
      </c>
      <c r="DD42" s="45">
        <v>1060149.5866088395</v>
      </c>
      <c r="DE42" s="45">
        <v>1137895.726190361</v>
      </c>
      <c r="DF42" s="45">
        <v>1214149.1301485791</v>
      </c>
      <c r="DG42" s="45">
        <v>1290888.8465494646</v>
      </c>
      <c r="DH42" s="45">
        <v>1367662.8709388517</v>
      </c>
      <c r="DI42" s="45">
        <v>1446058.044659693</v>
      </c>
      <c r="DJ42" s="45">
        <v>1521581.8621165485</v>
      </c>
      <c r="DK42" s="45">
        <v>1596667.5701645028</v>
      </c>
      <c r="DL42" s="45">
        <v>1669504.2624021517</v>
      </c>
      <c r="DM42" s="45">
        <v>1740821.0592612289</v>
      </c>
      <c r="DN42" s="45">
        <v>1804593.5072656518</v>
      </c>
      <c r="DO42" s="45">
        <v>1864836.0846672226</v>
      </c>
      <c r="DP42" s="45">
        <v>1927161.5305216173</v>
      </c>
      <c r="DQ42" s="45">
        <v>1989026.3113527407</v>
      </c>
      <c r="DR42" s="45">
        <v>2054144.8749463896</v>
      </c>
      <c r="DS42" s="45">
        <v>2114851.9055489968</v>
      </c>
      <c r="DT42" s="45">
        <v>2176481.568630266</v>
      </c>
      <c r="DU42" s="45">
        <v>2231480.4192998754</v>
      </c>
      <c r="DV42" s="45">
        <v>2283509.4721079376</v>
      </c>
      <c r="DW42" s="45">
        <v>2341849.5597064523</v>
      </c>
      <c r="DX42" s="45">
        <v>2397629.5068234676</v>
      </c>
      <c r="DY42" s="45">
        <v>2454029.9183581457</v>
      </c>
      <c r="DZ42" s="45">
        <v>2515419.9299973706</v>
      </c>
      <c r="EA42" s="45">
        <v>2579641.7344835531</v>
      </c>
      <c r="EB42" s="45">
        <v>2644533.003942152</v>
      </c>
      <c r="EC42" s="45">
        <v>2714664.9849281781</v>
      </c>
      <c r="ED42" s="45">
        <v>2783747.6689157542</v>
      </c>
      <c r="EE42" s="45">
        <v>2863546.7871954925</v>
      </c>
      <c r="EF42" s="45">
        <v>2938930.2777319024</v>
      </c>
      <c r="EG42" s="45">
        <v>3001104.7506293082</v>
      </c>
      <c r="EH42" s="45">
        <v>3083678.248109628</v>
      </c>
      <c r="EI42" s="45">
        <v>3181528.8540403508</v>
      </c>
      <c r="EJ42" s="45">
        <v>3252400.299174292</v>
      </c>
      <c r="EK42" s="45">
        <v>3291915.5502853398</v>
      </c>
      <c r="EL42" s="45">
        <v>3383950.3163401098</v>
      </c>
      <c r="EM42" s="45">
        <v>3456457.7623968073</v>
      </c>
      <c r="EN42" s="45">
        <v>3555700.8323954823</v>
      </c>
      <c r="EO42" s="45">
        <v>3559113.0445306059</v>
      </c>
      <c r="EP42" s="45">
        <v>3667604.1506741871</v>
      </c>
      <c r="EQ42" s="45">
        <v>3682420.7094302182</v>
      </c>
      <c r="ER42" s="45">
        <v>3830386.6379408245</v>
      </c>
      <c r="ES42" s="45">
        <v>4000785.2953487001</v>
      </c>
      <c r="ET42" s="45">
        <v>4252923.4634103961</v>
      </c>
      <c r="EU42" s="45">
        <v>4436639.946298073</v>
      </c>
      <c r="EV42" s="45">
        <v>5305705.8947735233</v>
      </c>
      <c r="EW42" s="45">
        <v>5731193.5425780741</v>
      </c>
      <c r="EX42" s="45">
        <v>6186227.5328160385</v>
      </c>
      <c r="EY42" s="45">
        <v>0</v>
      </c>
      <c r="EZ42" s="45">
        <v>0</v>
      </c>
      <c r="FA42" s="45">
        <v>0</v>
      </c>
    </row>
    <row r="43" spans="1:157" ht="15.75" customHeight="1" x14ac:dyDescent="0.2">
      <c r="A43" s="44" t="s">
        <v>365</v>
      </c>
      <c r="B43" s="45" t="e">
        <f t="shared" ref="B43:CG43" si="15">#REF!</f>
        <v>#REF!</v>
      </c>
      <c r="C43" s="45" t="e">
        <f t="shared" si="15"/>
        <v>#REF!</v>
      </c>
      <c r="D43" s="45" t="e">
        <f t="shared" si="15"/>
        <v>#REF!</v>
      </c>
      <c r="E43" s="45" t="e">
        <f t="shared" si="15"/>
        <v>#REF!</v>
      </c>
      <c r="F43" s="45" t="e">
        <f t="shared" si="15"/>
        <v>#REF!</v>
      </c>
      <c r="G43" s="45" t="e">
        <f t="shared" si="15"/>
        <v>#REF!</v>
      </c>
      <c r="H43" s="45" t="e">
        <f t="shared" si="15"/>
        <v>#REF!</v>
      </c>
      <c r="I43" s="45" t="e">
        <f t="shared" si="15"/>
        <v>#REF!</v>
      </c>
      <c r="J43" s="45" t="e">
        <f t="shared" si="15"/>
        <v>#REF!</v>
      </c>
      <c r="K43" s="45" t="e">
        <f t="shared" si="15"/>
        <v>#REF!</v>
      </c>
      <c r="L43" s="45" t="e">
        <f t="shared" si="15"/>
        <v>#REF!</v>
      </c>
      <c r="M43" s="45" t="e">
        <f t="shared" si="15"/>
        <v>#REF!</v>
      </c>
      <c r="N43" s="45" t="e">
        <f t="shared" si="15"/>
        <v>#REF!</v>
      </c>
      <c r="O43" s="45" t="e">
        <f t="shared" si="15"/>
        <v>#REF!</v>
      </c>
      <c r="P43" s="45" t="e">
        <f t="shared" si="15"/>
        <v>#REF!</v>
      </c>
      <c r="Q43" s="45" t="e">
        <f t="shared" si="15"/>
        <v>#REF!</v>
      </c>
      <c r="R43" s="45" t="e">
        <f t="shared" si="15"/>
        <v>#REF!</v>
      </c>
      <c r="S43" s="45" t="e">
        <f t="shared" si="15"/>
        <v>#REF!</v>
      </c>
      <c r="T43" s="45" t="e">
        <f t="shared" si="15"/>
        <v>#REF!</v>
      </c>
      <c r="U43" s="45" t="e">
        <f t="shared" si="15"/>
        <v>#REF!</v>
      </c>
      <c r="V43" s="45" t="e">
        <f t="shared" si="15"/>
        <v>#REF!</v>
      </c>
      <c r="W43" s="45" t="e">
        <f t="shared" si="15"/>
        <v>#REF!</v>
      </c>
      <c r="X43" s="45" t="e">
        <f t="shared" si="15"/>
        <v>#REF!</v>
      </c>
      <c r="Y43" s="45" t="e">
        <f t="shared" si="15"/>
        <v>#REF!</v>
      </c>
      <c r="Z43" s="45" t="e">
        <f t="shared" si="15"/>
        <v>#REF!</v>
      </c>
      <c r="AA43" s="45" t="e">
        <f t="shared" si="15"/>
        <v>#REF!</v>
      </c>
      <c r="AB43" s="45" t="e">
        <f t="shared" si="15"/>
        <v>#REF!</v>
      </c>
      <c r="AC43" s="45" t="e">
        <f t="shared" si="15"/>
        <v>#REF!</v>
      </c>
      <c r="AD43" s="45" t="e">
        <f t="shared" si="15"/>
        <v>#REF!</v>
      </c>
      <c r="AE43" s="45" t="e">
        <f t="shared" si="15"/>
        <v>#REF!</v>
      </c>
      <c r="AF43" s="45" t="e">
        <f t="shared" si="15"/>
        <v>#REF!</v>
      </c>
      <c r="AG43" s="45" t="e">
        <f t="shared" si="15"/>
        <v>#REF!</v>
      </c>
      <c r="AH43" s="45" t="e">
        <f t="shared" si="15"/>
        <v>#REF!</v>
      </c>
      <c r="AI43" s="45" t="e">
        <f t="shared" si="15"/>
        <v>#REF!</v>
      </c>
      <c r="AJ43" s="45" t="e">
        <f t="shared" si="15"/>
        <v>#REF!</v>
      </c>
      <c r="AK43" s="45" t="e">
        <f t="shared" si="15"/>
        <v>#REF!</v>
      </c>
      <c r="AL43" s="45" t="e">
        <f t="shared" si="15"/>
        <v>#REF!</v>
      </c>
      <c r="AM43" s="45" t="e">
        <f t="shared" si="15"/>
        <v>#REF!</v>
      </c>
      <c r="AN43" s="45" t="e">
        <f t="shared" si="15"/>
        <v>#REF!</v>
      </c>
      <c r="AO43" s="45" t="e">
        <f t="shared" si="15"/>
        <v>#REF!</v>
      </c>
      <c r="AP43" s="45" t="e">
        <f t="shared" si="15"/>
        <v>#REF!</v>
      </c>
      <c r="AQ43" s="45" t="e">
        <f t="shared" si="15"/>
        <v>#REF!</v>
      </c>
      <c r="AR43" s="45" t="e">
        <f t="shared" si="15"/>
        <v>#REF!</v>
      </c>
      <c r="AS43" s="45" t="e">
        <f t="shared" si="15"/>
        <v>#REF!</v>
      </c>
      <c r="AT43" s="45" t="e">
        <f t="shared" si="15"/>
        <v>#REF!</v>
      </c>
      <c r="AU43" s="45" t="e">
        <f t="shared" si="15"/>
        <v>#REF!</v>
      </c>
      <c r="AV43" s="45" t="e">
        <f t="shared" si="15"/>
        <v>#REF!</v>
      </c>
      <c r="AW43" s="45" t="e">
        <f t="shared" si="15"/>
        <v>#REF!</v>
      </c>
      <c r="AX43" s="45" t="e">
        <f t="shared" si="15"/>
        <v>#REF!</v>
      </c>
      <c r="AY43" s="45" t="e">
        <f t="shared" si="15"/>
        <v>#REF!</v>
      </c>
      <c r="AZ43" s="45" t="e">
        <f t="shared" si="15"/>
        <v>#REF!</v>
      </c>
      <c r="BA43" s="45" t="e">
        <f t="shared" si="15"/>
        <v>#REF!</v>
      </c>
      <c r="BB43" s="45" t="e">
        <f t="shared" si="15"/>
        <v>#REF!</v>
      </c>
      <c r="BC43" s="45" t="e">
        <f t="shared" si="15"/>
        <v>#REF!</v>
      </c>
      <c r="BD43" s="45" t="e">
        <f t="shared" si="15"/>
        <v>#REF!</v>
      </c>
      <c r="BE43" s="45" t="e">
        <f t="shared" si="15"/>
        <v>#REF!</v>
      </c>
      <c r="BF43" s="45" t="e">
        <f t="shared" si="15"/>
        <v>#REF!</v>
      </c>
      <c r="BG43" s="45" t="e">
        <f t="shared" si="15"/>
        <v>#REF!</v>
      </c>
      <c r="BH43" s="45" t="e">
        <f t="shared" si="15"/>
        <v>#REF!</v>
      </c>
      <c r="BI43" s="45" t="e">
        <f t="shared" si="15"/>
        <v>#REF!</v>
      </c>
      <c r="BJ43" s="45" t="e">
        <f t="shared" si="15"/>
        <v>#REF!</v>
      </c>
      <c r="BK43" s="45" t="e">
        <f t="shared" si="15"/>
        <v>#REF!</v>
      </c>
      <c r="BL43" s="45" t="e">
        <f t="shared" si="15"/>
        <v>#REF!</v>
      </c>
      <c r="BM43" s="45" t="e">
        <f t="shared" si="15"/>
        <v>#REF!</v>
      </c>
      <c r="BN43" s="45" t="e">
        <f t="shared" si="15"/>
        <v>#REF!</v>
      </c>
      <c r="BO43" s="45" t="e">
        <f t="shared" si="15"/>
        <v>#REF!</v>
      </c>
      <c r="BP43" s="45" t="e">
        <f t="shared" si="15"/>
        <v>#REF!</v>
      </c>
      <c r="BQ43" s="45" t="e">
        <f t="shared" si="15"/>
        <v>#REF!</v>
      </c>
      <c r="BR43" s="45" t="e">
        <f t="shared" si="15"/>
        <v>#REF!</v>
      </c>
      <c r="BS43" s="45" t="e">
        <f t="shared" si="15"/>
        <v>#REF!</v>
      </c>
      <c r="BT43" s="45" t="e">
        <f t="shared" si="15"/>
        <v>#REF!</v>
      </c>
      <c r="BU43" s="45" t="e">
        <f t="shared" si="15"/>
        <v>#REF!</v>
      </c>
      <c r="BV43" s="45" t="e">
        <f t="shared" si="15"/>
        <v>#REF!</v>
      </c>
      <c r="BW43" s="45" t="e">
        <f t="shared" si="15"/>
        <v>#REF!</v>
      </c>
      <c r="BX43" s="45" t="e">
        <f t="shared" si="15"/>
        <v>#REF!</v>
      </c>
      <c r="BY43" s="45" t="e">
        <f t="shared" si="15"/>
        <v>#REF!</v>
      </c>
      <c r="BZ43" s="45" t="e">
        <f t="shared" si="15"/>
        <v>#REF!</v>
      </c>
      <c r="CA43" s="45" t="e">
        <f t="shared" si="15"/>
        <v>#REF!</v>
      </c>
      <c r="CB43" s="45" t="e">
        <f t="shared" si="15"/>
        <v>#REF!</v>
      </c>
      <c r="CC43" s="45" t="e">
        <f t="shared" si="15"/>
        <v>#REF!</v>
      </c>
      <c r="CD43" s="45" t="e">
        <f t="shared" si="15"/>
        <v>#REF!</v>
      </c>
      <c r="CE43" s="45" t="e">
        <f t="shared" si="15"/>
        <v>#REF!</v>
      </c>
      <c r="CF43" s="45" t="e">
        <f t="shared" si="15"/>
        <v>#REF!</v>
      </c>
      <c r="CG43" s="45" t="e">
        <f t="shared" si="15"/>
        <v>#REF!</v>
      </c>
      <c r="CH43" s="45">
        <v>4449255.6607651645</v>
      </c>
      <c r="CI43" s="45">
        <v>4531168.7050310727</v>
      </c>
      <c r="CJ43" s="45">
        <v>4367087.871988235</v>
      </c>
      <c r="CK43" s="45">
        <v>4390081.8724032231</v>
      </c>
      <c r="CL43" s="45">
        <v>4625890.7443769071</v>
      </c>
      <c r="CM43" s="45">
        <v>4646292.0741459886</v>
      </c>
      <c r="CN43" s="45">
        <v>4517340.9431641353</v>
      </c>
      <c r="CO43" s="45">
        <v>4404922.1242830483</v>
      </c>
      <c r="CP43" s="45">
        <v>4129037.2214351529</v>
      </c>
      <c r="CQ43" s="114">
        <v>4363473.6487971656</v>
      </c>
      <c r="CR43" s="45">
        <v>4229969.465513112</v>
      </c>
      <c r="CS43" s="45">
        <v>4091089.3401948772</v>
      </c>
      <c r="CT43" s="45">
        <v>3972099.5239191013</v>
      </c>
      <c r="CU43" s="45">
        <v>3973286.8536057533</v>
      </c>
      <c r="CV43" s="45">
        <v>4001159.3519407283</v>
      </c>
      <c r="CW43" s="45">
        <v>3838666.5837787888</v>
      </c>
      <c r="CX43" s="45">
        <v>3608253.2746176622</v>
      </c>
      <c r="CY43" s="45">
        <v>3603362.0476342435</v>
      </c>
      <c r="CZ43" s="45">
        <v>3592663.1967317024</v>
      </c>
      <c r="DA43" s="45">
        <v>3623515.5943239289</v>
      </c>
      <c r="DB43" s="45">
        <v>3343630.6862744777</v>
      </c>
      <c r="DC43" s="115">
        <v>3321386.7364426819</v>
      </c>
      <c r="DD43" s="45">
        <v>3330062.9527288247</v>
      </c>
      <c r="DE43" s="45">
        <v>3294329.1132664718</v>
      </c>
      <c r="DF43" s="45">
        <v>3183823.037844691</v>
      </c>
      <c r="DG43" s="45">
        <v>3169494.7818025374</v>
      </c>
      <c r="DH43" s="45">
        <v>3114970.3800863838</v>
      </c>
      <c r="DI43" s="45">
        <v>3138325.8359807618</v>
      </c>
      <c r="DJ43" s="45">
        <v>2970748.8032493712</v>
      </c>
      <c r="DK43" s="45">
        <v>2891663.2398303212</v>
      </c>
      <c r="DL43" s="45">
        <v>2765671.4509739699</v>
      </c>
      <c r="DM43" s="45">
        <v>2638157.0831914507</v>
      </c>
      <c r="DN43" s="45">
        <v>2374448.9317286117</v>
      </c>
      <c r="DO43" s="45">
        <v>2174626.6708527706</v>
      </c>
      <c r="DP43" s="45">
        <v>2094404.0375299826</v>
      </c>
      <c r="DQ43" s="45">
        <v>2043337.8375246155</v>
      </c>
      <c r="DR43" s="45">
        <v>2061517.6340326779</v>
      </c>
      <c r="DS43" s="45">
        <v>1975058.9477491654</v>
      </c>
      <c r="DT43" s="45">
        <v>1920952.5543479107</v>
      </c>
      <c r="DU43" s="45">
        <v>1768862.935822235</v>
      </c>
      <c r="DV43" s="45">
        <v>1638640.4957465674</v>
      </c>
      <c r="DW43" s="45">
        <v>1612618.9431361658</v>
      </c>
      <c r="DX43" s="45">
        <v>1557049.2374172886</v>
      </c>
      <c r="DY43" s="45">
        <v>1506060.0245328345</v>
      </c>
      <c r="DZ43" s="45">
        <v>1490458.1988337396</v>
      </c>
      <c r="EA43" s="45">
        <v>1484449.6724299612</v>
      </c>
      <c r="EB43" s="45">
        <v>1460153.9125646809</v>
      </c>
      <c r="EC43" s="45">
        <v>1459272.8027034625</v>
      </c>
      <c r="ED43" s="45">
        <v>1421079.9063679033</v>
      </c>
      <c r="EE43" s="45">
        <v>1428152.7533641185</v>
      </c>
      <c r="EF43" s="45">
        <v>1378277.9090982673</v>
      </c>
      <c r="EG43" s="45">
        <v>1251327.503697172</v>
      </c>
      <c r="EH43" s="45">
        <v>1202683.5791163996</v>
      </c>
      <c r="EI43" s="45">
        <v>1168894.0204809336</v>
      </c>
      <c r="EJ43" s="45">
        <v>1036366.043810452</v>
      </c>
      <c r="EK43" s="45">
        <v>848260.40633218759</v>
      </c>
      <c r="EL43" s="45">
        <v>780926.89152468252</v>
      </c>
      <c r="EM43" s="45">
        <v>674671.71848357283</v>
      </c>
      <c r="EN43" s="45">
        <v>605870.5864991569</v>
      </c>
      <c r="EO43" s="45">
        <v>458129.48167602712</v>
      </c>
      <c r="EP43" s="45">
        <v>408127.80484671658</v>
      </c>
      <c r="EQ43" s="45">
        <v>310073.21114491019</v>
      </c>
      <c r="ER43" s="45">
        <v>279905.64644484338</v>
      </c>
      <c r="ES43" s="45">
        <v>239694.05380010008</v>
      </c>
      <c r="ET43" s="45">
        <v>197469.28885116716</v>
      </c>
      <c r="EU43" s="45">
        <v>132104.55515588168</v>
      </c>
      <c r="EV43" s="45">
        <v>115375.00886782263</v>
      </c>
      <c r="EW43" s="45">
        <v>36302.851208305481</v>
      </c>
      <c r="EX43" s="45">
        <v>9208.8492806969443</v>
      </c>
      <c r="EY43" s="45">
        <v>0</v>
      </c>
      <c r="EZ43" s="45">
        <v>0</v>
      </c>
      <c r="FA43" s="45">
        <v>0</v>
      </c>
    </row>
    <row r="44" spans="1:157" ht="15.75" customHeight="1" x14ac:dyDescent="0.2">
      <c r="A44" s="44" t="s">
        <v>366</v>
      </c>
      <c r="B44" s="104" t="e">
        <f t="shared" ref="B44:FA44" si="16">SUM(B41:B43)</f>
        <v>#REF!</v>
      </c>
      <c r="C44" s="104" t="e">
        <f t="shared" si="16"/>
        <v>#REF!</v>
      </c>
      <c r="D44" s="104" t="e">
        <f t="shared" si="16"/>
        <v>#REF!</v>
      </c>
      <c r="E44" s="104" t="e">
        <f t="shared" si="16"/>
        <v>#REF!</v>
      </c>
      <c r="F44" s="104" t="e">
        <f t="shared" si="16"/>
        <v>#REF!</v>
      </c>
      <c r="G44" s="104" t="e">
        <f t="shared" si="16"/>
        <v>#REF!</v>
      </c>
      <c r="H44" s="104" t="e">
        <f t="shared" si="16"/>
        <v>#REF!</v>
      </c>
      <c r="I44" s="104" t="e">
        <f t="shared" si="16"/>
        <v>#REF!</v>
      </c>
      <c r="J44" s="104" t="e">
        <f t="shared" si="16"/>
        <v>#REF!</v>
      </c>
      <c r="K44" s="104" t="e">
        <f t="shared" si="16"/>
        <v>#REF!</v>
      </c>
      <c r="L44" s="104" t="e">
        <f t="shared" si="16"/>
        <v>#REF!</v>
      </c>
      <c r="M44" s="104" t="e">
        <f t="shared" si="16"/>
        <v>#REF!</v>
      </c>
      <c r="N44" s="104" t="e">
        <f t="shared" si="16"/>
        <v>#REF!</v>
      </c>
      <c r="O44" s="104" t="e">
        <f t="shared" si="16"/>
        <v>#REF!</v>
      </c>
      <c r="P44" s="104" t="e">
        <f t="shared" si="16"/>
        <v>#REF!</v>
      </c>
      <c r="Q44" s="104" t="e">
        <f t="shared" si="16"/>
        <v>#REF!</v>
      </c>
      <c r="R44" s="104" t="e">
        <f t="shared" si="16"/>
        <v>#REF!</v>
      </c>
      <c r="S44" s="104" t="e">
        <f t="shared" si="16"/>
        <v>#REF!</v>
      </c>
      <c r="T44" s="104" t="e">
        <f t="shared" si="16"/>
        <v>#REF!</v>
      </c>
      <c r="U44" s="104" t="e">
        <f t="shared" si="16"/>
        <v>#REF!</v>
      </c>
      <c r="V44" s="104" t="e">
        <f t="shared" si="16"/>
        <v>#REF!</v>
      </c>
      <c r="W44" s="104" t="e">
        <f t="shared" si="16"/>
        <v>#REF!</v>
      </c>
      <c r="X44" s="104" t="e">
        <f t="shared" si="16"/>
        <v>#REF!</v>
      </c>
      <c r="Y44" s="104" t="e">
        <f t="shared" si="16"/>
        <v>#REF!</v>
      </c>
      <c r="Z44" s="104" t="e">
        <f t="shared" si="16"/>
        <v>#REF!</v>
      </c>
      <c r="AA44" s="104" t="e">
        <f t="shared" si="16"/>
        <v>#REF!</v>
      </c>
      <c r="AB44" s="104" t="e">
        <f t="shared" si="16"/>
        <v>#REF!</v>
      </c>
      <c r="AC44" s="104" t="e">
        <f t="shared" si="16"/>
        <v>#REF!</v>
      </c>
      <c r="AD44" s="104" t="e">
        <f t="shared" si="16"/>
        <v>#REF!</v>
      </c>
      <c r="AE44" s="104" t="e">
        <f t="shared" si="16"/>
        <v>#REF!</v>
      </c>
      <c r="AF44" s="104" t="e">
        <f t="shared" si="16"/>
        <v>#REF!</v>
      </c>
      <c r="AG44" s="104" t="e">
        <f t="shared" si="16"/>
        <v>#REF!</v>
      </c>
      <c r="AH44" s="104" t="e">
        <f t="shared" si="16"/>
        <v>#REF!</v>
      </c>
      <c r="AI44" s="104" t="e">
        <f t="shared" si="16"/>
        <v>#REF!</v>
      </c>
      <c r="AJ44" s="104" t="e">
        <f t="shared" si="16"/>
        <v>#REF!</v>
      </c>
      <c r="AK44" s="104" t="e">
        <f t="shared" si="16"/>
        <v>#REF!</v>
      </c>
      <c r="AL44" s="104" t="e">
        <f t="shared" si="16"/>
        <v>#REF!</v>
      </c>
      <c r="AM44" s="104" t="e">
        <f t="shared" si="16"/>
        <v>#REF!</v>
      </c>
      <c r="AN44" s="104" t="e">
        <f t="shared" si="16"/>
        <v>#REF!</v>
      </c>
      <c r="AO44" s="104" t="e">
        <f t="shared" si="16"/>
        <v>#REF!</v>
      </c>
      <c r="AP44" s="104" t="e">
        <f t="shared" si="16"/>
        <v>#REF!</v>
      </c>
      <c r="AQ44" s="104" t="e">
        <f t="shared" si="16"/>
        <v>#REF!</v>
      </c>
      <c r="AR44" s="104" t="e">
        <f t="shared" si="16"/>
        <v>#REF!</v>
      </c>
      <c r="AS44" s="104" t="e">
        <f t="shared" si="16"/>
        <v>#REF!</v>
      </c>
      <c r="AT44" s="104" t="e">
        <f t="shared" si="16"/>
        <v>#REF!</v>
      </c>
      <c r="AU44" s="104" t="e">
        <f t="shared" si="16"/>
        <v>#REF!</v>
      </c>
      <c r="AV44" s="104" t="e">
        <f t="shared" si="16"/>
        <v>#REF!</v>
      </c>
      <c r="AW44" s="104" t="e">
        <f t="shared" si="16"/>
        <v>#REF!</v>
      </c>
      <c r="AX44" s="104" t="e">
        <f t="shared" si="16"/>
        <v>#REF!</v>
      </c>
      <c r="AY44" s="104" t="e">
        <f t="shared" si="16"/>
        <v>#REF!</v>
      </c>
      <c r="AZ44" s="104" t="e">
        <f t="shared" si="16"/>
        <v>#REF!</v>
      </c>
      <c r="BA44" s="104" t="e">
        <f t="shared" si="16"/>
        <v>#REF!</v>
      </c>
      <c r="BB44" s="104" t="e">
        <f t="shared" si="16"/>
        <v>#REF!</v>
      </c>
      <c r="BC44" s="104" t="e">
        <f t="shared" si="16"/>
        <v>#REF!</v>
      </c>
      <c r="BD44" s="104" t="e">
        <f t="shared" si="16"/>
        <v>#REF!</v>
      </c>
      <c r="BE44" s="104" t="e">
        <f t="shared" si="16"/>
        <v>#REF!</v>
      </c>
      <c r="BF44" s="104" t="e">
        <f t="shared" si="16"/>
        <v>#REF!</v>
      </c>
      <c r="BG44" s="104" t="e">
        <f t="shared" si="16"/>
        <v>#REF!</v>
      </c>
      <c r="BH44" s="104" t="e">
        <f t="shared" si="16"/>
        <v>#REF!</v>
      </c>
      <c r="BI44" s="104" t="e">
        <f t="shared" si="16"/>
        <v>#REF!</v>
      </c>
      <c r="BJ44" s="104" t="e">
        <f t="shared" si="16"/>
        <v>#REF!</v>
      </c>
      <c r="BK44" s="104" t="e">
        <f t="shared" si="16"/>
        <v>#REF!</v>
      </c>
      <c r="BL44" s="104" t="e">
        <f t="shared" si="16"/>
        <v>#REF!</v>
      </c>
      <c r="BM44" s="104" t="e">
        <f t="shared" si="16"/>
        <v>#REF!</v>
      </c>
      <c r="BN44" s="104" t="e">
        <f t="shared" si="16"/>
        <v>#REF!</v>
      </c>
      <c r="BO44" s="104" t="e">
        <f t="shared" si="16"/>
        <v>#REF!</v>
      </c>
      <c r="BP44" s="104" t="e">
        <f t="shared" si="16"/>
        <v>#REF!</v>
      </c>
      <c r="BQ44" s="104" t="e">
        <f t="shared" si="16"/>
        <v>#REF!</v>
      </c>
      <c r="BR44" s="104" t="e">
        <f t="shared" si="16"/>
        <v>#REF!</v>
      </c>
      <c r="BS44" s="104" t="e">
        <f t="shared" si="16"/>
        <v>#REF!</v>
      </c>
      <c r="BT44" s="104" t="e">
        <f t="shared" si="16"/>
        <v>#REF!</v>
      </c>
      <c r="BU44" s="104" t="e">
        <f t="shared" si="16"/>
        <v>#REF!</v>
      </c>
      <c r="BV44" s="104" t="e">
        <f t="shared" si="16"/>
        <v>#REF!</v>
      </c>
      <c r="BW44" s="104" t="e">
        <f t="shared" si="16"/>
        <v>#REF!</v>
      </c>
      <c r="BX44" s="104" t="e">
        <f t="shared" si="16"/>
        <v>#REF!</v>
      </c>
      <c r="BY44" s="104" t="e">
        <f t="shared" si="16"/>
        <v>#REF!</v>
      </c>
      <c r="BZ44" s="104" t="e">
        <f t="shared" si="16"/>
        <v>#REF!</v>
      </c>
      <c r="CA44" s="104" t="e">
        <f t="shared" si="16"/>
        <v>#REF!</v>
      </c>
      <c r="CB44" s="104" t="e">
        <f t="shared" si="16"/>
        <v>#REF!</v>
      </c>
      <c r="CC44" s="104" t="e">
        <f t="shared" si="16"/>
        <v>#REF!</v>
      </c>
      <c r="CD44" s="104" t="e">
        <f t="shared" si="16"/>
        <v>#REF!</v>
      </c>
      <c r="CE44" s="104" t="e">
        <f t="shared" si="16"/>
        <v>#REF!</v>
      </c>
      <c r="CF44" s="104" t="e">
        <f t="shared" si="16"/>
        <v>#REF!</v>
      </c>
      <c r="CG44" s="104" t="e">
        <f t="shared" si="16"/>
        <v>#REF!</v>
      </c>
      <c r="CH44" s="104">
        <f t="shared" si="16"/>
        <v>6217330.9507959364</v>
      </c>
      <c r="CI44" s="104">
        <f t="shared" si="16"/>
        <v>6294323.4054713007</v>
      </c>
      <c r="CJ44" s="104">
        <f t="shared" si="16"/>
        <v>6144233.2856096327</v>
      </c>
      <c r="CK44" s="104">
        <f t="shared" si="16"/>
        <v>6129143.4239497073</v>
      </c>
      <c r="CL44" s="104">
        <f t="shared" si="16"/>
        <v>6400386.7560613751</v>
      </c>
      <c r="CM44" s="104">
        <f t="shared" si="16"/>
        <v>6468769.9130270351</v>
      </c>
      <c r="CN44" s="104">
        <f t="shared" si="16"/>
        <v>6339389.1701743565</v>
      </c>
      <c r="CO44" s="104">
        <f t="shared" si="16"/>
        <v>6250628.7889305046</v>
      </c>
      <c r="CP44" s="104">
        <f t="shared" si="16"/>
        <v>6029829.355335203</v>
      </c>
      <c r="CQ44" s="109">
        <f t="shared" si="16"/>
        <v>6324414.2373600826</v>
      </c>
      <c r="CR44" s="104">
        <f t="shared" si="16"/>
        <v>6224608.5268775169</v>
      </c>
      <c r="CS44" s="104">
        <f t="shared" si="16"/>
        <v>6105250.3561565634</v>
      </c>
      <c r="CT44" s="104">
        <f t="shared" si="16"/>
        <v>6006011.0455174847</v>
      </c>
      <c r="CU44" s="104">
        <f t="shared" si="16"/>
        <v>6029559.5819510696</v>
      </c>
      <c r="CV44" s="104">
        <f t="shared" si="16"/>
        <v>6080655.7177708764</v>
      </c>
      <c r="CW44" s="104">
        <f t="shared" si="16"/>
        <v>5937928.8764719004</v>
      </c>
      <c r="CX44" s="104">
        <f t="shared" si="16"/>
        <v>5726264.0847518537</v>
      </c>
      <c r="CY44" s="104">
        <f t="shared" si="16"/>
        <v>5745201.3813301418</v>
      </c>
      <c r="CZ44" s="104">
        <f t="shared" si="16"/>
        <v>5758288.7056743857</v>
      </c>
      <c r="DA44" s="104">
        <f t="shared" si="16"/>
        <v>5814424.1516794171</v>
      </c>
      <c r="DB44" s="104">
        <f t="shared" si="16"/>
        <v>5552288.2349429913</v>
      </c>
      <c r="DC44" s="110">
        <f t="shared" si="16"/>
        <v>5555262.5100297481</v>
      </c>
      <c r="DD44" s="104">
        <f t="shared" si="16"/>
        <v>5590326.8808341604</v>
      </c>
      <c r="DE44" s="104">
        <f t="shared" si="16"/>
        <v>5580861.1306637367</v>
      </c>
      <c r="DF44" s="104">
        <f t="shared" si="16"/>
        <v>5494069.4579302259</v>
      </c>
      <c r="DG44" s="104">
        <f t="shared" si="16"/>
        <v>5507165.3478632839</v>
      </c>
      <c r="DH44" s="104">
        <f t="shared" si="16"/>
        <v>5479776.3030453101</v>
      </c>
      <c r="DI44" s="104">
        <f t="shared" si="16"/>
        <v>5533804.8346949695</v>
      </c>
      <c r="DJ44" s="104">
        <f t="shared" si="16"/>
        <v>5390841.6748705721</v>
      </c>
      <c r="DK44" s="104">
        <f t="shared" si="16"/>
        <v>5339638.2714690305</v>
      </c>
      <c r="DL44" s="104">
        <f t="shared" si="16"/>
        <v>5239618.8803865965</v>
      </c>
      <c r="DM44" s="104">
        <f t="shared" si="16"/>
        <v>5138577.01730619</v>
      </c>
      <c r="DN44" s="104">
        <f t="shared" si="16"/>
        <v>4893439.5390291885</v>
      </c>
      <c r="DO44" s="104">
        <f t="shared" si="16"/>
        <v>4713516.7923745401</v>
      </c>
      <c r="DP44" s="104">
        <f t="shared" si="16"/>
        <v>4660470.1058822591</v>
      </c>
      <c r="DQ44" s="104">
        <f t="shared" si="16"/>
        <v>4637458.659475523</v>
      </c>
      <c r="DR44" s="104">
        <f t="shared" si="16"/>
        <v>4688680.996618161</v>
      </c>
      <c r="DS44" s="104">
        <f t="shared" si="16"/>
        <v>4628910.9418035215</v>
      </c>
      <c r="DT44" s="104">
        <f t="shared" si="16"/>
        <v>4604252.8276565829</v>
      </c>
      <c r="DU44" s="104">
        <f t="shared" si="16"/>
        <v>4474422.0692824889</v>
      </c>
      <c r="DV44" s="104">
        <f t="shared" si="16"/>
        <v>4365991.6851377971</v>
      </c>
      <c r="DW44" s="104">
        <f t="shared" si="16"/>
        <v>4371797.056546649</v>
      </c>
      <c r="DX44" s="104">
        <f t="shared" si="16"/>
        <v>4345347.2436555475</v>
      </c>
      <c r="DY44" s="104">
        <f t="shared" si="16"/>
        <v>4325121.6872266568</v>
      </c>
      <c r="DZ44" s="104">
        <f t="shared" si="16"/>
        <v>4346753.6988813654</v>
      </c>
      <c r="EA44" s="104">
        <f t="shared" si="16"/>
        <v>4381147.5508856885</v>
      </c>
      <c r="EB44" s="104">
        <f t="shared" si="16"/>
        <v>4397750.5021765037</v>
      </c>
      <c r="EC44" s="104">
        <f t="shared" si="16"/>
        <v>4443629.1767087951</v>
      </c>
      <c r="ED44" s="104">
        <f t="shared" si="16"/>
        <v>4450619.5126404464</v>
      </c>
      <c r="EE44" s="104">
        <f t="shared" si="16"/>
        <v>4514751.583369622</v>
      </c>
      <c r="EF44" s="104">
        <f t="shared" si="16"/>
        <v>4516488.8476911532</v>
      </c>
      <c r="EG44" s="104">
        <f t="shared" si="16"/>
        <v>4427655.3995404104</v>
      </c>
      <c r="EH44" s="104">
        <f t="shared" si="16"/>
        <v>4440749.7641751776</v>
      </c>
      <c r="EI44" s="104">
        <f t="shared" si="16"/>
        <v>4485015.0709658768</v>
      </c>
      <c r="EJ44" s="104">
        <f t="shared" si="16"/>
        <v>4402540.5254642973</v>
      </c>
      <c r="EK44" s="104">
        <f t="shared" si="16"/>
        <v>4234477.0248138485</v>
      </c>
      <c r="EL44" s="104">
        <f t="shared" si="16"/>
        <v>4244596.4136983305</v>
      </c>
      <c r="EM44" s="104">
        <f t="shared" si="16"/>
        <v>4196727.4812576873</v>
      </c>
      <c r="EN44" s="104">
        <f t="shared" si="16"/>
        <v>4215252.8207644429</v>
      </c>
      <c r="EO44" s="104">
        <f t="shared" si="16"/>
        <v>4058817.0952703096</v>
      </c>
      <c r="EP44" s="104">
        <f t="shared" si="16"/>
        <v>4109224.3473514994</v>
      </c>
      <c r="EQ44" s="104">
        <f t="shared" si="16"/>
        <v>4017905.2444978817</v>
      </c>
      <c r="ER44" s="104">
        <f t="shared" si="16"/>
        <v>4130311.1947991932</v>
      </c>
      <c r="ES44" s="104">
        <f t="shared" si="16"/>
        <v>4255444.091364691</v>
      </c>
      <c r="ET44" s="104">
        <f t="shared" si="16"/>
        <v>4460975.0903283125</v>
      </c>
      <c r="EU44" s="104">
        <f t="shared" si="16"/>
        <v>4575277.3201710973</v>
      </c>
      <c r="EV44" s="104">
        <f t="shared" si="16"/>
        <v>5425332.3787579201</v>
      </c>
      <c r="EW44" s="104">
        <f t="shared" si="16"/>
        <v>5768784.2292663632</v>
      </c>
      <c r="EX44" s="104">
        <f t="shared" si="16"/>
        <v>6195715.0830830121</v>
      </c>
      <c r="EY44" s="104">
        <f t="shared" si="16"/>
        <v>0</v>
      </c>
      <c r="EZ44" s="104">
        <f t="shared" si="16"/>
        <v>0</v>
      </c>
      <c r="FA44" s="104">
        <f t="shared" si="16"/>
        <v>0</v>
      </c>
    </row>
    <row r="45" spans="1:157" ht="15.75" customHeight="1" x14ac:dyDescent="0.2">
      <c r="A45" s="44"/>
      <c r="CQ45" s="111"/>
      <c r="DC45" s="112"/>
    </row>
    <row r="46" spans="1:157" ht="15.75" customHeight="1" x14ac:dyDescent="0.2">
      <c r="A46" s="44" t="s">
        <v>367</v>
      </c>
      <c r="B46" s="66">
        <v>0</v>
      </c>
      <c r="C46" s="70" t="e">
        <f t="shared" ref="C46:N46" si="17">C41/B36*12</f>
        <v>#REF!</v>
      </c>
      <c r="D46" s="70" t="e">
        <f t="shared" si="17"/>
        <v>#REF!</v>
      </c>
      <c r="E46" s="70" t="e">
        <f t="shared" si="17"/>
        <v>#REF!</v>
      </c>
      <c r="F46" s="70" t="e">
        <f t="shared" si="17"/>
        <v>#REF!</v>
      </c>
      <c r="G46" s="70" t="e">
        <f t="shared" si="17"/>
        <v>#REF!</v>
      </c>
      <c r="H46" s="70" t="e">
        <f t="shared" si="17"/>
        <v>#REF!</v>
      </c>
      <c r="I46" s="70" t="e">
        <f t="shared" si="17"/>
        <v>#REF!</v>
      </c>
      <c r="J46" s="70" t="e">
        <f t="shared" si="17"/>
        <v>#REF!</v>
      </c>
      <c r="K46" s="70" t="e">
        <f t="shared" si="17"/>
        <v>#REF!</v>
      </c>
      <c r="L46" s="70" t="e">
        <f t="shared" si="17"/>
        <v>#REF!</v>
      </c>
      <c r="M46" s="70" t="e">
        <f t="shared" si="17"/>
        <v>#REF!</v>
      </c>
      <c r="N46" s="70" t="e">
        <f t="shared" si="17"/>
        <v>#REF!</v>
      </c>
      <c r="O46" s="70" t="e">
        <f t="shared" ref="O46:EX46" si="18">O41/O36*12</f>
        <v>#REF!</v>
      </c>
      <c r="P46" s="70" t="e">
        <f t="shared" si="18"/>
        <v>#REF!</v>
      </c>
      <c r="Q46" s="70" t="e">
        <f t="shared" si="18"/>
        <v>#REF!</v>
      </c>
      <c r="R46" s="70" t="e">
        <f t="shared" si="18"/>
        <v>#REF!</v>
      </c>
      <c r="S46" s="70" t="e">
        <f t="shared" si="18"/>
        <v>#REF!</v>
      </c>
      <c r="T46" s="70" t="e">
        <f t="shared" si="18"/>
        <v>#REF!</v>
      </c>
      <c r="U46" s="70" t="e">
        <f t="shared" si="18"/>
        <v>#REF!</v>
      </c>
      <c r="V46" s="70" t="e">
        <f t="shared" si="18"/>
        <v>#REF!</v>
      </c>
      <c r="W46" s="70" t="e">
        <f t="shared" si="18"/>
        <v>#REF!</v>
      </c>
      <c r="X46" s="70" t="e">
        <f t="shared" si="18"/>
        <v>#REF!</v>
      </c>
      <c r="Y46" s="70" t="e">
        <f t="shared" si="18"/>
        <v>#REF!</v>
      </c>
      <c r="Z46" s="70" t="e">
        <f t="shared" si="18"/>
        <v>#REF!</v>
      </c>
      <c r="AA46" s="70" t="e">
        <f t="shared" si="18"/>
        <v>#REF!</v>
      </c>
      <c r="AB46" s="70" t="e">
        <f t="shared" si="18"/>
        <v>#REF!</v>
      </c>
      <c r="AC46" s="70" t="e">
        <f t="shared" si="18"/>
        <v>#REF!</v>
      </c>
      <c r="AD46" s="70" t="e">
        <f t="shared" si="18"/>
        <v>#REF!</v>
      </c>
      <c r="AE46" s="70" t="e">
        <f t="shared" si="18"/>
        <v>#REF!</v>
      </c>
      <c r="AF46" s="70" t="e">
        <f t="shared" si="18"/>
        <v>#REF!</v>
      </c>
      <c r="AG46" s="70" t="e">
        <f t="shared" si="18"/>
        <v>#REF!</v>
      </c>
      <c r="AH46" s="70" t="e">
        <f t="shared" si="18"/>
        <v>#REF!</v>
      </c>
      <c r="AI46" s="70" t="e">
        <f t="shared" si="18"/>
        <v>#REF!</v>
      </c>
      <c r="AJ46" s="70" t="e">
        <f t="shared" si="18"/>
        <v>#REF!</v>
      </c>
      <c r="AK46" s="70" t="e">
        <f t="shared" si="18"/>
        <v>#REF!</v>
      </c>
      <c r="AL46" s="70" t="e">
        <f t="shared" si="18"/>
        <v>#REF!</v>
      </c>
      <c r="AM46" s="70" t="e">
        <f t="shared" si="18"/>
        <v>#REF!</v>
      </c>
      <c r="AN46" s="70" t="e">
        <f t="shared" si="18"/>
        <v>#REF!</v>
      </c>
      <c r="AO46" s="70" t="e">
        <f t="shared" si="18"/>
        <v>#REF!</v>
      </c>
      <c r="AP46" s="70" t="e">
        <f t="shared" si="18"/>
        <v>#REF!</v>
      </c>
      <c r="AQ46" s="70" t="e">
        <f t="shared" si="18"/>
        <v>#REF!</v>
      </c>
      <c r="AR46" s="70" t="e">
        <f t="shared" si="18"/>
        <v>#REF!</v>
      </c>
      <c r="AS46" s="70" t="e">
        <f t="shared" si="18"/>
        <v>#REF!</v>
      </c>
      <c r="AT46" s="70" t="e">
        <f t="shared" si="18"/>
        <v>#REF!</v>
      </c>
      <c r="AU46" s="70" t="e">
        <f t="shared" si="18"/>
        <v>#REF!</v>
      </c>
      <c r="AV46" s="70" t="e">
        <f t="shared" si="18"/>
        <v>#REF!</v>
      </c>
      <c r="AW46" s="70" t="e">
        <f t="shared" si="18"/>
        <v>#REF!</v>
      </c>
      <c r="AX46" s="70" t="e">
        <f t="shared" si="18"/>
        <v>#REF!</v>
      </c>
      <c r="AY46" s="70" t="e">
        <f t="shared" si="18"/>
        <v>#REF!</v>
      </c>
      <c r="AZ46" s="70" t="e">
        <f t="shared" si="18"/>
        <v>#REF!</v>
      </c>
      <c r="BA46" s="70" t="e">
        <f t="shared" si="18"/>
        <v>#REF!</v>
      </c>
      <c r="BB46" s="70" t="e">
        <f t="shared" si="18"/>
        <v>#REF!</v>
      </c>
      <c r="BC46" s="70" t="e">
        <f t="shared" si="18"/>
        <v>#REF!</v>
      </c>
      <c r="BD46" s="70" t="e">
        <f t="shared" si="18"/>
        <v>#REF!</v>
      </c>
      <c r="BE46" s="70" t="e">
        <f t="shared" si="18"/>
        <v>#REF!</v>
      </c>
      <c r="BF46" s="70" t="e">
        <f t="shared" si="18"/>
        <v>#REF!</v>
      </c>
      <c r="BG46" s="70" t="e">
        <f t="shared" si="18"/>
        <v>#REF!</v>
      </c>
      <c r="BH46" s="70" t="e">
        <f t="shared" si="18"/>
        <v>#REF!</v>
      </c>
      <c r="BI46" s="70" t="e">
        <f t="shared" si="18"/>
        <v>#REF!</v>
      </c>
      <c r="BJ46" s="70" t="e">
        <f t="shared" si="18"/>
        <v>#REF!</v>
      </c>
      <c r="BK46" s="70" t="e">
        <f t="shared" si="18"/>
        <v>#REF!</v>
      </c>
      <c r="BL46" s="70" t="e">
        <f t="shared" si="18"/>
        <v>#REF!</v>
      </c>
      <c r="BM46" s="70" t="e">
        <f t="shared" si="18"/>
        <v>#REF!</v>
      </c>
      <c r="BN46" s="70" t="e">
        <f t="shared" si="18"/>
        <v>#REF!</v>
      </c>
      <c r="BO46" s="70" t="e">
        <f t="shared" si="18"/>
        <v>#REF!</v>
      </c>
      <c r="BP46" s="70" t="e">
        <f t="shared" si="18"/>
        <v>#REF!</v>
      </c>
      <c r="BQ46" s="70" t="e">
        <f t="shared" si="18"/>
        <v>#REF!</v>
      </c>
      <c r="BR46" s="70" t="e">
        <f t="shared" si="18"/>
        <v>#REF!</v>
      </c>
      <c r="BS46" s="70" t="e">
        <f t="shared" si="18"/>
        <v>#REF!</v>
      </c>
      <c r="BT46" s="70" t="e">
        <f t="shared" si="18"/>
        <v>#REF!</v>
      </c>
      <c r="BU46" s="70" t="e">
        <f t="shared" si="18"/>
        <v>#REF!</v>
      </c>
      <c r="BV46" s="70" t="e">
        <f t="shared" si="18"/>
        <v>#REF!</v>
      </c>
      <c r="BW46" s="70" t="e">
        <f t="shared" si="18"/>
        <v>#REF!</v>
      </c>
      <c r="BX46" s="70" t="e">
        <f t="shared" si="18"/>
        <v>#REF!</v>
      </c>
      <c r="BY46" s="70" t="e">
        <f t="shared" si="18"/>
        <v>#REF!</v>
      </c>
      <c r="BZ46" s="70" t="e">
        <f t="shared" si="18"/>
        <v>#REF!</v>
      </c>
      <c r="CA46" s="70" t="e">
        <f t="shared" si="18"/>
        <v>#REF!</v>
      </c>
      <c r="CB46" s="70" t="e">
        <f t="shared" si="18"/>
        <v>#REF!</v>
      </c>
      <c r="CC46" s="70" t="e">
        <f t="shared" si="18"/>
        <v>#REF!</v>
      </c>
      <c r="CD46" s="70" t="e">
        <f t="shared" si="18"/>
        <v>#REF!</v>
      </c>
      <c r="CE46" s="70" t="e">
        <f t="shared" si="18"/>
        <v>#REF!</v>
      </c>
      <c r="CF46" s="70" t="e">
        <f t="shared" si="18"/>
        <v>#REF!</v>
      </c>
      <c r="CG46" s="70" t="e">
        <f t="shared" si="18"/>
        <v>#REF!</v>
      </c>
      <c r="CH46" s="70">
        <f t="shared" si="18"/>
        <v>0.17492771789284658</v>
      </c>
      <c r="CI46" s="70">
        <f t="shared" si="18"/>
        <v>0.17738205311824257</v>
      </c>
      <c r="CJ46" s="70">
        <f t="shared" si="18"/>
        <v>0.183242673347769</v>
      </c>
      <c r="CK46" s="70">
        <f t="shared" si="18"/>
        <v>0.17507505495495618</v>
      </c>
      <c r="CL46" s="70">
        <f t="shared" si="18"/>
        <v>0.17413724245362733</v>
      </c>
      <c r="CM46" s="70">
        <f t="shared" si="18"/>
        <v>0.1796452161233664</v>
      </c>
      <c r="CN46" s="70">
        <f t="shared" si="18"/>
        <v>0.17831324087052847</v>
      </c>
      <c r="CO46" s="70">
        <f t="shared" si="18"/>
        <v>0.1753963342350319</v>
      </c>
      <c r="CP46" s="70">
        <f t="shared" si="18"/>
        <v>0.17610064220720351</v>
      </c>
      <c r="CQ46" s="123">
        <f t="shared" si="18"/>
        <v>0.18692268238992144</v>
      </c>
      <c r="CR46" s="70">
        <f t="shared" si="18"/>
        <v>0.18842408729938831</v>
      </c>
      <c r="CS46" s="70">
        <f t="shared" si="18"/>
        <v>0.18855885661967348</v>
      </c>
      <c r="CT46" s="70">
        <f t="shared" si="18"/>
        <v>0.18869983017230488</v>
      </c>
      <c r="CU46" s="70">
        <f t="shared" si="18"/>
        <v>0.18906574959330419</v>
      </c>
      <c r="CV46" s="70">
        <f t="shared" si="18"/>
        <v>0.18949114953467872</v>
      </c>
      <c r="CW46" s="70">
        <f t="shared" si="18"/>
        <v>0.18958411879390832</v>
      </c>
      <c r="CX46" s="70">
        <f t="shared" si="18"/>
        <v>0.18957178977542935</v>
      </c>
      <c r="CY46" s="70">
        <f t="shared" si="18"/>
        <v>0.18999775102893796</v>
      </c>
      <c r="CZ46" s="70">
        <f t="shared" si="18"/>
        <v>0.19039986912830881</v>
      </c>
      <c r="DA46" s="70">
        <f t="shared" si="18"/>
        <v>0.19091272698630546</v>
      </c>
      <c r="DB46" s="70">
        <f t="shared" si="18"/>
        <v>0.1907532399679519</v>
      </c>
      <c r="DC46" s="124">
        <f t="shared" si="18"/>
        <v>0.19122337440197823</v>
      </c>
      <c r="DD46" s="70">
        <f t="shared" si="18"/>
        <v>0.19177190722187126</v>
      </c>
      <c r="DE46" s="70">
        <f t="shared" si="18"/>
        <v>0.19228809291681481</v>
      </c>
      <c r="DF46" s="70">
        <f t="shared" si="18"/>
        <v>0.19256973192365223</v>
      </c>
      <c r="DG46" s="70">
        <f t="shared" si="18"/>
        <v>0.19314031333327972</v>
      </c>
      <c r="DH46" s="70">
        <f t="shared" si="18"/>
        <v>0.19366460987298689</v>
      </c>
      <c r="DI46" s="70">
        <f t="shared" si="18"/>
        <v>0.19445425381500103</v>
      </c>
      <c r="DJ46" s="70">
        <f t="shared" si="18"/>
        <v>0.19472986443450463</v>
      </c>
      <c r="DK46" s="70">
        <f t="shared" si="18"/>
        <v>0.19524864972873326</v>
      </c>
      <c r="DL46" s="70">
        <f t="shared" si="18"/>
        <v>0.1955946964071526</v>
      </c>
      <c r="DM46" s="70">
        <f t="shared" si="18"/>
        <v>0.1959611993844538</v>
      </c>
      <c r="DN46" s="70">
        <f t="shared" si="18"/>
        <v>0.19569473385929081</v>
      </c>
      <c r="DO46" s="70">
        <f t="shared" si="18"/>
        <v>0.19552253887456625</v>
      </c>
      <c r="DP46" s="70">
        <f t="shared" si="18"/>
        <v>0.19589615663656482</v>
      </c>
      <c r="DQ46" s="70">
        <f t="shared" si="18"/>
        <v>0.19631714096651115</v>
      </c>
      <c r="DR46" s="70">
        <f t="shared" si="18"/>
        <v>0.19709235196082273</v>
      </c>
      <c r="DS46" s="70">
        <f t="shared" si="18"/>
        <v>0.1973689130546345</v>
      </c>
      <c r="DT46" s="70">
        <f t="shared" si="18"/>
        <v>0.19783144487157939</v>
      </c>
      <c r="DU46" s="70">
        <f t="shared" si="18"/>
        <v>0.197747803910028</v>
      </c>
      <c r="DV46" s="70">
        <f t="shared" si="18"/>
        <v>0.19761906561165737</v>
      </c>
      <c r="DW46" s="70">
        <f t="shared" si="18"/>
        <v>0.19820068760393103</v>
      </c>
      <c r="DX46" s="70">
        <f t="shared" si="18"/>
        <v>0.19856683371730138</v>
      </c>
      <c r="DY46" s="70">
        <f t="shared" si="18"/>
        <v>0.1990300334686044</v>
      </c>
      <c r="DZ46" s="70">
        <f t="shared" si="18"/>
        <v>0.19992544294831566</v>
      </c>
      <c r="EA46" s="70">
        <f t="shared" si="18"/>
        <v>0.20101263346332998</v>
      </c>
      <c r="EB46" s="70">
        <f t="shared" si="18"/>
        <v>0.20210256068733115</v>
      </c>
      <c r="EC46" s="70">
        <f t="shared" si="18"/>
        <v>0.20356077644923495</v>
      </c>
      <c r="ED46" s="70">
        <f t="shared" si="18"/>
        <v>0.20487454919518988</v>
      </c>
      <c r="EE46" s="70">
        <f t="shared" si="18"/>
        <v>0.20694916984392958</v>
      </c>
      <c r="EF46" s="70">
        <f t="shared" si="18"/>
        <v>0.20861324691696964</v>
      </c>
      <c r="EG46" s="70">
        <f t="shared" si="18"/>
        <v>0.20934635979369692</v>
      </c>
      <c r="EH46" s="70">
        <f t="shared" si="18"/>
        <v>0.21159733112848417</v>
      </c>
      <c r="EI46" s="70">
        <f t="shared" si="18"/>
        <v>0.21485389235423416</v>
      </c>
      <c r="EJ46" s="70">
        <f t="shared" si="18"/>
        <v>0.21624288562097044</v>
      </c>
      <c r="EK46" s="70">
        <f t="shared" si="18"/>
        <v>0.21568315423166853</v>
      </c>
      <c r="EL46" s="70">
        <f t="shared" si="18"/>
        <v>0.21874499004680475</v>
      </c>
      <c r="EM46" s="70">
        <f t="shared" si="18"/>
        <v>0.2205473926698836</v>
      </c>
      <c r="EN46" s="70">
        <f t="shared" si="18"/>
        <v>0.22410235947109763</v>
      </c>
      <c r="EO46" s="70">
        <f t="shared" si="18"/>
        <v>0.22167189440162116</v>
      </c>
      <c r="EP46" s="70">
        <f t="shared" si="18"/>
        <v>0.22592848193762605</v>
      </c>
      <c r="EQ46" s="70">
        <f t="shared" si="18"/>
        <v>0.22442938363970191</v>
      </c>
      <c r="ER46" s="70">
        <f t="shared" si="18"/>
        <v>0.23109412770505611</v>
      </c>
      <c r="ES46" s="70">
        <f t="shared" si="18"/>
        <v>0.23898768382210087</v>
      </c>
      <c r="ET46" s="70">
        <f t="shared" si="18"/>
        <v>0.25159715565631091</v>
      </c>
      <c r="EU46" s="70">
        <f t="shared" si="18"/>
        <v>0.25999539965051682</v>
      </c>
      <c r="EV46" s="70">
        <f t="shared" si="18"/>
        <v>0.30810633836778256</v>
      </c>
      <c r="EW46" s="70">
        <f t="shared" si="18"/>
        <v>0.32983207975476203</v>
      </c>
      <c r="EX46" s="70">
        <f t="shared" si="18"/>
        <v>0.35297163970704548</v>
      </c>
      <c r="EY46" s="70"/>
      <c r="EZ46" s="70"/>
      <c r="FA46" s="70"/>
    </row>
    <row r="47" spans="1:157" ht="15.75" customHeight="1" x14ac:dyDescent="0.2">
      <c r="A47" s="44"/>
      <c r="CQ47" s="111"/>
      <c r="DC47" s="112"/>
    </row>
    <row r="48" spans="1:157" ht="15.75" customHeight="1" x14ac:dyDescent="0.2">
      <c r="A48" s="121" t="s">
        <v>368</v>
      </c>
      <c r="B48" s="122"/>
      <c r="C48" s="122"/>
      <c r="D48" s="122"/>
      <c r="E48" s="122"/>
      <c r="F48" s="122"/>
      <c r="G48" s="122"/>
      <c r="H48" s="122"/>
      <c r="I48" s="122"/>
      <c r="J48" s="122"/>
      <c r="K48" s="122"/>
      <c r="L48" s="122"/>
      <c r="M48" s="122"/>
      <c r="N48" s="122"/>
      <c r="O48" s="122"/>
      <c r="P48" s="122"/>
      <c r="Q48" s="122"/>
      <c r="R48" s="122"/>
      <c r="S48" s="122"/>
      <c r="T48" s="122"/>
      <c r="U48" s="122"/>
      <c r="V48" s="122"/>
      <c r="W48" s="122"/>
      <c r="X48" s="122"/>
      <c r="Y48" s="122"/>
      <c r="Z48" s="122"/>
      <c r="AA48" s="122"/>
      <c r="AB48" s="122"/>
      <c r="AC48" s="122"/>
      <c r="AD48" s="122"/>
      <c r="AE48" s="122"/>
      <c r="AF48" s="122"/>
      <c r="AG48" s="122"/>
      <c r="AH48" s="122"/>
      <c r="AI48" s="122"/>
      <c r="AJ48" s="122"/>
      <c r="AK48" s="122"/>
      <c r="AL48" s="122"/>
      <c r="AM48" s="122"/>
      <c r="AN48" s="122"/>
      <c r="AO48" s="122"/>
      <c r="AP48" s="122"/>
      <c r="AQ48" s="122"/>
      <c r="AR48" s="122"/>
      <c r="AS48" s="122"/>
      <c r="AT48" s="122"/>
      <c r="AU48" s="122"/>
      <c r="AV48" s="122"/>
      <c r="AW48" s="122"/>
      <c r="AX48" s="122"/>
      <c r="AY48" s="122"/>
      <c r="AZ48" s="122"/>
      <c r="BA48" s="122"/>
      <c r="BB48" s="122"/>
      <c r="BC48" s="122"/>
      <c r="BD48" s="122"/>
      <c r="BE48" s="122"/>
      <c r="BF48" s="122"/>
      <c r="BG48" s="122"/>
      <c r="BH48" s="122"/>
      <c r="BI48" s="122"/>
      <c r="BJ48" s="122"/>
      <c r="BK48" s="122"/>
      <c r="BL48" s="122"/>
      <c r="BM48" s="122"/>
      <c r="BN48" s="122"/>
      <c r="BO48" s="122"/>
      <c r="BP48" s="122"/>
      <c r="BQ48" s="122"/>
      <c r="BR48" s="122"/>
      <c r="BS48" s="122"/>
      <c r="BT48" s="122"/>
      <c r="BU48" s="122"/>
      <c r="BV48" s="122"/>
      <c r="BW48" s="122"/>
      <c r="BX48" s="122"/>
      <c r="BY48" s="122"/>
      <c r="BZ48" s="122"/>
      <c r="CA48" s="122"/>
      <c r="CB48" s="122"/>
      <c r="CC48" s="122"/>
      <c r="CD48" s="122"/>
      <c r="CE48" s="122"/>
      <c r="CF48" s="122"/>
      <c r="CG48" s="122"/>
      <c r="CH48" s="122"/>
      <c r="CI48" s="122"/>
      <c r="CJ48" s="122"/>
      <c r="CK48" s="122"/>
      <c r="CL48" s="122"/>
      <c r="CM48" s="122"/>
      <c r="CN48" s="122"/>
      <c r="CO48" s="122"/>
      <c r="CP48" s="122"/>
      <c r="CQ48" s="111"/>
      <c r="CR48" s="122"/>
      <c r="CS48" s="122"/>
      <c r="CT48" s="122"/>
      <c r="CU48" s="122"/>
      <c r="CV48" s="122"/>
      <c r="CW48" s="122"/>
      <c r="CX48" s="122"/>
      <c r="CY48" s="122"/>
      <c r="CZ48" s="122"/>
      <c r="DA48" s="122"/>
      <c r="DB48" s="122"/>
      <c r="DC48" s="112"/>
      <c r="DD48" s="122"/>
      <c r="DE48" s="122"/>
      <c r="DF48" s="122"/>
      <c r="DG48" s="122"/>
      <c r="DH48" s="122"/>
      <c r="DI48" s="122"/>
      <c r="DJ48" s="122"/>
      <c r="DK48" s="122"/>
      <c r="DL48" s="122"/>
      <c r="DM48" s="122"/>
      <c r="DN48" s="122"/>
      <c r="DO48" s="122"/>
      <c r="DP48" s="122"/>
      <c r="DQ48" s="122"/>
      <c r="DR48" s="122"/>
      <c r="DS48" s="122"/>
      <c r="DT48" s="122"/>
      <c r="DU48" s="122"/>
      <c r="DV48" s="122"/>
      <c r="DW48" s="122"/>
      <c r="DX48" s="122"/>
      <c r="DY48" s="122"/>
      <c r="DZ48" s="122"/>
      <c r="EA48" s="122"/>
      <c r="EB48" s="122"/>
      <c r="EC48" s="122"/>
      <c r="ED48" s="122"/>
      <c r="EE48" s="122"/>
      <c r="EF48" s="122"/>
      <c r="EG48" s="122"/>
      <c r="EH48" s="122"/>
      <c r="EI48" s="122"/>
      <c r="EJ48" s="122"/>
      <c r="EK48" s="122"/>
      <c r="EL48" s="122"/>
      <c r="EM48" s="122"/>
      <c r="EN48" s="122"/>
      <c r="EO48" s="122"/>
      <c r="EP48" s="122"/>
      <c r="EQ48" s="122"/>
      <c r="ER48" s="122"/>
      <c r="ES48" s="122"/>
      <c r="ET48" s="122"/>
      <c r="EU48" s="122"/>
      <c r="EV48" s="122"/>
      <c r="EW48" s="122"/>
      <c r="EX48" s="122"/>
      <c r="EY48" s="122"/>
      <c r="EZ48" s="122"/>
      <c r="FA48" s="122"/>
    </row>
    <row r="49" spans="1:157" ht="15.75" customHeight="1" x14ac:dyDescent="0.2">
      <c r="A49" s="44"/>
      <c r="CQ49" s="111"/>
      <c r="DC49" s="112"/>
    </row>
    <row r="50" spans="1:157" ht="15.75" customHeight="1" x14ac:dyDescent="0.2">
      <c r="A50" s="33" t="s">
        <v>301</v>
      </c>
      <c r="BY50" s="45">
        <v>500000</v>
      </c>
      <c r="BZ50" s="45">
        <v>500000</v>
      </c>
      <c r="CA50" s="45">
        <v>500000</v>
      </c>
      <c r="CB50" s="45">
        <v>500000</v>
      </c>
      <c r="CC50" s="45">
        <v>500000</v>
      </c>
      <c r="CD50" s="45">
        <v>500000</v>
      </c>
      <c r="CE50" s="45">
        <v>500000</v>
      </c>
      <c r="CF50" s="45">
        <v>500000</v>
      </c>
      <c r="CG50" s="45">
        <v>500000</v>
      </c>
      <c r="CH50" s="45">
        <v>500000</v>
      </c>
      <c r="CI50" s="45">
        <v>500000</v>
      </c>
      <c r="CJ50" s="45">
        <v>500000</v>
      </c>
      <c r="CK50" s="45">
        <v>500000</v>
      </c>
      <c r="CL50" s="45">
        <v>500000</v>
      </c>
      <c r="CM50" s="45">
        <v>500000</v>
      </c>
      <c r="CN50" s="45">
        <v>500000</v>
      </c>
      <c r="CO50" s="45">
        <v>500000</v>
      </c>
      <c r="CP50" s="45">
        <v>500000</v>
      </c>
      <c r="CQ50" s="114">
        <v>500000</v>
      </c>
      <c r="CR50" s="45">
        <v>500000</v>
      </c>
      <c r="CS50" s="45">
        <v>500000</v>
      </c>
      <c r="CT50" s="45">
        <v>500000</v>
      </c>
      <c r="CU50" s="45">
        <v>500000</v>
      </c>
      <c r="CV50" s="45">
        <v>500000</v>
      </c>
      <c r="CW50" s="45">
        <v>500000</v>
      </c>
      <c r="CX50" s="45">
        <v>500000</v>
      </c>
      <c r="CY50" s="45">
        <v>500000</v>
      </c>
      <c r="CZ50" s="45">
        <v>500000</v>
      </c>
      <c r="DA50" s="45">
        <v>500000</v>
      </c>
      <c r="DB50" s="45">
        <v>500000</v>
      </c>
      <c r="DC50" s="115">
        <v>500000</v>
      </c>
      <c r="DD50" s="45">
        <v>500000</v>
      </c>
      <c r="DE50" s="45">
        <v>500000</v>
      </c>
      <c r="DF50" s="45">
        <v>500000</v>
      </c>
      <c r="DG50" s="45">
        <v>500000</v>
      </c>
      <c r="DH50" s="45">
        <v>500000</v>
      </c>
      <c r="DI50" s="45">
        <v>500000</v>
      </c>
      <c r="DJ50" s="45">
        <v>500000</v>
      </c>
      <c r="DK50" s="45">
        <v>500000</v>
      </c>
      <c r="DL50" s="45">
        <v>500000</v>
      </c>
      <c r="DM50" s="45">
        <v>500000</v>
      </c>
      <c r="DN50" s="45">
        <v>500000</v>
      </c>
      <c r="DO50" s="45">
        <v>500000</v>
      </c>
      <c r="DP50" s="45">
        <v>500000</v>
      </c>
      <c r="DQ50" s="45">
        <v>500000</v>
      </c>
      <c r="DR50" s="45">
        <v>500000</v>
      </c>
      <c r="DS50" s="45">
        <v>500000</v>
      </c>
      <c r="DT50" s="45">
        <v>500000</v>
      </c>
      <c r="DU50" s="45">
        <v>500000</v>
      </c>
      <c r="DV50" s="45">
        <v>500000</v>
      </c>
      <c r="DW50" s="45">
        <v>500000</v>
      </c>
      <c r="DX50" s="45">
        <v>500000</v>
      </c>
      <c r="DY50" s="45">
        <v>500000</v>
      </c>
      <c r="DZ50" s="45">
        <v>500000</v>
      </c>
      <c r="EA50" s="45">
        <v>500000</v>
      </c>
      <c r="EB50" s="45">
        <v>500000</v>
      </c>
      <c r="EC50" s="45">
        <v>500000</v>
      </c>
      <c r="ED50" s="45">
        <v>500000</v>
      </c>
      <c r="EE50" s="45">
        <v>500000</v>
      </c>
      <c r="EF50" s="45">
        <v>500000</v>
      </c>
      <c r="EG50" s="45">
        <v>500000</v>
      </c>
      <c r="EH50" s="45">
        <v>500000</v>
      </c>
      <c r="EI50" s="45">
        <v>500000</v>
      </c>
      <c r="EJ50" s="45">
        <v>500000</v>
      </c>
      <c r="EK50" s="45">
        <v>500000</v>
      </c>
      <c r="EL50" s="45">
        <v>500000</v>
      </c>
      <c r="EM50" s="45">
        <v>500000</v>
      </c>
      <c r="EN50" s="45">
        <v>500000</v>
      </c>
      <c r="EO50" s="45">
        <v>500000</v>
      </c>
      <c r="EP50" s="45">
        <v>500000</v>
      </c>
      <c r="EQ50" s="45">
        <v>500000</v>
      </c>
      <c r="ER50" s="45">
        <v>500000</v>
      </c>
      <c r="ES50" s="45">
        <v>500000</v>
      </c>
      <c r="ET50" s="45">
        <v>500000</v>
      </c>
      <c r="EU50" s="45">
        <v>500000</v>
      </c>
      <c r="EV50" s="45">
        <v>500000</v>
      </c>
      <c r="EW50" s="45">
        <v>500000</v>
      </c>
      <c r="EX50" s="45">
        <v>500000</v>
      </c>
      <c r="EY50" s="45">
        <v>500000</v>
      </c>
      <c r="EZ50" s="45">
        <v>500000</v>
      </c>
      <c r="FA50" s="45">
        <v>500000</v>
      </c>
    </row>
    <row r="51" spans="1:157" ht="15.75" customHeight="1" x14ac:dyDescent="0.2">
      <c r="BY51" s="45"/>
      <c r="BZ51" s="45"/>
      <c r="CA51" s="45"/>
      <c r="CB51" s="45"/>
      <c r="CC51" s="45"/>
      <c r="CD51" s="45"/>
      <c r="CE51" s="45"/>
      <c r="CF51" s="45"/>
      <c r="CG51" s="45"/>
      <c r="CH51" s="45"/>
      <c r="CI51" s="45"/>
      <c r="CJ51" s="45"/>
      <c r="CK51" s="45"/>
      <c r="CL51" s="45"/>
      <c r="CM51" s="45"/>
      <c r="CN51" s="45"/>
      <c r="CO51" s="45"/>
      <c r="CP51" s="45"/>
      <c r="CQ51" s="114"/>
      <c r="CR51" s="45"/>
      <c r="CS51" s="45"/>
      <c r="CT51" s="45"/>
      <c r="CU51" s="45"/>
      <c r="CV51" s="45"/>
      <c r="CW51" s="45"/>
      <c r="CX51" s="45"/>
      <c r="CY51" s="45"/>
      <c r="CZ51" s="45"/>
      <c r="DA51" s="45"/>
      <c r="DB51" s="45"/>
      <c r="DC51" s="115"/>
      <c r="DD51" s="45"/>
      <c r="DE51" s="45"/>
      <c r="DF51" s="45"/>
      <c r="DG51" s="45"/>
      <c r="DH51" s="45"/>
      <c r="DI51" s="45"/>
      <c r="DJ51" s="45"/>
      <c r="DK51" s="45"/>
      <c r="DL51" s="45"/>
      <c r="DM51" s="45"/>
      <c r="DN51" s="45"/>
      <c r="DO51" s="45"/>
      <c r="DP51" s="45"/>
      <c r="DQ51" s="45"/>
      <c r="DR51" s="45"/>
      <c r="DS51" s="45"/>
      <c r="DT51" s="45"/>
      <c r="DU51" s="45"/>
      <c r="DV51" s="45"/>
      <c r="DW51" s="45"/>
      <c r="DX51" s="45"/>
      <c r="DY51" s="45"/>
      <c r="DZ51" s="45"/>
      <c r="EA51" s="45"/>
      <c r="EB51" s="45"/>
      <c r="EC51" s="45"/>
      <c r="ED51" s="45"/>
      <c r="EE51" s="45"/>
      <c r="EF51" s="45"/>
      <c r="EG51" s="45"/>
      <c r="EH51" s="45"/>
      <c r="EI51" s="45"/>
      <c r="EJ51" s="45"/>
      <c r="EK51" s="45"/>
      <c r="EL51" s="45"/>
      <c r="EM51" s="45"/>
      <c r="EN51" s="45"/>
      <c r="EO51" s="45"/>
      <c r="EP51" s="45"/>
      <c r="EQ51" s="45"/>
      <c r="ER51" s="45"/>
      <c r="ES51" s="45"/>
      <c r="ET51" s="45"/>
      <c r="EU51" s="45"/>
      <c r="EV51" s="45"/>
      <c r="EW51" s="45"/>
      <c r="EX51" s="45"/>
      <c r="EY51" s="45"/>
      <c r="EZ51" s="45"/>
      <c r="FA51" s="45"/>
    </row>
    <row r="52" spans="1:157" ht="15.75" customHeight="1" x14ac:dyDescent="0.2">
      <c r="A52" s="113" t="s">
        <v>369</v>
      </c>
      <c r="B52" s="45" t="e">
        <f>B36*Supuestos!$D$10</f>
        <v>#REF!</v>
      </c>
      <c r="C52" s="45" t="e">
        <f>C36*Supuestos!$D$10</f>
        <v>#REF!</v>
      </c>
      <c r="D52" s="45" t="e">
        <f>D36*Supuestos!$D$10</f>
        <v>#REF!</v>
      </c>
      <c r="E52" s="45" t="e">
        <f>E36*Supuestos!$D$10</f>
        <v>#REF!</v>
      </c>
      <c r="F52" s="45" t="e">
        <f>F36*Supuestos!$D$10</f>
        <v>#REF!</v>
      </c>
      <c r="G52" s="45" t="e">
        <f>G36*Supuestos!$D$10</f>
        <v>#REF!</v>
      </c>
      <c r="H52" s="45" t="e">
        <f>H36*Supuestos!$D$10</f>
        <v>#REF!</v>
      </c>
      <c r="I52" s="45" t="e">
        <f>I36*Supuestos!$D$10</f>
        <v>#REF!</v>
      </c>
      <c r="J52" s="45" t="e">
        <f>J36*Supuestos!$D$10</f>
        <v>#REF!</v>
      </c>
      <c r="K52" s="45" t="e">
        <f>K36*Supuestos!$D$10</f>
        <v>#REF!</v>
      </c>
      <c r="L52" s="45" t="e">
        <f>L36*Supuestos!$D$10</f>
        <v>#REF!</v>
      </c>
      <c r="M52" s="45" t="e">
        <f>M36*Supuestos!$D$10</f>
        <v>#REF!</v>
      </c>
      <c r="N52" s="45" t="e">
        <f>N36*Supuestos!$D$10</f>
        <v>#REF!</v>
      </c>
      <c r="O52" s="45" t="e">
        <f>O36*Supuestos!$D$10</f>
        <v>#REF!</v>
      </c>
      <c r="P52" s="45" t="e">
        <f>P36*Supuestos!$D$10</f>
        <v>#REF!</v>
      </c>
      <c r="Q52" s="45" t="e">
        <f>Q36*Supuestos!$D$10</f>
        <v>#REF!</v>
      </c>
      <c r="R52" s="45" t="e">
        <f>R36*Supuestos!$D$10</f>
        <v>#REF!</v>
      </c>
      <c r="S52" s="45" t="e">
        <f>S36*Supuestos!$D$10</f>
        <v>#REF!</v>
      </c>
      <c r="T52" s="45" t="e">
        <f>T36*Supuestos!$D$10</f>
        <v>#REF!</v>
      </c>
      <c r="U52" s="45" t="e">
        <f>U36*Supuestos!$D$10</f>
        <v>#REF!</v>
      </c>
      <c r="V52" s="45" t="e">
        <f>V36*Supuestos!$D$10</f>
        <v>#REF!</v>
      </c>
      <c r="W52" s="45" t="e">
        <f>W36*Supuestos!$D$10</f>
        <v>#REF!</v>
      </c>
      <c r="X52" s="45" t="e">
        <f>X36*Supuestos!$D$10</f>
        <v>#REF!</v>
      </c>
      <c r="Y52" s="45" t="e">
        <f>Y36*Supuestos!$D$10</f>
        <v>#REF!</v>
      </c>
      <c r="Z52" s="45" t="e">
        <f>Z36*Supuestos!$D$10</f>
        <v>#REF!</v>
      </c>
      <c r="AA52" s="45" t="e">
        <f>AA36*Supuestos!$D$10</f>
        <v>#REF!</v>
      </c>
      <c r="AB52" s="45" t="e">
        <f>AB36*Supuestos!$D$10</f>
        <v>#REF!</v>
      </c>
      <c r="AC52" s="45" t="e">
        <f>AC36*Supuestos!$D$10</f>
        <v>#REF!</v>
      </c>
      <c r="AD52" s="45" t="e">
        <f>AD36*Supuestos!$D$10</f>
        <v>#REF!</v>
      </c>
      <c r="AE52" s="45" t="e">
        <f>AE36*Supuestos!$D$10</f>
        <v>#REF!</v>
      </c>
      <c r="AF52" s="45" t="e">
        <f>AF36*Supuestos!$D$10</f>
        <v>#REF!</v>
      </c>
      <c r="AG52" s="45" t="e">
        <f>AG36*Supuestos!$D$10</f>
        <v>#REF!</v>
      </c>
      <c r="AH52" s="45" t="e">
        <f>AH36*Supuestos!$D$10</f>
        <v>#REF!</v>
      </c>
      <c r="AI52" s="45" t="e">
        <f>AI36*Supuestos!$D$10</f>
        <v>#REF!</v>
      </c>
      <c r="AJ52" s="45" t="e">
        <f>AJ36*Supuestos!$D$10</f>
        <v>#REF!</v>
      </c>
      <c r="AK52" s="45" t="e">
        <f>AK36*Supuestos!$D$10</f>
        <v>#REF!</v>
      </c>
      <c r="AL52" s="45" t="e">
        <f>AL36*Supuestos!$D$10</f>
        <v>#REF!</v>
      </c>
      <c r="AM52" s="45" t="e">
        <f>AM36*Supuestos!$D$10</f>
        <v>#REF!</v>
      </c>
      <c r="AN52" s="45" t="e">
        <f>AN36*Supuestos!$D$10</f>
        <v>#REF!</v>
      </c>
      <c r="AO52" s="45" t="e">
        <f>AO36*Supuestos!$D$10</f>
        <v>#REF!</v>
      </c>
      <c r="AP52" s="45" t="e">
        <f>AP36*Supuestos!$D$10</f>
        <v>#REF!</v>
      </c>
      <c r="AQ52" s="45" t="e">
        <f>AQ36*Supuestos!$D$10</f>
        <v>#REF!</v>
      </c>
      <c r="AR52" s="45" t="e">
        <f>AR36*Supuestos!$D$10</f>
        <v>#REF!</v>
      </c>
      <c r="AS52" s="45" t="e">
        <f>AS36*Supuestos!$D$10</f>
        <v>#REF!</v>
      </c>
      <c r="AT52" s="45" t="e">
        <f>AT36*Supuestos!$D$10</f>
        <v>#REF!</v>
      </c>
      <c r="AU52" s="45" t="e">
        <f>AU36*Supuestos!$D$10</f>
        <v>#REF!</v>
      </c>
      <c r="AV52" s="45" t="e">
        <f>AV36*Supuestos!$D$10</f>
        <v>#REF!</v>
      </c>
      <c r="AW52" s="45" t="e">
        <f>AW36*Supuestos!$D$10</f>
        <v>#REF!</v>
      </c>
      <c r="AX52" s="45" t="e">
        <f>AX36*Supuestos!$D$10</f>
        <v>#REF!</v>
      </c>
      <c r="AY52" s="45" t="e">
        <f>AY36*Supuestos!$D$10</f>
        <v>#REF!</v>
      </c>
      <c r="AZ52" s="45" t="e">
        <f>AZ36*Supuestos!$D$10</f>
        <v>#REF!</v>
      </c>
      <c r="BA52" s="45" t="e">
        <f>BA36*Supuestos!$D$10</f>
        <v>#REF!</v>
      </c>
      <c r="BB52" s="45" t="e">
        <f>BB36*Supuestos!$D$10</f>
        <v>#REF!</v>
      </c>
      <c r="BC52" s="45" t="e">
        <f>BC36*Supuestos!$D$10</f>
        <v>#REF!</v>
      </c>
      <c r="BD52" s="45" t="e">
        <f>BD36*Supuestos!$D$10</f>
        <v>#REF!</v>
      </c>
      <c r="BE52" s="45" t="e">
        <f>BE36*Supuestos!$D$10</f>
        <v>#REF!</v>
      </c>
      <c r="BF52" s="45" t="e">
        <f>BF36*Supuestos!$D$10</f>
        <v>#REF!</v>
      </c>
      <c r="BG52" s="45" t="e">
        <f>BG36*Supuestos!$D$10</f>
        <v>#REF!</v>
      </c>
      <c r="BH52" s="45" t="e">
        <f>BH36*Supuestos!$D$10</f>
        <v>#REF!</v>
      </c>
      <c r="BI52" s="45" t="e">
        <f>BI36*Supuestos!$D$10</f>
        <v>#REF!</v>
      </c>
      <c r="BJ52" s="45" t="e">
        <f>BJ36*Supuestos!$D$10</f>
        <v>#REF!</v>
      </c>
      <c r="BK52" s="45" t="e">
        <f>BK36*Supuestos!$D$10</f>
        <v>#REF!</v>
      </c>
      <c r="BL52" s="45" t="e">
        <f>BL36*Supuestos!$D$10</f>
        <v>#REF!</v>
      </c>
      <c r="BM52" s="45" t="e">
        <f>BM36*Supuestos!$D$10</f>
        <v>#REF!</v>
      </c>
      <c r="BN52" s="45" t="e">
        <f>BN36*Supuestos!$D$10</f>
        <v>#REF!</v>
      </c>
      <c r="BO52" s="45" t="e">
        <f>BO36*Supuestos!$D$10</f>
        <v>#REF!</v>
      </c>
      <c r="BP52" s="45" t="e">
        <f>BP36*Supuestos!$D$10</f>
        <v>#REF!</v>
      </c>
      <c r="BQ52" s="45" t="e">
        <f>BQ36*Supuestos!$D$10</f>
        <v>#REF!</v>
      </c>
      <c r="BR52" s="45" t="e">
        <f>BR36*Supuestos!$D$10</f>
        <v>#REF!</v>
      </c>
      <c r="BS52" s="45" t="e">
        <f>BS36*Supuestos!$D$10</f>
        <v>#REF!</v>
      </c>
      <c r="BT52" s="45" t="e">
        <f>BT36*Supuestos!$D$10</f>
        <v>#REF!</v>
      </c>
      <c r="BU52" s="45" t="e">
        <f>BU36*Supuestos!$D$10</f>
        <v>#REF!</v>
      </c>
      <c r="BV52" s="45" t="e">
        <f>BV36*Supuestos!$D$10</f>
        <v>#REF!</v>
      </c>
      <c r="BW52" s="45" t="e">
        <f>BW36*Supuestos!$D$10</f>
        <v>#REF!</v>
      </c>
      <c r="BX52" s="45" t="e">
        <f>BX36*Supuestos!$D$10</f>
        <v>#REF!</v>
      </c>
      <c r="BY52" s="45" t="e">
        <f>BY36*Supuestos!$D$10</f>
        <v>#REF!</v>
      </c>
      <c r="BZ52" s="45" t="e">
        <f>BZ36*Supuestos!$D$10</f>
        <v>#REF!</v>
      </c>
      <c r="CA52" s="45" t="e">
        <f>CA36*Supuestos!$D$10</f>
        <v>#REF!</v>
      </c>
      <c r="CB52" s="45" t="e">
        <f>CB36*Supuestos!$D$10</f>
        <v>#REF!</v>
      </c>
      <c r="CC52" s="45" t="e">
        <f>CC36*Supuestos!$D$10</f>
        <v>#REF!</v>
      </c>
      <c r="CD52" s="45" t="e">
        <f>CD36*Supuestos!$D$10</f>
        <v>#REF!</v>
      </c>
      <c r="CE52" s="45" t="e">
        <f>CE36*Supuestos!$D$10</f>
        <v>#REF!</v>
      </c>
      <c r="CF52" s="45" t="e">
        <f>CF36*Supuestos!$D$10</f>
        <v>#REF!</v>
      </c>
      <c r="CG52" s="45" t="e">
        <f>CG36*Supuestos!$D$10</f>
        <v>#REF!</v>
      </c>
      <c r="CH52" s="45">
        <f>CH36*Supuestos!$D$10</f>
        <v>1212895.4596758562</v>
      </c>
      <c r="CI52" s="45">
        <f>CI36*Supuestos!$D$10</f>
        <v>1192784.5029045271</v>
      </c>
      <c r="CJ52" s="45">
        <f>CJ36*Supuestos!$D$10</f>
        <v>1163797.9611323117</v>
      </c>
      <c r="CK52" s="45">
        <f>CK36*Supuestos!$D$10</f>
        <v>1191988.1232610203</v>
      </c>
      <c r="CL52" s="45">
        <f>CL36*Supuestos!$D$10</f>
        <v>1222825.8493230813</v>
      </c>
      <c r="CM52" s="45">
        <f>CM36*Supuestos!$D$10</f>
        <v>1217384.7174173633</v>
      </c>
      <c r="CN52" s="45">
        <f>CN36*Supuestos!$D$10</f>
        <v>1226189.2957236031</v>
      </c>
      <c r="CO52" s="45">
        <f>CO36*Supuestos!$D$10</f>
        <v>1262767.552832114</v>
      </c>
      <c r="CP52" s="45">
        <f>CP36*Supuestos!$D$10</f>
        <v>1295253.9707358072</v>
      </c>
      <c r="CQ52" s="114">
        <f>CQ36*Supuestos!$D$10</f>
        <v>1258878.0966490011</v>
      </c>
      <c r="CR52" s="45">
        <f>CR36*Supuestos!$D$10</f>
        <v>1214075.3788018818</v>
      </c>
      <c r="CS52" s="45">
        <f>CS36*Supuestos!$D$10</f>
        <v>1170753.6155397403</v>
      </c>
      <c r="CT52" s="45">
        <f>CT36*Supuestos!$D$10</f>
        <v>1128852.2378474355</v>
      </c>
      <c r="CU52" s="45">
        <f>CU36*Supuestos!$D$10</f>
        <v>1088165.6403504922</v>
      </c>
      <c r="CV52" s="45">
        <f>CV36*Supuestos!$D$10</f>
        <v>1047457.680738269</v>
      </c>
      <c r="CW52" s="45">
        <f>CW36*Supuestos!$D$10</f>
        <v>1006457.0171348932</v>
      </c>
      <c r="CX52" s="45">
        <f>CX36*Supuestos!$D$10</f>
        <v>967125.01802719745</v>
      </c>
      <c r="CY52" s="45">
        <f>CY36*Supuestos!$D$10</f>
        <v>930160.41627741104</v>
      </c>
      <c r="CZ52" s="45">
        <f>CZ36*Supuestos!$D$10</f>
        <v>893236.87278322433</v>
      </c>
      <c r="DA52" s="45">
        <f>DA36*Supuestos!$D$10</f>
        <v>856415.30054124689</v>
      </c>
      <c r="DB52" s="45">
        <f>DB36*Supuestos!$D$10</f>
        <v>819273.11288349074</v>
      </c>
      <c r="DC52" s="115">
        <f>DC36*Supuestos!$D$10</f>
        <v>785008.98826989613</v>
      </c>
      <c r="DD52" s="45">
        <f>DD36*Supuestos!$D$10</f>
        <v>750963.59558526136</v>
      </c>
      <c r="DE52" s="45">
        <f>DE36*Supuestos!$D$10</f>
        <v>716822.10195125011</v>
      </c>
      <c r="DF52" s="45">
        <f>DF36*Supuestos!$D$10</f>
        <v>683034.00268835004</v>
      </c>
      <c r="DG52" s="45">
        <f>DG36*Supuestos!$D$10</f>
        <v>650375.9063732943</v>
      </c>
      <c r="DH52" s="45">
        <f>DH36*Supuestos!$D$10</f>
        <v>617857.67838989745</v>
      </c>
      <c r="DI52" s="45">
        <f>DI36*Supuestos!$D$10</f>
        <v>585898.80268154189</v>
      </c>
      <c r="DJ52" s="45">
        <f>DJ36*Supuestos!$D$10</f>
        <v>553696.89417527884</v>
      </c>
      <c r="DK52" s="45">
        <f>DK36*Supuestos!$D$10</f>
        <v>523214.35010605969</v>
      </c>
      <c r="DL52" s="45">
        <f>DL36*Supuestos!$D$10</f>
        <v>493536.79733888217</v>
      </c>
      <c r="DM52" s="45">
        <f>DM36*Supuestos!$D$10</f>
        <v>465152.61831803567</v>
      </c>
      <c r="DN52" s="45">
        <f>DN36*Supuestos!$D$10</f>
        <v>438068.26230608305</v>
      </c>
      <c r="DO52" s="45">
        <f>DO36*Supuestos!$D$10</f>
        <v>413693.91420616145</v>
      </c>
      <c r="DP52" s="45">
        <f>DP36*Supuestos!$D$10</f>
        <v>391373.39831489365</v>
      </c>
      <c r="DQ52" s="45">
        <f>DQ36*Supuestos!$D$10</f>
        <v>369867.55672122596</v>
      </c>
      <c r="DR52" s="45">
        <f>DR36*Supuestos!$D$10</f>
        <v>348883.24094056943</v>
      </c>
      <c r="DS52" s="45">
        <f>DS36*Supuestos!$D$10</f>
        <v>327711.23688936158</v>
      </c>
      <c r="DT52" s="45">
        <f>DT36*Supuestos!$D$10</f>
        <v>307424.55831977795</v>
      </c>
      <c r="DU52" s="45">
        <f>DU36*Supuestos!$D$10</f>
        <v>287686.86465478636</v>
      </c>
      <c r="DV52" s="45">
        <f>DV36*Supuestos!$D$10</f>
        <v>269513.50017340225</v>
      </c>
      <c r="DW52" s="45">
        <f>DW36*Supuestos!$D$10</f>
        <v>252670.29620279942</v>
      </c>
      <c r="DX52" s="45">
        <f>DX36*Supuestos!$D$10</f>
        <v>236092.90157951636</v>
      </c>
      <c r="DY52" s="45">
        <f>DY36*Supuestos!$D$10</f>
        <v>220086.42895189469</v>
      </c>
      <c r="DZ52" s="45">
        <f>DZ36*Supuestos!$D$10</f>
        <v>204601.61449588637</v>
      </c>
      <c r="EA52" s="45">
        <f>EA36*Supuestos!$D$10</f>
        <v>189275.35359911408</v>
      </c>
      <c r="EB52" s="45">
        <f>EB36*Supuestos!$D$10</f>
        <v>174008.83076769946</v>
      </c>
      <c r="EC52" s="45">
        <f>EC36*Supuestos!$D$10</f>
        <v>158984.29576549272</v>
      </c>
      <c r="ED52" s="45">
        <f>ED36*Supuestos!$D$10</f>
        <v>143966.308156285</v>
      </c>
      <c r="EE52" s="45">
        <f>EE36*Supuestos!$D$10</f>
        <v>129337.29165179585</v>
      </c>
      <c r="EF52" s="45">
        <f>EF36*Supuestos!$D$10</f>
        <v>114631.64327640194</v>
      </c>
      <c r="EG52" s="45">
        <f>EG36*Supuestos!$D$10</f>
        <v>100440.13875566189</v>
      </c>
      <c r="EH52" s="45">
        <f>EH36*Supuestos!$D$10</f>
        <v>87555.699947124755</v>
      </c>
      <c r="EI52" s="45">
        <f>EI36*Supuestos!$D$10</f>
        <v>75172.310803298999</v>
      </c>
      <c r="EJ52" s="45">
        <f>EJ36*Supuestos!$D$10</f>
        <v>63136.883594298561</v>
      </c>
      <c r="EK52" s="45">
        <f>EK36*Supuestos!$D$10</f>
        <v>52466.444233302318</v>
      </c>
      <c r="EL52" s="45">
        <f>EL36*Supuestos!$D$10</f>
        <v>43732.680222654169</v>
      </c>
      <c r="EM52" s="45">
        <f>EM36*Supuestos!$D$10</f>
        <v>35691.920679648916</v>
      </c>
      <c r="EN52" s="45">
        <f>EN36*Supuestos!$D$10</f>
        <v>28744.758598613887</v>
      </c>
      <c r="EO52" s="45">
        <f>EO36*Supuestos!$D$10</f>
        <v>22506.002852135589</v>
      </c>
      <c r="EP52" s="45">
        <f>EP36*Supuestos!$D$10</f>
        <v>17789.200304462203</v>
      </c>
      <c r="EQ52" s="45">
        <f>EQ36*Supuestos!$D$10</f>
        <v>13587.164128320335</v>
      </c>
      <c r="ER52" s="45">
        <f>ER36*Supuestos!$D$10</f>
        <v>10395.198153580952</v>
      </c>
      <c r="ES52" s="45">
        <f>ES36*Supuestos!$D$10</f>
        <v>7514.0653157825582</v>
      </c>
      <c r="ET52" s="45">
        <f>ET36*Supuestos!$D$10</f>
        <v>5047.2771232144705</v>
      </c>
      <c r="EU52" s="45">
        <f>EU36*Supuestos!$D$10</f>
        <v>3015.2004501266206</v>
      </c>
      <c r="EV52" s="45">
        <f>EV36*Supuestos!$D$10</f>
        <v>1655.8471879924173</v>
      </c>
      <c r="EW52" s="45">
        <f>EW36*Supuestos!$D$10</f>
        <v>468.54222825397142</v>
      </c>
      <c r="EX52" s="45">
        <f>EX36*Supuestos!$D$10</f>
        <v>94.750157210709844</v>
      </c>
      <c r="EY52" s="45">
        <f>EY36*Supuestos!$D$10</f>
        <v>0</v>
      </c>
      <c r="EZ52" s="45">
        <f>EZ36*Supuestos!$D$10</f>
        <v>0</v>
      </c>
      <c r="FA52" s="45">
        <f>FA36*Supuestos!$D$10</f>
        <v>0</v>
      </c>
    </row>
    <row r="53" spans="1:157" ht="15.75" customHeight="1" x14ac:dyDescent="0.2">
      <c r="A53" s="113" t="s">
        <v>370</v>
      </c>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5"/>
      <c r="CA53" s="45"/>
      <c r="CB53" s="45"/>
      <c r="CC53" s="45"/>
      <c r="CD53" s="45"/>
      <c r="CE53" s="45"/>
      <c r="CF53" s="45"/>
      <c r="CG53" s="45"/>
      <c r="CH53" s="45">
        <v>0</v>
      </c>
      <c r="CI53" s="45">
        <v>0</v>
      </c>
      <c r="CJ53" s="45">
        <v>0</v>
      </c>
      <c r="CK53" s="45">
        <v>0</v>
      </c>
      <c r="CL53" s="45">
        <v>0</v>
      </c>
      <c r="CM53" s="45">
        <v>0</v>
      </c>
      <c r="CN53" s="45">
        <v>0</v>
      </c>
      <c r="CO53" s="45">
        <v>0</v>
      </c>
      <c r="CP53" s="45"/>
      <c r="CQ53" s="114">
        <v>0</v>
      </c>
      <c r="CR53" s="50"/>
      <c r="CS53" s="113"/>
      <c r="CT53" s="45"/>
      <c r="CU53" s="45"/>
      <c r="CV53" s="45"/>
      <c r="CW53" s="45">
        <f t="array" ref="CW53:DE53">TRANSPOSE('Crédito Syscap'!C2:C10)</f>
        <v>20000000</v>
      </c>
      <c r="CX53" s="45">
        <v>15000000</v>
      </c>
      <c r="CY53" s="45">
        <v>15000000</v>
      </c>
      <c r="CZ53" s="45">
        <v>0</v>
      </c>
      <c r="DA53" s="45">
        <v>0</v>
      </c>
      <c r="DB53" s="45">
        <v>0</v>
      </c>
      <c r="DC53" s="115">
        <v>0</v>
      </c>
      <c r="DD53" s="45">
        <v>0</v>
      </c>
      <c r="DE53" s="45">
        <v>0</v>
      </c>
      <c r="DF53" s="45"/>
      <c r="DG53" s="45"/>
      <c r="DH53" s="45"/>
      <c r="DI53" s="45"/>
      <c r="DJ53" s="45"/>
      <c r="DK53" s="45"/>
      <c r="DL53" s="45"/>
      <c r="DM53" s="45"/>
      <c r="DN53" s="45"/>
      <c r="DO53" s="45"/>
      <c r="DP53" s="45"/>
      <c r="DQ53" s="45"/>
      <c r="DR53" s="45"/>
      <c r="DS53" s="45"/>
      <c r="DT53" s="45"/>
      <c r="DU53" s="45"/>
      <c r="DV53" s="45"/>
      <c r="DW53" s="45"/>
      <c r="DX53" s="45"/>
      <c r="DY53" s="45"/>
      <c r="DZ53" s="45"/>
      <c r="EA53" s="45"/>
      <c r="EB53" s="45"/>
      <c r="EC53" s="45"/>
      <c r="ED53" s="45"/>
      <c r="EE53" s="45"/>
      <c r="EF53" s="45"/>
      <c r="EG53" s="45"/>
      <c r="EH53" s="45"/>
      <c r="EI53" s="45"/>
      <c r="EJ53" s="45"/>
      <c r="EK53" s="45"/>
      <c r="EL53" s="45"/>
      <c r="EM53" s="45"/>
      <c r="EN53" s="45"/>
      <c r="EO53" s="45"/>
      <c r="EP53" s="45"/>
      <c r="EQ53" s="45"/>
      <c r="ER53" s="45"/>
      <c r="ES53" s="45"/>
      <c r="ET53" s="45"/>
      <c r="EU53" s="45"/>
      <c r="EV53" s="45"/>
      <c r="EW53" s="45"/>
      <c r="EX53" s="45"/>
      <c r="EY53" s="45"/>
      <c r="EZ53" s="45"/>
      <c r="FA53" s="45"/>
    </row>
    <row r="54" spans="1:157" ht="15.75" customHeight="1" x14ac:dyDescent="0.2">
      <c r="A54" s="113" t="s">
        <v>370</v>
      </c>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5"/>
      <c r="CA54" s="45"/>
      <c r="CB54" s="45"/>
      <c r="CC54" s="45"/>
      <c r="CD54" s="45"/>
      <c r="CE54" s="45"/>
      <c r="CF54" s="45"/>
      <c r="CG54" s="45"/>
      <c r="CH54" s="45">
        <v>0</v>
      </c>
      <c r="CI54" s="45">
        <v>0</v>
      </c>
      <c r="CJ54" s="45">
        <v>0</v>
      </c>
      <c r="CK54" s="45">
        <v>0</v>
      </c>
      <c r="CL54" s="45">
        <v>0</v>
      </c>
      <c r="CM54" s="45">
        <v>0</v>
      </c>
      <c r="CN54" s="45">
        <v>0</v>
      </c>
      <c r="CO54" s="45">
        <v>0</v>
      </c>
      <c r="CP54" s="45">
        <f>Supuestos!$B$3</f>
        <v>5000000</v>
      </c>
      <c r="CQ54" s="114">
        <v>0</v>
      </c>
      <c r="CR54" s="50">
        <f>Supuestos!D5</f>
        <v>20000000</v>
      </c>
      <c r="CS54" s="113"/>
      <c r="CT54" s="45"/>
      <c r="CU54" s="45">
        <f t="array" ref="CU54:DC54">TRANSPOSE('Crédito Syscap'!C2:C10)</f>
        <v>20000000</v>
      </c>
      <c r="CV54" s="45">
        <v>15000000</v>
      </c>
      <c r="CW54" s="45">
        <v>15000000</v>
      </c>
      <c r="CX54" s="45">
        <v>0</v>
      </c>
      <c r="CY54" s="45">
        <v>0</v>
      </c>
      <c r="CZ54" s="45">
        <v>0</v>
      </c>
      <c r="DA54" s="45">
        <v>0</v>
      </c>
      <c r="DB54" s="45">
        <v>0</v>
      </c>
      <c r="DC54" s="115">
        <v>0</v>
      </c>
      <c r="DD54" s="45"/>
      <c r="DE54" s="45"/>
      <c r="DF54" s="45"/>
      <c r="DG54" s="45"/>
      <c r="DH54" s="45"/>
      <c r="DI54" s="45"/>
      <c r="DJ54" s="45"/>
      <c r="DK54" s="45"/>
      <c r="DL54" s="45"/>
      <c r="DM54" s="45"/>
      <c r="DN54" s="45"/>
      <c r="DO54" s="45"/>
      <c r="DP54" s="45"/>
      <c r="DQ54" s="45"/>
      <c r="DR54" s="45"/>
      <c r="DS54" s="45"/>
      <c r="DT54" s="45"/>
      <c r="DU54" s="45"/>
      <c r="DV54" s="45"/>
      <c r="DW54" s="45"/>
      <c r="DX54" s="45"/>
      <c r="DY54" s="45"/>
      <c r="DZ54" s="45"/>
      <c r="EA54" s="45"/>
      <c r="EB54" s="45"/>
      <c r="EC54" s="45"/>
      <c r="ED54" s="45"/>
      <c r="EE54" s="45"/>
      <c r="EF54" s="45"/>
      <c r="EG54" s="45"/>
      <c r="EH54" s="45"/>
      <c r="EI54" s="45"/>
      <c r="EJ54" s="45"/>
      <c r="EK54" s="45"/>
      <c r="EL54" s="45"/>
      <c r="EM54" s="45"/>
      <c r="EN54" s="45"/>
      <c r="EO54" s="45"/>
      <c r="EP54" s="45"/>
      <c r="EQ54" s="45"/>
      <c r="ER54" s="45"/>
      <c r="ES54" s="45"/>
      <c r="ET54" s="45"/>
      <c r="EU54" s="45"/>
      <c r="EV54" s="45"/>
      <c r="EW54" s="45"/>
      <c r="EX54" s="45"/>
      <c r="EY54" s="45"/>
      <c r="EZ54" s="45"/>
      <c r="FA54" s="45"/>
    </row>
    <row r="55" spans="1:157" ht="15.75" customHeight="1" x14ac:dyDescent="0.2">
      <c r="A55" s="113" t="s">
        <v>371</v>
      </c>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5"/>
      <c r="BZ55" s="45"/>
      <c r="CA55" s="45"/>
      <c r="CB55" s="45"/>
      <c r="CC55" s="45">
        <v>0</v>
      </c>
      <c r="CD55" s="45">
        <v>0</v>
      </c>
      <c r="CE55" s="45">
        <v>0</v>
      </c>
      <c r="CF55" s="45">
        <v>0</v>
      </c>
      <c r="CG55" s="45">
        <v>0</v>
      </c>
      <c r="CH55" s="45">
        <v>0</v>
      </c>
      <c r="CI55" s="45">
        <v>0</v>
      </c>
      <c r="CJ55" s="45">
        <v>0</v>
      </c>
      <c r="CK55" s="45">
        <v>0</v>
      </c>
      <c r="CL55" s="45">
        <v>0</v>
      </c>
      <c r="CM55" s="45">
        <v>0</v>
      </c>
      <c r="CN55" s="45">
        <v>0</v>
      </c>
      <c r="CO55" s="45">
        <v>0</v>
      </c>
      <c r="CP55" s="45">
        <f t="shared" ref="CP55:CR55" si="19">CO55+CP54</f>
        <v>5000000</v>
      </c>
      <c r="CQ55" s="114">
        <f t="shared" si="19"/>
        <v>5000000</v>
      </c>
      <c r="CR55" s="45">
        <f t="shared" si="19"/>
        <v>25000000</v>
      </c>
      <c r="CS55" s="45">
        <f t="shared" ref="CS55:CZ55" si="20">CR55+CS54+CS53</f>
        <v>25000000</v>
      </c>
      <c r="CT55" s="45">
        <f t="shared" si="20"/>
        <v>25000000</v>
      </c>
      <c r="CU55" s="45">
        <f t="shared" si="20"/>
        <v>45000000</v>
      </c>
      <c r="CV55" s="45">
        <f t="shared" si="20"/>
        <v>60000000</v>
      </c>
      <c r="CW55" s="45">
        <f t="shared" si="20"/>
        <v>95000000</v>
      </c>
      <c r="CX55" s="45">
        <f t="shared" si="20"/>
        <v>110000000</v>
      </c>
      <c r="CY55" s="45">
        <f t="shared" si="20"/>
        <v>125000000</v>
      </c>
      <c r="CZ55" s="45">
        <f t="shared" si="20"/>
        <v>125000000</v>
      </c>
      <c r="DA55" s="45">
        <f t="shared" ref="DA55:FA55" si="21">CZ55+DA54</f>
        <v>125000000</v>
      </c>
      <c r="DB55" s="45">
        <f t="shared" si="21"/>
        <v>125000000</v>
      </c>
      <c r="DC55" s="115">
        <f t="shared" si="21"/>
        <v>125000000</v>
      </c>
      <c r="DD55" s="45">
        <f t="shared" si="21"/>
        <v>125000000</v>
      </c>
      <c r="DE55" s="45">
        <f t="shared" si="21"/>
        <v>125000000</v>
      </c>
      <c r="DF55" s="45">
        <f t="shared" si="21"/>
        <v>125000000</v>
      </c>
      <c r="DG55" s="45">
        <f t="shared" si="21"/>
        <v>125000000</v>
      </c>
      <c r="DH55" s="45">
        <f t="shared" si="21"/>
        <v>125000000</v>
      </c>
      <c r="DI55" s="45">
        <f t="shared" si="21"/>
        <v>125000000</v>
      </c>
      <c r="DJ55" s="45">
        <f t="shared" si="21"/>
        <v>125000000</v>
      </c>
      <c r="DK55" s="45">
        <f t="shared" si="21"/>
        <v>125000000</v>
      </c>
      <c r="DL55" s="45">
        <f t="shared" si="21"/>
        <v>125000000</v>
      </c>
      <c r="DM55" s="45">
        <f t="shared" si="21"/>
        <v>125000000</v>
      </c>
      <c r="DN55" s="45">
        <f t="shared" si="21"/>
        <v>125000000</v>
      </c>
      <c r="DO55" s="45">
        <f t="shared" si="21"/>
        <v>125000000</v>
      </c>
      <c r="DP55" s="45">
        <f t="shared" si="21"/>
        <v>125000000</v>
      </c>
      <c r="DQ55" s="45">
        <f t="shared" si="21"/>
        <v>125000000</v>
      </c>
      <c r="DR55" s="45">
        <f t="shared" si="21"/>
        <v>125000000</v>
      </c>
      <c r="DS55" s="45">
        <f t="shared" si="21"/>
        <v>125000000</v>
      </c>
      <c r="DT55" s="45">
        <f t="shared" si="21"/>
        <v>125000000</v>
      </c>
      <c r="DU55" s="45">
        <f t="shared" si="21"/>
        <v>125000000</v>
      </c>
      <c r="DV55" s="45">
        <f t="shared" si="21"/>
        <v>125000000</v>
      </c>
      <c r="DW55" s="45">
        <f t="shared" si="21"/>
        <v>125000000</v>
      </c>
      <c r="DX55" s="45">
        <f t="shared" si="21"/>
        <v>125000000</v>
      </c>
      <c r="DY55" s="45">
        <f t="shared" si="21"/>
        <v>125000000</v>
      </c>
      <c r="DZ55" s="45">
        <f t="shared" si="21"/>
        <v>125000000</v>
      </c>
      <c r="EA55" s="45">
        <f t="shared" si="21"/>
        <v>125000000</v>
      </c>
      <c r="EB55" s="45">
        <f t="shared" si="21"/>
        <v>125000000</v>
      </c>
      <c r="EC55" s="45">
        <f t="shared" si="21"/>
        <v>125000000</v>
      </c>
      <c r="ED55" s="45">
        <f t="shared" si="21"/>
        <v>125000000</v>
      </c>
      <c r="EE55" s="45">
        <f t="shared" si="21"/>
        <v>125000000</v>
      </c>
      <c r="EF55" s="45">
        <f t="shared" si="21"/>
        <v>125000000</v>
      </c>
      <c r="EG55" s="45">
        <f t="shared" si="21"/>
        <v>125000000</v>
      </c>
      <c r="EH55" s="45">
        <f t="shared" si="21"/>
        <v>125000000</v>
      </c>
      <c r="EI55" s="45">
        <f t="shared" si="21"/>
        <v>125000000</v>
      </c>
      <c r="EJ55" s="45">
        <f t="shared" si="21"/>
        <v>125000000</v>
      </c>
      <c r="EK55" s="45">
        <f t="shared" si="21"/>
        <v>125000000</v>
      </c>
      <c r="EL55" s="45">
        <f t="shared" si="21"/>
        <v>125000000</v>
      </c>
      <c r="EM55" s="45">
        <f t="shared" si="21"/>
        <v>125000000</v>
      </c>
      <c r="EN55" s="45">
        <f t="shared" si="21"/>
        <v>125000000</v>
      </c>
      <c r="EO55" s="45">
        <f t="shared" si="21"/>
        <v>125000000</v>
      </c>
      <c r="EP55" s="45">
        <f t="shared" si="21"/>
        <v>125000000</v>
      </c>
      <c r="EQ55" s="45">
        <f t="shared" si="21"/>
        <v>125000000</v>
      </c>
      <c r="ER55" s="45">
        <f t="shared" si="21"/>
        <v>125000000</v>
      </c>
      <c r="ES55" s="45">
        <f t="shared" si="21"/>
        <v>125000000</v>
      </c>
      <c r="ET55" s="45">
        <f t="shared" si="21"/>
        <v>125000000</v>
      </c>
      <c r="EU55" s="45">
        <f t="shared" si="21"/>
        <v>125000000</v>
      </c>
      <c r="EV55" s="45">
        <f t="shared" si="21"/>
        <v>125000000</v>
      </c>
      <c r="EW55" s="45">
        <f t="shared" si="21"/>
        <v>125000000</v>
      </c>
      <c r="EX55" s="45">
        <f t="shared" si="21"/>
        <v>125000000</v>
      </c>
      <c r="EY55" s="45">
        <f t="shared" si="21"/>
        <v>125000000</v>
      </c>
      <c r="EZ55" s="45">
        <f t="shared" si="21"/>
        <v>125000000</v>
      </c>
      <c r="FA55" s="45">
        <f t="shared" si="21"/>
        <v>125000000</v>
      </c>
    </row>
    <row r="56" spans="1:157" ht="15.75" customHeight="1" x14ac:dyDescent="0.2">
      <c r="A56" s="44" t="s">
        <v>372</v>
      </c>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04"/>
      <c r="AJ56" s="104"/>
      <c r="AK56" s="104"/>
      <c r="AL56" s="104"/>
      <c r="AM56" s="104"/>
      <c r="AN56" s="104"/>
      <c r="AO56" s="104"/>
      <c r="AP56" s="104"/>
      <c r="AQ56" s="104"/>
      <c r="AR56" s="104"/>
      <c r="AS56" s="104"/>
      <c r="AT56" s="104"/>
      <c r="AU56" s="104"/>
      <c r="AV56" s="104"/>
      <c r="AW56" s="104"/>
      <c r="AX56" s="104"/>
      <c r="AY56" s="104"/>
      <c r="AZ56" s="104"/>
      <c r="BA56" s="104"/>
      <c r="BB56" s="104"/>
      <c r="BC56" s="104"/>
      <c r="BD56" s="104"/>
      <c r="BE56" s="104"/>
      <c r="BF56" s="104"/>
      <c r="BG56" s="104"/>
      <c r="BH56" s="104"/>
      <c r="BI56" s="104"/>
      <c r="BJ56" s="104"/>
      <c r="BK56" s="104"/>
      <c r="BL56" s="104"/>
      <c r="BM56" s="104"/>
      <c r="BN56" s="104"/>
      <c r="BO56" s="104"/>
      <c r="BP56" s="104"/>
      <c r="BQ56" s="104"/>
      <c r="BR56" s="104"/>
      <c r="BS56" s="104"/>
      <c r="BT56" s="104"/>
      <c r="BU56" s="104"/>
      <c r="BV56" s="104"/>
      <c r="BW56" s="104"/>
      <c r="BX56" s="104"/>
      <c r="BY56" s="104"/>
      <c r="BZ56" s="104"/>
      <c r="CA56" s="104"/>
      <c r="CB56" s="104"/>
      <c r="CC56" s="104"/>
      <c r="CD56" s="104"/>
      <c r="CE56" s="104"/>
      <c r="CF56" s="104"/>
      <c r="CG56" s="104"/>
      <c r="CH56" s="104">
        <f t="shared" ref="CH56:FA56" si="22">CH55+CH52</f>
        <v>1212895.4596758562</v>
      </c>
      <c r="CI56" s="104">
        <f t="shared" si="22"/>
        <v>1192784.5029045271</v>
      </c>
      <c r="CJ56" s="104">
        <f t="shared" si="22"/>
        <v>1163797.9611323117</v>
      </c>
      <c r="CK56" s="104">
        <f t="shared" si="22"/>
        <v>1191988.1232610203</v>
      </c>
      <c r="CL56" s="104">
        <f t="shared" si="22"/>
        <v>1222825.8493230813</v>
      </c>
      <c r="CM56" s="104">
        <f t="shared" si="22"/>
        <v>1217384.7174173633</v>
      </c>
      <c r="CN56" s="104">
        <f t="shared" si="22"/>
        <v>1226189.2957236031</v>
      </c>
      <c r="CO56" s="104">
        <f t="shared" si="22"/>
        <v>1262767.552832114</v>
      </c>
      <c r="CP56" s="104">
        <f t="shared" si="22"/>
        <v>6295253.970735807</v>
      </c>
      <c r="CQ56" s="109">
        <f t="shared" si="22"/>
        <v>6258878.0966490014</v>
      </c>
      <c r="CR56" s="104">
        <f t="shared" si="22"/>
        <v>26214075.378801882</v>
      </c>
      <c r="CS56" s="104">
        <f t="shared" si="22"/>
        <v>26170753.615539741</v>
      </c>
      <c r="CT56" s="104">
        <f t="shared" si="22"/>
        <v>26128852.237847436</v>
      </c>
      <c r="CU56" s="104">
        <f t="shared" si="22"/>
        <v>46088165.640350491</v>
      </c>
      <c r="CV56" s="104">
        <f t="shared" si="22"/>
        <v>61047457.68073827</v>
      </c>
      <c r="CW56" s="104">
        <f t="shared" si="22"/>
        <v>96006457.01713489</v>
      </c>
      <c r="CX56" s="104">
        <f t="shared" si="22"/>
        <v>110967125.0180272</v>
      </c>
      <c r="CY56" s="104">
        <f t="shared" si="22"/>
        <v>125930160.41627741</v>
      </c>
      <c r="CZ56" s="104">
        <f t="shared" si="22"/>
        <v>125893236.87278323</v>
      </c>
      <c r="DA56" s="104">
        <f t="shared" si="22"/>
        <v>125856415.30054125</v>
      </c>
      <c r="DB56" s="104">
        <f t="shared" si="22"/>
        <v>125819273.11288349</v>
      </c>
      <c r="DC56" s="110">
        <f t="shared" si="22"/>
        <v>125785008.9882699</v>
      </c>
      <c r="DD56" s="104">
        <f t="shared" si="22"/>
        <v>125750963.59558526</v>
      </c>
      <c r="DE56" s="104">
        <f t="shared" si="22"/>
        <v>125716822.10195126</v>
      </c>
      <c r="DF56" s="104">
        <f t="shared" si="22"/>
        <v>125683034.00268835</v>
      </c>
      <c r="DG56" s="104">
        <f t="shared" si="22"/>
        <v>125650375.90637329</v>
      </c>
      <c r="DH56" s="104">
        <f t="shared" si="22"/>
        <v>125617857.67838989</v>
      </c>
      <c r="DI56" s="104">
        <f t="shared" si="22"/>
        <v>125585898.80268154</v>
      </c>
      <c r="DJ56" s="104">
        <f t="shared" si="22"/>
        <v>125553696.89417528</v>
      </c>
      <c r="DK56" s="104">
        <f t="shared" si="22"/>
        <v>125523214.35010606</v>
      </c>
      <c r="DL56" s="104">
        <f t="shared" si="22"/>
        <v>125493536.79733889</v>
      </c>
      <c r="DM56" s="104">
        <f t="shared" si="22"/>
        <v>125465152.61831804</v>
      </c>
      <c r="DN56" s="104">
        <f t="shared" si="22"/>
        <v>125438068.26230608</v>
      </c>
      <c r="DO56" s="104">
        <f t="shared" si="22"/>
        <v>125413693.91420616</v>
      </c>
      <c r="DP56" s="104">
        <f t="shared" si="22"/>
        <v>125391373.39831489</v>
      </c>
      <c r="DQ56" s="104">
        <f t="shared" si="22"/>
        <v>125369867.55672123</v>
      </c>
      <c r="DR56" s="104">
        <f t="shared" si="22"/>
        <v>125348883.24094057</v>
      </c>
      <c r="DS56" s="104">
        <f t="shared" si="22"/>
        <v>125327711.23688936</v>
      </c>
      <c r="DT56" s="104">
        <f t="shared" si="22"/>
        <v>125307424.55831978</v>
      </c>
      <c r="DU56" s="104">
        <f t="shared" si="22"/>
        <v>125287686.86465478</v>
      </c>
      <c r="DV56" s="104">
        <f t="shared" si="22"/>
        <v>125269513.5001734</v>
      </c>
      <c r="DW56" s="104">
        <f t="shared" si="22"/>
        <v>125252670.29620279</v>
      </c>
      <c r="DX56" s="104">
        <f t="shared" si="22"/>
        <v>125236092.90157951</v>
      </c>
      <c r="DY56" s="104">
        <f t="shared" si="22"/>
        <v>125220086.42895189</v>
      </c>
      <c r="DZ56" s="104">
        <f t="shared" si="22"/>
        <v>125204601.61449589</v>
      </c>
      <c r="EA56" s="104">
        <f t="shared" si="22"/>
        <v>125189275.35359912</v>
      </c>
      <c r="EB56" s="104">
        <f t="shared" si="22"/>
        <v>125174008.83076771</v>
      </c>
      <c r="EC56" s="104">
        <f t="shared" si="22"/>
        <v>125158984.29576549</v>
      </c>
      <c r="ED56" s="104">
        <f t="shared" si="22"/>
        <v>125143966.30815628</v>
      </c>
      <c r="EE56" s="104">
        <f t="shared" si="22"/>
        <v>125129337.2916518</v>
      </c>
      <c r="EF56" s="104">
        <f t="shared" si="22"/>
        <v>125114631.64327641</v>
      </c>
      <c r="EG56" s="104">
        <f t="shared" si="22"/>
        <v>125100440.13875566</v>
      </c>
      <c r="EH56" s="104">
        <f t="shared" si="22"/>
        <v>125087555.69994712</v>
      </c>
      <c r="EI56" s="104">
        <f t="shared" si="22"/>
        <v>125075172.31080329</v>
      </c>
      <c r="EJ56" s="104">
        <f t="shared" si="22"/>
        <v>125063136.8835943</v>
      </c>
      <c r="EK56" s="104">
        <f t="shared" si="22"/>
        <v>125052466.4442333</v>
      </c>
      <c r="EL56" s="104">
        <f t="shared" si="22"/>
        <v>125043732.68022266</v>
      </c>
      <c r="EM56" s="104">
        <f t="shared" si="22"/>
        <v>125035691.92067964</v>
      </c>
      <c r="EN56" s="104">
        <f t="shared" si="22"/>
        <v>125028744.75859861</v>
      </c>
      <c r="EO56" s="104">
        <f t="shared" si="22"/>
        <v>125022506.00285214</v>
      </c>
      <c r="EP56" s="104">
        <f t="shared" si="22"/>
        <v>125017789.20030446</v>
      </c>
      <c r="EQ56" s="104">
        <f t="shared" si="22"/>
        <v>125013587.16412832</v>
      </c>
      <c r="ER56" s="104">
        <f t="shared" si="22"/>
        <v>125010395.19815359</v>
      </c>
      <c r="ES56" s="104">
        <f t="shared" si="22"/>
        <v>125007514.06531578</v>
      </c>
      <c r="ET56" s="104">
        <f t="shared" si="22"/>
        <v>125005047.27712321</v>
      </c>
      <c r="EU56" s="104">
        <f t="shared" si="22"/>
        <v>125003015.20045012</v>
      </c>
      <c r="EV56" s="104">
        <f t="shared" si="22"/>
        <v>125001655.847188</v>
      </c>
      <c r="EW56" s="104">
        <f t="shared" si="22"/>
        <v>125000468.54222825</v>
      </c>
      <c r="EX56" s="104">
        <f t="shared" si="22"/>
        <v>125000094.75015721</v>
      </c>
      <c r="EY56" s="104">
        <f t="shared" si="22"/>
        <v>125000000</v>
      </c>
      <c r="EZ56" s="104">
        <f t="shared" si="22"/>
        <v>125000000</v>
      </c>
      <c r="FA56" s="104">
        <f t="shared" si="22"/>
        <v>125000000</v>
      </c>
    </row>
    <row r="57" spans="1:157" ht="15.75" customHeight="1" x14ac:dyDescent="0.2">
      <c r="A57" s="4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04"/>
      <c r="AJ57" s="104"/>
      <c r="AK57" s="104"/>
      <c r="AL57" s="104"/>
      <c r="AM57" s="104"/>
      <c r="AN57" s="104"/>
      <c r="AO57" s="104"/>
      <c r="AP57" s="104"/>
      <c r="AQ57" s="104"/>
      <c r="AR57" s="104"/>
      <c r="AS57" s="104"/>
      <c r="AT57" s="104"/>
      <c r="AU57" s="104"/>
      <c r="AV57" s="104"/>
      <c r="AW57" s="104"/>
      <c r="AX57" s="104"/>
      <c r="AY57" s="104"/>
      <c r="AZ57" s="104"/>
      <c r="BA57" s="104"/>
      <c r="BB57" s="104"/>
      <c r="BC57" s="104"/>
      <c r="BD57" s="104"/>
      <c r="BE57" s="104"/>
      <c r="BF57" s="104"/>
      <c r="BG57" s="104"/>
      <c r="BH57" s="104"/>
      <c r="BI57" s="104"/>
      <c r="BJ57" s="104"/>
      <c r="BK57" s="104"/>
      <c r="BL57" s="104"/>
      <c r="BM57" s="104"/>
      <c r="BN57" s="104"/>
      <c r="BO57" s="104"/>
      <c r="BP57" s="104"/>
      <c r="BQ57" s="104"/>
      <c r="BR57" s="104"/>
      <c r="BS57" s="104"/>
      <c r="BT57" s="104"/>
      <c r="BU57" s="104"/>
      <c r="BV57" s="104"/>
      <c r="BW57" s="104"/>
      <c r="BX57" s="104"/>
      <c r="BY57" s="104"/>
      <c r="BZ57" s="104"/>
      <c r="CA57" s="104"/>
      <c r="CB57" s="104"/>
      <c r="CC57" s="104"/>
      <c r="CD57" s="104"/>
      <c r="CE57" s="104"/>
      <c r="CF57" s="104"/>
      <c r="CG57" s="104"/>
      <c r="CH57" s="104"/>
      <c r="CI57" s="104"/>
      <c r="CJ57" s="104"/>
      <c r="CK57" s="104"/>
      <c r="CL57" s="104"/>
      <c r="CM57" s="104"/>
      <c r="CN57" s="104"/>
      <c r="CO57" s="104"/>
      <c r="CP57" s="104"/>
      <c r="CQ57" s="109"/>
      <c r="CR57" s="118">
        <f t="shared" ref="CR57:DP57" si="23">CR56/(CR39+CR56)</f>
        <v>0.14582803694076932</v>
      </c>
      <c r="CS57" s="118">
        <f t="shared" si="23"/>
        <v>0.14469495273928842</v>
      </c>
      <c r="CT57" s="118">
        <f t="shared" si="23"/>
        <v>0.14357554023691541</v>
      </c>
      <c r="CU57" s="118">
        <f t="shared" si="23"/>
        <v>0.22690670881293545</v>
      </c>
      <c r="CV57" s="118">
        <f t="shared" si="23"/>
        <v>0.27843507848026661</v>
      </c>
      <c r="CW57" s="118">
        <f t="shared" si="23"/>
        <v>0.37590983097776476</v>
      </c>
      <c r="CX57" s="118">
        <f t="shared" si="23"/>
        <v>0.40863791255132093</v>
      </c>
      <c r="CY57" s="118">
        <f t="shared" si="23"/>
        <v>0.43768134584669116</v>
      </c>
      <c r="CZ57" s="118">
        <f t="shared" si="23"/>
        <v>0.43577112105059967</v>
      </c>
      <c r="DA57" s="118">
        <f t="shared" si="23"/>
        <v>0.43386297864239176</v>
      </c>
      <c r="DB57" s="118">
        <f t="shared" si="23"/>
        <v>0.43195614871133264</v>
      </c>
      <c r="DC57" s="118">
        <f t="shared" si="23"/>
        <v>0.43005692022136349</v>
      </c>
      <c r="DD57" s="118">
        <f t="shared" si="23"/>
        <v>0.42816015580837158</v>
      </c>
      <c r="DE57" s="118">
        <f t="shared" si="23"/>
        <v>0.42626529543094338</v>
      </c>
      <c r="DF57" s="118">
        <f t="shared" si="23"/>
        <v>0.42437326646969503</v>
      </c>
      <c r="DG57" s="118">
        <f t="shared" si="23"/>
        <v>0.42248562808293838</v>
      </c>
      <c r="DH57" s="118">
        <f t="shared" si="23"/>
        <v>0.42060050585581754</v>
      </c>
      <c r="DI57" s="118">
        <f t="shared" si="23"/>
        <v>0.41871876422093446</v>
      </c>
      <c r="DJ57" s="118">
        <f t="shared" si="23"/>
        <v>0.41683889834282684</v>
      </c>
      <c r="DK57" s="118">
        <f t="shared" si="23"/>
        <v>0.41496475670529892</v>
      </c>
      <c r="DL57" s="118">
        <f t="shared" si="23"/>
        <v>0.41309461334924319</v>
      </c>
      <c r="DM57" s="118">
        <f t="shared" si="23"/>
        <v>0.41122945634388558</v>
      </c>
      <c r="DN57" s="118">
        <f t="shared" si="23"/>
        <v>0.4093693398776509</v>
      </c>
      <c r="DO57" s="118">
        <f t="shared" si="23"/>
        <v>0.40751701981120703</v>
      </c>
      <c r="DP57" s="118">
        <f t="shared" si="23"/>
        <v>0.40567126450604402</v>
      </c>
      <c r="DQ57" s="104"/>
      <c r="DR57" s="104"/>
      <c r="DS57" s="104"/>
      <c r="DT57" s="104"/>
      <c r="DU57" s="104"/>
      <c r="DV57" s="104"/>
      <c r="DW57" s="104"/>
      <c r="DX57" s="104"/>
      <c r="DY57" s="104"/>
      <c r="DZ57" s="104"/>
      <c r="EA57" s="104"/>
      <c r="EB57" s="104"/>
      <c r="EC57" s="104"/>
      <c r="ED57" s="104"/>
      <c r="EE57" s="104"/>
      <c r="EF57" s="104"/>
      <c r="EG57" s="104"/>
      <c r="EH57" s="104"/>
      <c r="EI57" s="104"/>
      <c r="EJ57" s="104"/>
      <c r="EK57" s="104"/>
      <c r="EL57" s="104"/>
      <c r="EM57" s="104"/>
      <c r="EN57" s="104"/>
      <c r="EO57" s="104"/>
      <c r="EP57" s="104"/>
      <c r="EQ57" s="104"/>
      <c r="ER57" s="104"/>
      <c r="ES57" s="104"/>
      <c r="ET57" s="104"/>
      <c r="EU57" s="104"/>
      <c r="EV57" s="104"/>
      <c r="EW57" s="104"/>
      <c r="EX57" s="104"/>
      <c r="EY57" s="104"/>
      <c r="EZ57" s="104"/>
      <c r="FA57" s="104"/>
    </row>
    <row r="58" spans="1:157" ht="15.75" customHeight="1" x14ac:dyDescent="0.2">
      <c r="A58" s="33" t="s">
        <v>303</v>
      </c>
      <c r="BY58" s="45" t="e">
        <f t="shared" ref="BY58:CQ58" si="24">-BY52/BY39*BY37</f>
        <v>#REF!</v>
      </c>
      <c r="BZ58" s="45" t="e">
        <f t="shared" si="24"/>
        <v>#REF!</v>
      </c>
      <c r="CA58" s="45" t="e">
        <f t="shared" si="24"/>
        <v>#REF!</v>
      </c>
      <c r="CB58" s="45" t="e">
        <f t="shared" si="24"/>
        <v>#REF!</v>
      </c>
      <c r="CC58" s="45" t="e">
        <f t="shared" si="24"/>
        <v>#REF!</v>
      </c>
      <c r="CD58" s="45" t="e">
        <f t="shared" si="24"/>
        <v>#REF!</v>
      </c>
      <c r="CE58" s="45" t="e">
        <f t="shared" si="24"/>
        <v>#REF!</v>
      </c>
      <c r="CF58" s="45" t="e">
        <f t="shared" si="24"/>
        <v>#REF!</v>
      </c>
      <c r="CG58" s="45" t="e">
        <f t="shared" si="24"/>
        <v>#REF!</v>
      </c>
      <c r="CH58" s="45">
        <f t="shared" si="24"/>
        <v>-178150.08746638207</v>
      </c>
      <c r="CI58" s="45">
        <f t="shared" si="24"/>
        <v>-199421.81301391832</v>
      </c>
      <c r="CJ58" s="45">
        <f t="shared" si="24"/>
        <v>-200462.06982968841</v>
      </c>
      <c r="CK58" s="45">
        <f t="shared" si="24"/>
        <v>-203859.36399471504</v>
      </c>
      <c r="CL58" s="45">
        <f t="shared" si="24"/>
        <v>-211884.24213989309</v>
      </c>
      <c r="CM58" s="45">
        <f t="shared" si="24"/>
        <v>-216080.23650001449</v>
      </c>
      <c r="CN58" s="45">
        <f t="shared" si="24"/>
        <v>-216355.98118279988</v>
      </c>
      <c r="CO58" s="45">
        <f t="shared" si="24"/>
        <v>-218131.73209356584</v>
      </c>
      <c r="CP58" s="45">
        <f t="shared" si="24"/>
        <v>-220096.59552065798</v>
      </c>
      <c r="CQ58" s="114">
        <f t="shared" si="24"/>
        <v>-219021.18500810221</v>
      </c>
      <c r="CR58" s="45">
        <v>0</v>
      </c>
      <c r="CS58" s="45">
        <v>0</v>
      </c>
      <c r="CT58" s="45">
        <v>0</v>
      </c>
      <c r="CU58" s="45">
        <v>0</v>
      </c>
      <c r="CV58" s="45">
        <v>0</v>
      </c>
      <c r="CW58" s="45">
        <v>0</v>
      </c>
      <c r="CX58" s="45">
        <v>0</v>
      </c>
      <c r="CY58" s="45">
        <v>0</v>
      </c>
      <c r="CZ58" s="45">
        <v>0</v>
      </c>
      <c r="DA58" s="45">
        <v>0</v>
      </c>
      <c r="DB58" s="45">
        <v>0</v>
      </c>
      <c r="DC58" s="45">
        <v>0</v>
      </c>
      <c r="DD58" s="45">
        <v>0</v>
      </c>
      <c r="DE58" s="45">
        <v>0</v>
      </c>
      <c r="DF58" s="45">
        <v>0</v>
      </c>
      <c r="DG58" s="45">
        <v>0</v>
      </c>
      <c r="DH58" s="45">
        <v>0</v>
      </c>
      <c r="DI58" s="45">
        <v>0</v>
      </c>
      <c r="DJ58" s="45">
        <v>0</v>
      </c>
      <c r="DK58" s="45">
        <v>0</v>
      </c>
      <c r="DL58" s="45">
        <v>0</v>
      </c>
      <c r="DM58" s="45">
        <v>0</v>
      </c>
      <c r="DN58" s="45">
        <v>0</v>
      </c>
      <c r="DO58" s="45">
        <v>0</v>
      </c>
      <c r="DP58" s="45">
        <v>0</v>
      </c>
      <c r="DQ58" s="45">
        <v>0</v>
      </c>
      <c r="DR58" s="45">
        <v>0</v>
      </c>
      <c r="DS58" s="45">
        <v>0</v>
      </c>
      <c r="DT58" s="45">
        <v>0</v>
      </c>
      <c r="DU58" s="45">
        <v>0</v>
      </c>
      <c r="DV58" s="45">
        <v>0</v>
      </c>
      <c r="DW58" s="45">
        <v>0</v>
      </c>
      <c r="DX58" s="45">
        <v>0</v>
      </c>
      <c r="DY58" s="45">
        <v>0</v>
      </c>
      <c r="DZ58" s="45">
        <v>0</v>
      </c>
      <c r="EA58" s="45">
        <v>0</v>
      </c>
      <c r="EB58" s="45">
        <v>0</v>
      </c>
      <c r="EC58" s="45">
        <v>0</v>
      </c>
      <c r="ED58" s="45">
        <v>0</v>
      </c>
      <c r="EE58" s="45">
        <v>0</v>
      </c>
      <c r="EF58" s="45">
        <v>0</v>
      </c>
      <c r="EG58" s="45">
        <v>0</v>
      </c>
      <c r="EH58" s="45">
        <v>0</v>
      </c>
      <c r="EI58" s="45">
        <v>0</v>
      </c>
      <c r="EJ58" s="45">
        <v>0</v>
      </c>
      <c r="EK58" s="45">
        <v>0</v>
      </c>
      <c r="EL58" s="45">
        <v>0</v>
      </c>
      <c r="EM58" s="45">
        <v>0</v>
      </c>
      <c r="EN58" s="45">
        <v>0</v>
      </c>
      <c r="EO58" s="45">
        <v>0</v>
      </c>
      <c r="EP58" s="45">
        <v>0</v>
      </c>
      <c r="EQ58" s="45">
        <v>0</v>
      </c>
      <c r="ER58" s="45">
        <v>0</v>
      </c>
      <c r="ES58" s="45">
        <v>0</v>
      </c>
      <c r="ET58" s="45">
        <v>0</v>
      </c>
      <c r="EU58" s="45">
        <v>0</v>
      </c>
      <c r="EV58" s="45">
        <v>0</v>
      </c>
      <c r="EW58" s="45">
        <v>0</v>
      </c>
      <c r="EX58" s="45">
        <v>0</v>
      </c>
      <c r="EY58" s="45">
        <v>0</v>
      </c>
      <c r="EZ58" s="45">
        <v>0</v>
      </c>
      <c r="FA58" s="45">
        <v>0</v>
      </c>
    </row>
    <row r="59" spans="1:157" ht="15.75" customHeight="1" x14ac:dyDescent="0.2">
      <c r="A59" s="33" t="s">
        <v>209</v>
      </c>
      <c r="BY59" s="45">
        <f>Supuestos!$D2</f>
        <v>0</v>
      </c>
      <c r="BZ59" s="45">
        <f>Supuestos!$D2</f>
        <v>0</v>
      </c>
      <c r="CA59" s="45">
        <f>Supuestos!$D2</f>
        <v>0</v>
      </c>
      <c r="CB59" s="45">
        <f>Supuestos!$D2</f>
        <v>0</v>
      </c>
      <c r="CC59" s="45">
        <f>Supuestos!$D2</f>
        <v>0</v>
      </c>
      <c r="CD59" s="45">
        <f>Supuestos!$D2</f>
        <v>0</v>
      </c>
      <c r="CE59" s="45">
        <f>Supuestos!$D2</f>
        <v>0</v>
      </c>
      <c r="CF59" s="45">
        <f>Supuestos!$D2</f>
        <v>0</v>
      </c>
      <c r="CG59" s="45">
        <f>Supuestos!$D2</f>
        <v>0</v>
      </c>
      <c r="CH59" s="45">
        <f>Supuestos!$D2</f>
        <v>0</v>
      </c>
      <c r="CI59" s="45">
        <f>Supuestos!$D2</f>
        <v>0</v>
      </c>
      <c r="CJ59" s="45">
        <f>Supuestos!$D2</f>
        <v>0</v>
      </c>
      <c r="CK59" s="45">
        <f>Supuestos!$D2</f>
        <v>0</v>
      </c>
      <c r="CL59" s="45">
        <f>Supuestos!$D2</f>
        <v>0</v>
      </c>
      <c r="CM59" s="45">
        <f>Supuestos!$D2</f>
        <v>0</v>
      </c>
      <c r="CN59" s="45">
        <f>Supuestos!$D2</f>
        <v>0</v>
      </c>
      <c r="CO59" s="45">
        <f>Supuestos!$D2</f>
        <v>0</v>
      </c>
      <c r="CP59" s="45">
        <f>Supuestos!$D2</f>
        <v>0</v>
      </c>
      <c r="CQ59" s="114">
        <f>Supuestos!$D2</f>
        <v>0</v>
      </c>
      <c r="CR59" s="45">
        <f>Supuestos!$D2</f>
        <v>0</v>
      </c>
      <c r="CS59" s="45">
        <f>Supuestos!$D2</f>
        <v>0</v>
      </c>
      <c r="CT59" s="45">
        <f>Supuestos!$D2</f>
        <v>0</v>
      </c>
      <c r="CU59" s="45">
        <f>Supuestos!$D2</f>
        <v>0</v>
      </c>
      <c r="CV59" s="45">
        <f>Supuestos!$D2</f>
        <v>0</v>
      </c>
      <c r="CW59" s="45">
        <f>Supuestos!$D2</f>
        <v>0</v>
      </c>
      <c r="CX59" s="45">
        <f>Supuestos!$D2</f>
        <v>0</v>
      </c>
      <c r="CY59" s="45">
        <f>Supuestos!$D2</f>
        <v>0</v>
      </c>
      <c r="CZ59" s="45">
        <f>Supuestos!$D2</f>
        <v>0</v>
      </c>
      <c r="DA59" s="45">
        <f>Supuestos!$D2</f>
        <v>0</v>
      </c>
      <c r="DB59" s="45">
        <f>Supuestos!$D2</f>
        <v>0</v>
      </c>
      <c r="DC59" s="115">
        <f>Supuestos!$D2</f>
        <v>0</v>
      </c>
      <c r="DD59" s="45">
        <f>Supuestos!$D2</f>
        <v>0</v>
      </c>
      <c r="DE59" s="45">
        <f>Supuestos!$D2</f>
        <v>0</v>
      </c>
      <c r="DF59" s="45">
        <f>Supuestos!$D2</f>
        <v>0</v>
      </c>
      <c r="DG59" s="45">
        <f>Supuestos!$D2</f>
        <v>0</v>
      </c>
      <c r="DH59" s="45">
        <f>Supuestos!$D2</f>
        <v>0</v>
      </c>
      <c r="DI59" s="45">
        <f>Supuestos!$D2</f>
        <v>0</v>
      </c>
      <c r="DJ59" s="45">
        <f>Supuestos!$D2</f>
        <v>0</v>
      </c>
      <c r="DK59" s="45">
        <f>Supuestos!$D2</f>
        <v>0</v>
      </c>
      <c r="DL59" s="45">
        <f>Supuestos!$D2</f>
        <v>0</v>
      </c>
      <c r="DM59" s="45">
        <f>Supuestos!$D2</f>
        <v>0</v>
      </c>
      <c r="DN59" s="45">
        <f>Supuestos!$D2</f>
        <v>0</v>
      </c>
      <c r="DO59" s="45">
        <f>Supuestos!$D2</f>
        <v>0</v>
      </c>
      <c r="DP59" s="45">
        <f>Supuestos!$D2</f>
        <v>0</v>
      </c>
      <c r="DQ59" s="45">
        <f>Supuestos!$D2</f>
        <v>0</v>
      </c>
      <c r="DR59" s="45">
        <f>Supuestos!$D2</f>
        <v>0</v>
      </c>
      <c r="DS59" s="45">
        <f>Supuestos!$D2</f>
        <v>0</v>
      </c>
      <c r="DT59" s="45">
        <f>Supuestos!$D2</f>
        <v>0</v>
      </c>
      <c r="DU59" s="45">
        <f>Supuestos!$D2</f>
        <v>0</v>
      </c>
      <c r="DV59" s="45">
        <f>Supuestos!$D2</f>
        <v>0</v>
      </c>
      <c r="DW59" s="45">
        <f>Supuestos!$D2</f>
        <v>0</v>
      </c>
      <c r="DX59" s="45">
        <f>Supuestos!$D2</f>
        <v>0</v>
      </c>
      <c r="DY59" s="45">
        <f>Supuestos!$D2</f>
        <v>0</v>
      </c>
      <c r="DZ59" s="45">
        <f>Supuestos!$D2</f>
        <v>0</v>
      </c>
      <c r="EA59" s="45">
        <f>Supuestos!$D2</f>
        <v>0</v>
      </c>
      <c r="EB59" s="45">
        <f>Supuestos!$D2</f>
        <v>0</v>
      </c>
      <c r="EC59" s="45">
        <f>Supuestos!$D2</f>
        <v>0</v>
      </c>
      <c r="ED59" s="45">
        <f>Supuestos!$D2</f>
        <v>0</v>
      </c>
      <c r="EE59" s="45">
        <f>Supuestos!$D2</f>
        <v>0</v>
      </c>
      <c r="EF59" s="45">
        <f>Supuestos!$D2</f>
        <v>0</v>
      </c>
      <c r="EG59" s="45">
        <f>Supuestos!$D2</f>
        <v>0</v>
      </c>
      <c r="EH59" s="45">
        <f>Supuestos!$D2</f>
        <v>0</v>
      </c>
      <c r="EI59" s="45">
        <f>Supuestos!$D2</f>
        <v>0</v>
      </c>
      <c r="EJ59" s="45">
        <f>Supuestos!$D2</f>
        <v>0</v>
      </c>
      <c r="EK59" s="45">
        <f>Supuestos!$D2</f>
        <v>0</v>
      </c>
      <c r="EL59" s="45">
        <f>Supuestos!$D2</f>
        <v>0</v>
      </c>
      <c r="EM59" s="45">
        <f>Supuestos!$D2</f>
        <v>0</v>
      </c>
      <c r="EN59" s="45">
        <f>Supuestos!$D2</f>
        <v>0</v>
      </c>
      <c r="EO59" s="45">
        <f>Supuestos!$D2</f>
        <v>0</v>
      </c>
      <c r="EP59" s="45">
        <f>Supuestos!$D2</f>
        <v>0</v>
      </c>
      <c r="EQ59" s="45">
        <f>Supuestos!$D2</f>
        <v>0</v>
      </c>
      <c r="ER59" s="45">
        <f>Supuestos!$D2</f>
        <v>0</v>
      </c>
      <c r="ES59" s="45">
        <f>Supuestos!$D2</f>
        <v>0</v>
      </c>
      <c r="ET59" s="45">
        <f>Supuestos!$D2</f>
        <v>0</v>
      </c>
      <c r="EU59" s="45">
        <f>Supuestos!$D2</f>
        <v>0</v>
      </c>
      <c r="EV59" s="45">
        <f>Supuestos!$D2</f>
        <v>0</v>
      </c>
      <c r="EW59" s="45">
        <f>Supuestos!$D2</f>
        <v>0</v>
      </c>
      <c r="EX59" s="45">
        <f>Supuestos!$D2</f>
        <v>0</v>
      </c>
      <c r="EY59" s="45">
        <f>Supuestos!$D2</f>
        <v>0</v>
      </c>
      <c r="EZ59" s="45">
        <f>Supuestos!$D2</f>
        <v>0</v>
      </c>
      <c r="FA59" s="45">
        <f>Supuestos!$D2</f>
        <v>0</v>
      </c>
    </row>
    <row r="60" spans="1:157" ht="15.75" customHeight="1" x14ac:dyDescent="0.2">
      <c r="A60" s="33" t="s">
        <v>211</v>
      </c>
      <c r="BY60" s="45">
        <f>Supuestos!$D3</f>
        <v>1500000</v>
      </c>
      <c r="BZ60" s="45">
        <f>Supuestos!$D3</f>
        <v>1500000</v>
      </c>
      <c r="CA60" s="45">
        <f>Supuestos!$D3</f>
        <v>1500000</v>
      </c>
      <c r="CB60" s="45">
        <f>Supuestos!$D3</f>
        <v>1500000</v>
      </c>
      <c r="CC60" s="45">
        <f>Supuestos!$D3</f>
        <v>1500000</v>
      </c>
      <c r="CD60" s="45">
        <f>Supuestos!$D3</f>
        <v>1500000</v>
      </c>
      <c r="CE60" s="45">
        <f>Supuestos!$D3</f>
        <v>1500000</v>
      </c>
      <c r="CF60" s="45">
        <f>Supuestos!$D3</f>
        <v>1500000</v>
      </c>
      <c r="CG60" s="45">
        <f>Supuestos!$D3</f>
        <v>1500000</v>
      </c>
      <c r="CH60" s="45">
        <f>Supuestos!$D3</f>
        <v>1500000</v>
      </c>
      <c r="CI60" s="45">
        <f>Supuestos!$D3</f>
        <v>1500000</v>
      </c>
      <c r="CJ60" s="45">
        <f>Supuestos!$D3</f>
        <v>1500000</v>
      </c>
      <c r="CK60" s="45">
        <f>Supuestos!$D3</f>
        <v>1500000</v>
      </c>
      <c r="CL60" s="45">
        <f>Supuestos!$D3</f>
        <v>1500000</v>
      </c>
      <c r="CM60" s="45">
        <f>Supuestos!$D3</f>
        <v>1500000</v>
      </c>
      <c r="CN60" s="45">
        <f>Supuestos!$D3</f>
        <v>1500000</v>
      </c>
      <c r="CO60" s="45">
        <f>Supuestos!$D3</f>
        <v>1500000</v>
      </c>
      <c r="CP60" s="45">
        <f>Supuestos!$D3</f>
        <v>1500000</v>
      </c>
      <c r="CQ60" s="114">
        <f>Supuestos!$D3</f>
        <v>1500000</v>
      </c>
      <c r="CR60" s="45">
        <f>Supuestos!$D3</f>
        <v>1500000</v>
      </c>
      <c r="CS60" s="45">
        <f>Supuestos!$D3</f>
        <v>1500000</v>
      </c>
      <c r="CT60" s="45">
        <f>Supuestos!$D3</f>
        <v>1500000</v>
      </c>
      <c r="CU60" s="45">
        <f>Supuestos!$D3</f>
        <v>1500000</v>
      </c>
      <c r="CV60" s="45">
        <f>Supuestos!$D3</f>
        <v>1500000</v>
      </c>
      <c r="CW60" s="45">
        <f>Supuestos!$D3</f>
        <v>1500000</v>
      </c>
      <c r="CX60" s="45">
        <f>Supuestos!$D3</f>
        <v>1500000</v>
      </c>
      <c r="CY60" s="45">
        <f>Supuestos!$D3</f>
        <v>1500000</v>
      </c>
      <c r="CZ60" s="45">
        <f>Supuestos!$D3</f>
        <v>1500000</v>
      </c>
      <c r="DA60" s="45">
        <f>Supuestos!$D3</f>
        <v>1500000</v>
      </c>
      <c r="DB60" s="45">
        <f>Supuestos!$D3</f>
        <v>1500000</v>
      </c>
      <c r="DC60" s="115">
        <f>Supuestos!$D3</f>
        <v>1500000</v>
      </c>
      <c r="DD60" s="45">
        <f>Supuestos!$D3</f>
        <v>1500000</v>
      </c>
      <c r="DE60" s="45">
        <f>Supuestos!$D3</f>
        <v>1500000</v>
      </c>
      <c r="DF60" s="45">
        <f>Supuestos!$D3</f>
        <v>1500000</v>
      </c>
      <c r="DG60" s="45">
        <f>Supuestos!$D3</f>
        <v>1500000</v>
      </c>
      <c r="DH60" s="45">
        <f>Supuestos!$D3</f>
        <v>1500000</v>
      </c>
      <c r="DI60" s="45">
        <f>Supuestos!$D3</f>
        <v>1500000</v>
      </c>
      <c r="DJ60" s="45">
        <f>Supuestos!$D3</f>
        <v>1500000</v>
      </c>
      <c r="DK60" s="45">
        <f>Supuestos!$D3</f>
        <v>1500000</v>
      </c>
      <c r="DL60" s="45">
        <f>Supuestos!$D3</f>
        <v>1500000</v>
      </c>
      <c r="DM60" s="45">
        <f>Supuestos!$D3</f>
        <v>1500000</v>
      </c>
      <c r="DN60" s="45">
        <f>Supuestos!$D3</f>
        <v>1500000</v>
      </c>
      <c r="DO60" s="45">
        <f>Supuestos!$D3</f>
        <v>1500000</v>
      </c>
      <c r="DP60" s="45">
        <f>Supuestos!$D3</f>
        <v>1500000</v>
      </c>
      <c r="DQ60" s="45">
        <f>Supuestos!$D3</f>
        <v>1500000</v>
      </c>
      <c r="DR60" s="45">
        <f>Supuestos!$D3</f>
        <v>1500000</v>
      </c>
      <c r="DS60" s="45">
        <f>Supuestos!$D3</f>
        <v>1500000</v>
      </c>
      <c r="DT60" s="45">
        <f>Supuestos!$D3</f>
        <v>1500000</v>
      </c>
      <c r="DU60" s="45">
        <f>Supuestos!$D3</f>
        <v>1500000</v>
      </c>
      <c r="DV60" s="45">
        <f>Supuestos!$D3</f>
        <v>1500000</v>
      </c>
      <c r="DW60" s="45">
        <f>Supuestos!$D3</f>
        <v>1500000</v>
      </c>
      <c r="DX60" s="45">
        <f>Supuestos!$D3</f>
        <v>1500000</v>
      </c>
      <c r="DY60" s="45">
        <f>Supuestos!$D3</f>
        <v>1500000</v>
      </c>
      <c r="DZ60" s="45">
        <f>Supuestos!$D3</f>
        <v>1500000</v>
      </c>
      <c r="EA60" s="45">
        <f>Supuestos!$D3</f>
        <v>1500000</v>
      </c>
      <c r="EB60" s="45">
        <f>Supuestos!$D3</f>
        <v>1500000</v>
      </c>
      <c r="EC60" s="45">
        <f>Supuestos!$D3</f>
        <v>1500000</v>
      </c>
      <c r="ED60" s="45">
        <f>Supuestos!$D3</f>
        <v>1500000</v>
      </c>
      <c r="EE60" s="45">
        <f>Supuestos!$D3</f>
        <v>1500000</v>
      </c>
      <c r="EF60" s="45">
        <f>Supuestos!$D3</f>
        <v>1500000</v>
      </c>
      <c r="EG60" s="45">
        <f>Supuestos!$D3</f>
        <v>1500000</v>
      </c>
      <c r="EH60" s="45">
        <f>Supuestos!$D3</f>
        <v>1500000</v>
      </c>
      <c r="EI60" s="45">
        <f>Supuestos!$D3</f>
        <v>1500000</v>
      </c>
      <c r="EJ60" s="45">
        <f>Supuestos!$D3</f>
        <v>1500000</v>
      </c>
      <c r="EK60" s="45">
        <f>Supuestos!$D3</f>
        <v>1500000</v>
      </c>
      <c r="EL60" s="45">
        <f>Supuestos!$D3</f>
        <v>1500000</v>
      </c>
      <c r="EM60" s="45">
        <f>Supuestos!$D3</f>
        <v>1500000</v>
      </c>
      <c r="EN60" s="45">
        <f>Supuestos!$D3</f>
        <v>1500000</v>
      </c>
      <c r="EO60" s="45">
        <f>Supuestos!$D3</f>
        <v>1500000</v>
      </c>
      <c r="EP60" s="45">
        <f>Supuestos!$D3</f>
        <v>1500000</v>
      </c>
      <c r="EQ60" s="45">
        <f>Supuestos!$D3</f>
        <v>1500000</v>
      </c>
      <c r="ER60" s="45">
        <f>Supuestos!$D3</f>
        <v>1500000</v>
      </c>
      <c r="ES60" s="45">
        <f>Supuestos!$D3</f>
        <v>1500000</v>
      </c>
      <c r="ET60" s="45">
        <f>Supuestos!$D3</f>
        <v>1500000</v>
      </c>
      <c r="EU60" s="45">
        <f>Supuestos!$D3</f>
        <v>1500000</v>
      </c>
      <c r="EV60" s="45">
        <f>Supuestos!$D3</f>
        <v>1500000</v>
      </c>
      <c r="EW60" s="45">
        <f>Supuestos!$D3</f>
        <v>1500000</v>
      </c>
      <c r="EX60" s="45">
        <f>Supuestos!$D3</f>
        <v>1500000</v>
      </c>
      <c r="EY60" s="45">
        <f>Supuestos!$D3</f>
        <v>1500000</v>
      </c>
      <c r="EZ60" s="45">
        <f>Supuestos!$D3</f>
        <v>1500000</v>
      </c>
      <c r="FA60" s="45">
        <f>Supuestos!$D3</f>
        <v>1500000</v>
      </c>
    </row>
    <row r="61" spans="1:157" ht="15.75" customHeight="1" x14ac:dyDescent="0.2">
      <c r="A61" s="33" t="s">
        <v>213</v>
      </c>
      <c r="BY61" s="45">
        <f>Supuestos!$D4</f>
        <v>200000</v>
      </c>
      <c r="BZ61" s="45">
        <f>Supuestos!$D4</f>
        <v>200000</v>
      </c>
      <c r="CA61" s="45">
        <f>Supuestos!$D4</f>
        <v>200000</v>
      </c>
      <c r="CB61" s="45">
        <f>Supuestos!$D4</f>
        <v>200000</v>
      </c>
      <c r="CC61" s="45">
        <f>Supuestos!$D4</f>
        <v>200000</v>
      </c>
      <c r="CD61" s="45">
        <f>Supuestos!$D4</f>
        <v>200000</v>
      </c>
      <c r="CE61" s="45">
        <f>Supuestos!$D4</f>
        <v>200000</v>
      </c>
      <c r="CF61" s="45">
        <f>Supuestos!$D4</f>
        <v>200000</v>
      </c>
      <c r="CG61" s="45">
        <f>Supuestos!$D4</f>
        <v>200000</v>
      </c>
      <c r="CH61" s="45">
        <f>Supuestos!$D4</f>
        <v>200000</v>
      </c>
      <c r="CI61" s="45">
        <f>Supuestos!$D4</f>
        <v>200000</v>
      </c>
      <c r="CJ61" s="45">
        <f>Supuestos!$D4</f>
        <v>200000</v>
      </c>
      <c r="CK61" s="45">
        <f>Supuestos!$D4</f>
        <v>200000</v>
      </c>
      <c r="CL61" s="45">
        <f>Supuestos!$D4</f>
        <v>200000</v>
      </c>
      <c r="CM61" s="45">
        <f>Supuestos!$D4</f>
        <v>200000</v>
      </c>
      <c r="CN61" s="45">
        <f>Supuestos!$D4</f>
        <v>200000</v>
      </c>
      <c r="CO61" s="45">
        <f>Supuestos!$D4</f>
        <v>200000</v>
      </c>
      <c r="CP61" s="45">
        <f>Supuestos!$D4</f>
        <v>200000</v>
      </c>
      <c r="CQ61" s="114">
        <f>Supuestos!$D4</f>
        <v>200000</v>
      </c>
      <c r="CR61" s="45">
        <f>Supuestos!$D4</f>
        <v>200000</v>
      </c>
      <c r="CS61" s="45">
        <f>Supuestos!$D4</f>
        <v>200000</v>
      </c>
      <c r="CT61" s="45">
        <f>Supuestos!$D4</f>
        <v>200000</v>
      </c>
      <c r="CU61" s="45">
        <f>Supuestos!$D4</f>
        <v>200000</v>
      </c>
      <c r="CV61" s="45">
        <f>Supuestos!$D4</f>
        <v>200000</v>
      </c>
      <c r="CW61" s="45">
        <f>Supuestos!$D4</f>
        <v>200000</v>
      </c>
      <c r="CX61" s="45">
        <f>Supuestos!$D4</f>
        <v>200000</v>
      </c>
      <c r="CY61" s="45">
        <f>Supuestos!$D4</f>
        <v>200000</v>
      </c>
      <c r="CZ61" s="45">
        <f>Supuestos!$D4</f>
        <v>200000</v>
      </c>
      <c r="DA61" s="45">
        <f>Supuestos!$D4</f>
        <v>200000</v>
      </c>
      <c r="DB61" s="45">
        <f>Supuestos!$D4</f>
        <v>200000</v>
      </c>
      <c r="DC61" s="115">
        <f>Supuestos!$D4</f>
        <v>200000</v>
      </c>
      <c r="DD61" s="45">
        <f>Supuestos!$D4</f>
        <v>200000</v>
      </c>
      <c r="DE61" s="45">
        <f>Supuestos!$D4</f>
        <v>200000</v>
      </c>
      <c r="DF61" s="45">
        <f>Supuestos!$D4</f>
        <v>200000</v>
      </c>
      <c r="DG61" s="45">
        <f>Supuestos!$D4</f>
        <v>200000</v>
      </c>
      <c r="DH61" s="45">
        <f>Supuestos!$D4</f>
        <v>200000</v>
      </c>
      <c r="DI61" s="45">
        <f>Supuestos!$D4</f>
        <v>200000</v>
      </c>
      <c r="DJ61" s="45">
        <f>Supuestos!$D4</f>
        <v>200000</v>
      </c>
      <c r="DK61" s="45">
        <f>Supuestos!$D4</f>
        <v>200000</v>
      </c>
      <c r="DL61" s="45">
        <f>Supuestos!$D4</f>
        <v>200000</v>
      </c>
      <c r="DM61" s="45">
        <f>Supuestos!$D4</f>
        <v>200000</v>
      </c>
      <c r="DN61" s="45">
        <f>Supuestos!$D4</f>
        <v>200000</v>
      </c>
      <c r="DO61" s="45">
        <f>Supuestos!$D4</f>
        <v>200000</v>
      </c>
      <c r="DP61" s="45">
        <f>Supuestos!$D4</f>
        <v>200000</v>
      </c>
      <c r="DQ61" s="45">
        <f>Supuestos!$D4</f>
        <v>200000</v>
      </c>
      <c r="DR61" s="45">
        <f>Supuestos!$D4</f>
        <v>200000</v>
      </c>
      <c r="DS61" s="45">
        <f>Supuestos!$D4</f>
        <v>200000</v>
      </c>
      <c r="DT61" s="45">
        <f>Supuestos!$D4</f>
        <v>200000</v>
      </c>
      <c r="DU61" s="45">
        <f>Supuestos!$D4</f>
        <v>200000</v>
      </c>
      <c r="DV61" s="45">
        <f>Supuestos!$D4</f>
        <v>200000</v>
      </c>
      <c r="DW61" s="45">
        <f>Supuestos!$D4</f>
        <v>200000</v>
      </c>
      <c r="DX61" s="45">
        <f>Supuestos!$D4</f>
        <v>200000</v>
      </c>
      <c r="DY61" s="45">
        <f>Supuestos!$D4</f>
        <v>200000</v>
      </c>
      <c r="DZ61" s="45">
        <f>Supuestos!$D4</f>
        <v>200000</v>
      </c>
      <c r="EA61" s="45">
        <f>Supuestos!$D4</f>
        <v>200000</v>
      </c>
      <c r="EB61" s="45">
        <f>Supuestos!$D4</f>
        <v>200000</v>
      </c>
      <c r="EC61" s="45">
        <f>Supuestos!$D4</f>
        <v>200000</v>
      </c>
      <c r="ED61" s="45">
        <f>Supuestos!$D4</f>
        <v>200000</v>
      </c>
      <c r="EE61" s="45">
        <f>Supuestos!$D4</f>
        <v>200000</v>
      </c>
      <c r="EF61" s="45">
        <f>Supuestos!$D4</f>
        <v>200000</v>
      </c>
      <c r="EG61" s="45">
        <f>Supuestos!$D4</f>
        <v>200000</v>
      </c>
      <c r="EH61" s="45">
        <f>Supuestos!$D4</f>
        <v>200000</v>
      </c>
      <c r="EI61" s="45">
        <f>Supuestos!$D4</f>
        <v>200000</v>
      </c>
      <c r="EJ61" s="45">
        <f>Supuestos!$D4</f>
        <v>200000</v>
      </c>
      <c r="EK61" s="45">
        <f>Supuestos!$D4</f>
        <v>200000</v>
      </c>
      <c r="EL61" s="45">
        <f>Supuestos!$D4</f>
        <v>200000</v>
      </c>
      <c r="EM61" s="45">
        <f>Supuestos!$D4</f>
        <v>200000</v>
      </c>
      <c r="EN61" s="45">
        <f>Supuestos!$D4</f>
        <v>200000</v>
      </c>
      <c r="EO61" s="45">
        <f>Supuestos!$D4</f>
        <v>200000</v>
      </c>
      <c r="EP61" s="45">
        <f>Supuestos!$D4</f>
        <v>200000</v>
      </c>
      <c r="EQ61" s="45">
        <f>Supuestos!$D4</f>
        <v>200000</v>
      </c>
      <c r="ER61" s="45">
        <f>Supuestos!$D4</f>
        <v>200000</v>
      </c>
      <c r="ES61" s="45">
        <f>Supuestos!$D4</f>
        <v>200000</v>
      </c>
      <c r="ET61" s="45">
        <f>Supuestos!$D4</f>
        <v>200000</v>
      </c>
      <c r="EU61" s="45">
        <f>Supuestos!$D4</f>
        <v>200000</v>
      </c>
      <c r="EV61" s="45">
        <f>Supuestos!$D4</f>
        <v>200000</v>
      </c>
      <c r="EW61" s="45">
        <f>Supuestos!$D4</f>
        <v>200000</v>
      </c>
      <c r="EX61" s="45">
        <f>Supuestos!$D4</f>
        <v>200000</v>
      </c>
      <c r="EY61" s="45">
        <f>Supuestos!$D4</f>
        <v>200000</v>
      </c>
      <c r="EZ61" s="45">
        <f>Supuestos!$D4</f>
        <v>200000</v>
      </c>
      <c r="FA61" s="45">
        <f>Supuestos!$D4</f>
        <v>200000</v>
      </c>
    </row>
    <row r="62" spans="1:157" ht="15.75" customHeight="1" x14ac:dyDescent="0.2">
      <c r="A62" s="33" t="s">
        <v>305</v>
      </c>
      <c r="BY62" s="45">
        <f>Supuestos!$D5</f>
        <v>20000000</v>
      </c>
      <c r="BZ62" s="45">
        <f>Supuestos!$D5</f>
        <v>20000000</v>
      </c>
      <c r="CA62" s="45">
        <f>Supuestos!$D5</f>
        <v>20000000</v>
      </c>
      <c r="CB62" s="45">
        <f>Supuestos!$D5</f>
        <v>20000000</v>
      </c>
      <c r="CC62" s="45">
        <f>Supuestos!$D5</f>
        <v>20000000</v>
      </c>
      <c r="CD62" s="45">
        <f>Supuestos!$D5</f>
        <v>20000000</v>
      </c>
      <c r="CE62" s="45">
        <f>Supuestos!$D5</f>
        <v>20000000</v>
      </c>
      <c r="CF62" s="45">
        <f>Supuestos!$D5</f>
        <v>20000000</v>
      </c>
      <c r="CG62" s="45">
        <f>Supuestos!$D5</f>
        <v>20000000</v>
      </c>
      <c r="CH62" s="45">
        <v>325000</v>
      </c>
      <c r="CI62" s="45">
        <v>325000</v>
      </c>
      <c r="CJ62" s="45">
        <v>325000</v>
      </c>
      <c r="CK62" s="45">
        <v>325000</v>
      </c>
      <c r="CL62" s="45">
        <v>325000</v>
      </c>
      <c r="CM62" s="45">
        <v>325000</v>
      </c>
      <c r="CN62" s="45">
        <v>325000</v>
      </c>
      <c r="CO62" s="45">
        <v>325000</v>
      </c>
      <c r="CP62" s="45">
        <v>325000</v>
      </c>
      <c r="CQ62" s="114">
        <v>325000</v>
      </c>
      <c r="CR62" s="45">
        <v>325000</v>
      </c>
      <c r="CS62" s="45">
        <v>325000</v>
      </c>
      <c r="CT62" s="45">
        <v>325000</v>
      </c>
      <c r="CU62" s="45">
        <v>325000</v>
      </c>
      <c r="CV62" s="45">
        <v>325000</v>
      </c>
      <c r="CW62" s="45">
        <v>325000</v>
      </c>
      <c r="CX62" s="45">
        <v>325000</v>
      </c>
      <c r="CY62" s="45">
        <v>325000</v>
      </c>
      <c r="CZ62" s="45">
        <v>325000</v>
      </c>
      <c r="DA62" s="45">
        <f>Supuestos!$D5</f>
        <v>20000000</v>
      </c>
      <c r="DB62" s="45">
        <f>Supuestos!$D5</f>
        <v>20000000</v>
      </c>
      <c r="DC62" s="115">
        <f>Supuestos!$D5</f>
        <v>20000000</v>
      </c>
      <c r="DD62" s="45">
        <f>Supuestos!$D5</f>
        <v>20000000</v>
      </c>
      <c r="DE62" s="45">
        <f>Supuestos!$D5</f>
        <v>20000000</v>
      </c>
      <c r="DF62" s="45">
        <f>Supuestos!$D5</f>
        <v>20000000</v>
      </c>
      <c r="DG62" s="45">
        <f>Supuestos!$D5</f>
        <v>20000000</v>
      </c>
      <c r="DH62" s="45">
        <f>Supuestos!$D5</f>
        <v>20000000</v>
      </c>
      <c r="DI62" s="45">
        <f>Supuestos!$D5</f>
        <v>20000000</v>
      </c>
      <c r="DJ62" s="45">
        <f>Supuestos!$D5</f>
        <v>20000000</v>
      </c>
      <c r="DK62" s="45">
        <f>Supuestos!$D5</f>
        <v>20000000</v>
      </c>
      <c r="DL62" s="45">
        <f>Supuestos!$D5</f>
        <v>20000000</v>
      </c>
      <c r="DM62" s="45">
        <f>Supuestos!$D5</f>
        <v>20000000</v>
      </c>
      <c r="DN62" s="45">
        <f>Supuestos!$D5</f>
        <v>20000000</v>
      </c>
      <c r="DO62" s="45">
        <f>Supuestos!$D5</f>
        <v>20000000</v>
      </c>
      <c r="DP62" s="45">
        <f>Supuestos!$D5</f>
        <v>20000000</v>
      </c>
      <c r="DQ62" s="45">
        <f>Supuestos!$D5</f>
        <v>20000000</v>
      </c>
      <c r="DR62" s="45">
        <f>Supuestos!$D5</f>
        <v>20000000</v>
      </c>
      <c r="DS62" s="45">
        <f>Supuestos!$D5</f>
        <v>20000000</v>
      </c>
      <c r="DT62" s="45">
        <f>Supuestos!$D5</f>
        <v>20000000</v>
      </c>
      <c r="DU62" s="45">
        <f>Supuestos!$D5</f>
        <v>20000000</v>
      </c>
      <c r="DV62" s="45">
        <f>Supuestos!$D5</f>
        <v>20000000</v>
      </c>
      <c r="DW62" s="45">
        <f>Supuestos!$D5</f>
        <v>20000000</v>
      </c>
      <c r="DX62" s="45">
        <f>Supuestos!$D5</f>
        <v>20000000</v>
      </c>
      <c r="DY62" s="45">
        <f>Supuestos!$D5</f>
        <v>20000000</v>
      </c>
      <c r="DZ62" s="45">
        <f>Supuestos!$D5</f>
        <v>20000000</v>
      </c>
      <c r="EA62" s="45">
        <f>Supuestos!$D5</f>
        <v>20000000</v>
      </c>
      <c r="EB62" s="45">
        <f>Supuestos!$D5</f>
        <v>20000000</v>
      </c>
      <c r="EC62" s="45">
        <f>Supuestos!$D5</f>
        <v>20000000</v>
      </c>
      <c r="ED62" s="45">
        <f>Supuestos!$D5</f>
        <v>20000000</v>
      </c>
      <c r="EE62" s="45">
        <f>Supuestos!$D5</f>
        <v>20000000</v>
      </c>
      <c r="EF62" s="45">
        <f>Supuestos!$D5</f>
        <v>20000000</v>
      </c>
      <c r="EG62" s="45">
        <f>Supuestos!$D5</f>
        <v>20000000</v>
      </c>
      <c r="EH62" s="45">
        <f>Supuestos!$D5</f>
        <v>20000000</v>
      </c>
      <c r="EI62" s="45">
        <f>Supuestos!$D5</f>
        <v>20000000</v>
      </c>
      <c r="EJ62" s="45">
        <f>Supuestos!$D5</f>
        <v>20000000</v>
      </c>
      <c r="EK62" s="45">
        <f>Supuestos!$D5</f>
        <v>20000000</v>
      </c>
      <c r="EL62" s="45">
        <f>Supuestos!$D5</f>
        <v>20000000</v>
      </c>
      <c r="EM62" s="45">
        <f>Supuestos!$D5</f>
        <v>20000000</v>
      </c>
      <c r="EN62" s="45">
        <f>Supuestos!$D5</f>
        <v>20000000</v>
      </c>
      <c r="EO62" s="45">
        <f>Supuestos!$D5</f>
        <v>20000000</v>
      </c>
      <c r="EP62" s="45">
        <f>Supuestos!$D5</f>
        <v>20000000</v>
      </c>
      <c r="EQ62" s="45">
        <f>Supuestos!$D5</f>
        <v>20000000</v>
      </c>
      <c r="ER62" s="45">
        <f>Supuestos!$D5</f>
        <v>20000000</v>
      </c>
      <c r="ES62" s="45">
        <f>Supuestos!$D5</f>
        <v>20000000</v>
      </c>
      <c r="ET62" s="45">
        <f>Supuestos!$D5</f>
        <v>20000000</v>
      </c>
      <c r="EU62" s="45">
        <f>Supuestos!$D5</f>
        <v>20000000</v>
      </c>
      <c r="EV62" s="45">
        <f>Supuestos!$D5</f>
        <v>20000000</v>
      </c>
      <c r="EW62" s="45">
        <f>Supuestos!$D5</f>
        <v>20000000</v>
      </c>
      <c r="EX62" s="45">
        <f>Supuestos!$D5</f>
        <v>20000000</v>
      </c>
      <c r="EY62" s="45">
        <f>Supuestos!$D5</f>
        <v>20000000</v>
      </c>
      <c r="EZ62" s="45">
        <f>Supuestos!$D5</f>
        <v>20000000</v>
      </c>
      <c r="FA62" s="45">
        <f>Supuestos!$D5</f>
        <v>20000000</v>
      </c>
    </row>
    <row r="63" spans="1:157" ht="15.75" customHeight="1" x14ac:dyDescent="0.2">
      <c r="A63" s="44" t="s">
        <v>306</v>
      </c>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104" t="e">
        <f t="shared" ref="BY63:CG63" si="25">SUM(BY50:BY62)</f>
        <v>#REF!</v>
      </c>
      <c r="BZ63" s="104" t="e">
        <f t="shared" si="25"/>
        <v>#REF!</v>
      </c>
      <c r="CA63" s="104" t="e">
        <f t="shared" si="25"/>
        <v>#REF!</v>
      </c>
      <c r="CB63" s="104" t="e">
        <f t="shared" si="25"/>
        <v>#REF!</v>
      </c>
      <c r="CC63" s="104" t="e">
        <f t="shared" si="25"/>
        <v>#REF!</v>
      </c>
      <c r="CD63" s="104" t="e">
        <f t="shared" si="25"/>
        <v>#REF!</v>
      </c>
      <c r="CE63" s="104" t="e">
        <f t="shared" si="25"/>
        <v>#REF!</v>
      </c>
      <c r="CF63" s="104" t="e">
        <f t="shared" si="25"/>
        <v>#REF!</v>
      </c>
      <c r="CG63" s="104" t="e">
        <f t="shared" si="25"/>
        <v>#REF!</v>
      </c>
      <c r="CH63" s="104">
        <f t="shared" ref="CH63:FA63" si="26">SUM(CH58:CH62)+CH55+CH50</f>
        <v>2346849.912533618</v>
      </c>
      <c r="CI63" s="104">
        <f t="shared" si="26"/>
        <v>2325578.1869860818</v>
      </c>
      <c r="CJ63" s="104">
        <f t="shared" si="26"/>
        <v>2324537.9301703116</v>
      </c>
      <c r="CK63" s="104">
        <f t="shared" si="26"/>
        <v>2321140.6360052852</v>
      </c>
      <c r="CL63" s="104">
        <f t="shared" si="26"/>
        <v>2313115.7578601069</v>
      </c>
      <c r="CM63" s="104">
        <f t="shared" si="26"/>
        <v>2308919.7634999854</v>
      </c>
      <c r="CN63" s="104">
        <f t="shared" si="26"/>
        <v>2308644.0188172003</v>
      </c>
      <c r="CO63" s="104">
        <f t="shared" si="26"/>
        <v>2306868.2679064339</v>
      </c>
      <c r="CP63" s="104">
        <f t="shared" si="26"/>
        <v>7304903.4044793416</v>
      </c>
      <c r="CQ63" s="109">
        <f t="shared" si="26"/>
        <v>7305978.8149918979</v>
      </c>
      <c r="CR63" s="104">
        <f t="shared" si="26"/>
        <v>27525000</v>
      </c>
      <c r="CS63" s="104">
        <f t="shared" si="26"/>
        <v>27525000</v>
      </c>
      <c r="CT63" s="104">
        <f t="shared" si="26"/>
        <v>27525000</v>
      </c>
      <c r="CU63" s="104">
        <f t="shared" si="26"/>
        <v>47525000</v>
      </c>
      <c r="CV63" s="104">
        <f t="shared" si="26"/>
        <v>62525000</v>
      </c>
      <c r="CW63" s="104">
        <f t="shared" si="26"/>
        <v>97525000</v>
      </c>
      <c r="CX63" s="104">
        <f t="shared" si="26"/>
        <v>112525000</v>
      </c>
      <c r="CY63" s="104">
        <f t="shared" si="26"/>
        <v>127525000</v>
      </c>
      <c r="CZ63" s="104">
        <f t="shared" si="26"/>
        <v>127525000</v>
      </c>
      <c r="DA63" s="104">
        <f t="shared" si="26"/>
        <v>147200000</v>
      </c>
      <c r="DB63" s="104">
        <f t="shared" si="26"/>
        <v>147200000</v>
      </c>
      <c r="DC63" s="110">
        <f t="shared" si="26"/>
        <v>147200000</v>
      </c>
      <c r="DD63" s="104">
        <f t="shared" si="26"/>
        <v>147200000</v>
      </c>
      <c r="DE63" s="104">
        <f t="shared" si="26"/>
        <v>147200000</v>
      </c>
      <c r="DF63" s="104">
        <f t="shared" si="26"/>
        <v>147200000</v>
      </c>
      <c r="DG63" s="104">
        <f t="shared" si="26"/>
        <v>147200000</v>
      </c>
      <c r="DH63" s="104">
        <f t="shared" si="26"/>
        <v>147200000</v>
      </c>
      <c r="DI63" s="104">
        <f t="shared" si="26"/>
        <v>147200000</v>
      </c>
      <c r="DJ63" s="104">
        <f t="shared" si="26"/>
        <v>147200000</v>
      </c>
      <c r="DK63" s="104">
        <f t="shared" si="26"/>
        <v>147200000</v>
      </c>
      <c r="DL63" s="104">
        <f t="shared" si="26"/>
        <v>147200000</v>
      </c>
      <c r="DM63" s="104">
        <f t="shared" si="26"/>
        <v>147200000</v>
      </c>
      <c r="DN63" s="104">
        <f t="shared" si="26"/>
        <v>147200000</v>
      </c>
      <c r="DO63" s="104">
        <f t="shared" si="26"/>
        <v>147200000</v>
      </c>
      <c r="DP63" s="104">
        <f t="shared" si="26"/>
        <v>147200000</v>
      </c>
      <c r="DQ63" s="104">
        <f t="shared" si="26"/>
        <v>147200000</v>
      </c>
      <c r="DR63" s="104">
        <f t="shared" si="26"/>
        <v>147200000</v>
      </c>
      <c r="DS63" s="104">
        <f t="shared" si="26"/>
        <v>147200000</v>
      </c>
      <c r="DT63" s="104">
        <f t="shared" si="26"/>
        <v>147200000</v>
      </c>
      <c r="DU63" s="104">
        <f t="shared" si="26"/>
        <v>147200000</v>
      </c>
      <c r="DV63" s="104">
        <f t="shared" si="26"/>
        <v>147200000</v>
      </c>
      <c r="DW63" s="104">
        <f t="shared" si="26"/>
        <v>147200000</v>
      </c>
      <c r="DX63" s="104">
        <f t="shared" si="26"/>
        <v>147200000</v>
      </c>
      <c r="DY63" s="104">
        <f t="shared" si="26"/>
        <v>147200000</v>
      </c>
      <c r="DZ63" s="104">
        <f t="shared" si="26"/>
        <v>147200000</v>
      </c>
      <c r="EA63" s="104">
        <f t="shared" si="26"/>
        <v>147200000</v>
      </c>
      <c r="EB63" s="104">
        <f t="shared" si="26"/>
        <v>147200000</v>
      </c>
      <c r="EC63" s="104">
        <f t="shared" si="26"/>
        <v>147200000</v>
      </c>
      <c r="ED63" s="104">
        <f t="shared" si="26"/>
        <v>147200000</v>
      </c>
      <c r="EE63" s="104">
        <f t="shared" si="26"/>
        <v>147200000</v>
      </c>
      <c r="EF63" s="104">
        <f t="shared" si="26"/>
        <v>147200000</v>
      </c>
      <c r="EG63" s="104">
        <f t="shared" si="26"/>
        <v>147200000</v>
      </c>
      <c r="EH63" s="104">
        <f t="shared" si="26"/>
        <v>147200000</v>
      </c>
      <c r="EI63" s="104">
        <f t="shared" si="26"/>
        <v>147200000</v>
      </c>
      <c r="EJ63" s="104">
        <f t="shared" si="26"/>
        <v>147200000</v>
      </c>
      <c r="EK63" s="104">
        <f t="shared" si="26"/>
        <v>147200000</v>
      </c>
      <c r="EL63" s="104">
        <f t="shared" si="26"/>
        <v>147200000</v>
      </c>
      <c r="EM63" s="104">
        <f t="shared" si="26"/>
        <v>147200000</v>
      </c>
      <c r="EN63" s="104">
        <f t="shared" si="26"/>
        <v>147200000</v>
      </c>
      <c r="EO63" s="104">
        <f t="shared" si="26"/>
        <v>147200000</v>
      </c>
      <c r="EP63" s="104">
        <f t="shared" si="26"/>
        <v>147200000</v>
      </c>
      <c r="EQ63" s="104">
        <f t="shared" si="26"/>
        <v>147200000</v>
      </c>
      <c r="ER63" s="104">
        <f t="shared" si="26"/>
        <v>147200000</v>
      </c>
      <c r="ES63" s="104">
        <f t="shared" si="26"/>
        <v>147200000</v>
      </c>
      <c r="ET63" s="104">
        <f t="shared" si="26"/>
        <v>147200000</v>
      </c>
      <c r="EU63" s="104">
        <f t="shared" si="26"/>
        <v>147200000</v>
      </c>
      <c r="EV63" s="104">
        <f t="shared" si="26"/>
        <v>147200000</v>
      </c>
      <c r="EW63" s="104">
        <f t="shared" si="26"/>
        <v>147200000</v>
      </c>
      <c r="EX63" s="104">
        <f t="shared" si="26"/>
        <v>147200000</v>
      </c>
      <c r="EY63" s="104">
        <f t="shared" si="26"/>
        <v>147200000</v>
      </c>
      <c r="EZ63" s="104">
        <f t="shared" si="26"/>
        <v>147200000</v>
      </c>
      <c r="FA63" s="104">
        <f t="shared" si="26"/>
        <v>147200000</v>
      </c>
    </row>
    <row r="64" spans="1:157" ht="15.75" customHeight="1" x14ac:dyDescent="0.2">
      <c r="BY64" s="45"/>
      <c r="BZ64" s="45"/>
      <c r="CA64" s="45"/>
      <c r="CB64" s="45"/>
      <c r="CC64" s="45"/>
      <c r="CD64" s="45"/>
      <c r="CE64" s="45"/>
      <c r="CF64" s="45"/>
      <c r="CG64" s="45"/>
      <c r="CH64" s="45"/>
      <c r="CI64" s="45"/>
      <c r="CJ64" s="45"/>
      <c r="CK64" s="45"/>
      <c r="CL64" s="45"/>
      <c r="CM64" s="45"/>
      <c r="CN64" s="45"/>
      <c r="CO64" s="45"/>
      <c r="CP64" s="45"/>
      <c r="CQ64" s="114"/>
      <c r="CR64" s="45"/>
      <c r="CS64" s="45"/>
      <c r="CT64" s="45"/>
      <c r="CU64" s="45"/>
      <c r="CV64" s="45"/>
      <c r="CW64" s="45"/>
      <c r="CX64" s="45"/>
      <c r="CY64" s="45"/>
      <c r="CZ64" s="45"/>
      <c r="DA64" s="45"/>
      <c r="DB64" s="45"/>
      <c r="DC64" s="115"/>
      <c r="DD64" s="45"/>
      <c r="DE64" s="45"/>
      <c r="DF64" s="45"/>
      <c r="DG64" s="45"/>
      <c r="DH64" s="45"/>
      <c r="DI64" s="45"/>
      <c r="DJ64" s="45"/>
      <c r="DK64" s="45"/>
      <c r="DL64" s="45"/>
      <c r="DM64" s="45"/>
      <c r="DN64" s="45"/>
      <c r="DO64" s="45"/>
      <c r="DP64" s="45"/>
      <c r="DQ64" s="45"/>
      <c r="DR64" s="45"/>
      <c r="DS64" s="45"/>
      <c r="DT64" s="45"/>
      <c r="DU64" s="45"/>
      <c r="DV64" s="45"/>
      <c r="DW64" s="45"/>
      <c r="DX64" s="45"/>
      <c r="DY64" s="45"/>
      <c r="DZ64" s="45"/>
      <c r="EA64" s="45"/>
      <c r="EB64" s="45"/>
      <c r="EC64" s="45"/>
      <c r="ED64" s="45"/>
      <c r="EE64" s="45"/>
      <c r="EF64" s="45"/>
      <c r="EG64" s="45"/>
      <c r="EH64" s="45"/>
      <c r="EI64" s="45"/>
      <c r="EJ64" s="45"/>
      <c r="EK64" s="45"/>
      <c r="EL64" s="45"/>
      <c r="EM64" s="45"/>
      <c r="EN64" s="45"/>
      <c r="EO64" s="45"/>
      <c r="EP64" s="45"/>
      <c r="EQ64" s="45"/>
      <c r="ER64" s="45"/>
      <c r="ES64" s="45"/>
      <c r="ET64" s="45"/>
      <c r="EU64" s="45"/>
      <c r="EV64" s="45"/>
      <c r="EW64" s="45"/>
      <c r="EX64" s="45"/>
      <c r="EY64" s="45"/>
      <c r="EZ64" s="45"/>
      <c r="FA64" s="45"/>
    </row>
    <row r="65" spans="1:157" ht="15.75" customHeight="1" x14ac:dyDescent="0.2">
      <c r="A65" s="33" t="s">
        <v>307</v>
      </c>
      <c r="BY65" s="45">
        <v>150000</v>
      </c>
      <c r="BZ65" s="45">
        <v>150000</v>
      </c>
      <c r="CA65" s="45">
        <v>150000</v>
      </c>
      <c r="CB65" s="45">
        <v>150000</v>
      </c>
      <c r="CC65" s="45">
        <v>150000</v>
      </c>
      <c r="CD65" s="45">
        <v>150000</v>
      </c>
      <c r="CE65" s="45">
        <v>150000</v>
      </c>
      <c r="CF65" s="45">
        <v>150000</v>
      </c>
      <c r="CG65" s="45">
        <v>150000</v>
      </c>
      <c r="CH65" s="45">
        <v>150000</v>
      </c>
      <c r="CI65" s="45">
        <v>150000</v>
      </c>
      <c r="CJ65" s="45">
        <v>150000</v>
      </c>
      <c r="CK65" s="45">
        <v>150000</v>
      </c>
      <c r="CL65" s="45">
        <v>150000</v>
      </c>
      <c r="CM65" s="45">
        <v>150000</v>
      </c>
      <c r="CN65" s="45">
        <v>150000</v>
      </c>
      <c r="CO65" s="45">
        <v>150000</v>
      </c>
      <c r="CP65" s="45">
        <v>150000</v>
      </c>
      <c r="CQ65" s="114">
        <v>150000</v>
      </c>
      <c r="CR65" s="45">
        <v>150000</v>
      </c>
      <c r="CS65" s="45">
        <v>150000</v>
      </c>
      <c r="CT65" s="45">
        <v>150000</v>
      </c>
      <c r="CU65" s="45">
        <v>150000</v>
      </c>
      <c r="CV65" s="45">
        <v>150000</v>
      </c>
      <c r="CW65" s="45">
        <v>150000</v>
      </c>
      <c r="CX65" s="45">
        <v>150000</v>
      </c>
      <c r="CY65" s="45">
        <v>150000</v>
      </c>
      <c r="CZ65" s="45">
        <v>150000</v>
      </c>
      <c r="DA65" s="45">
        <v>150000</v>
      </c>
      <c r="DB65" s="45">
        <v>150000</v>
      </c>
      <c r="DC65" s="115">
        <v>150000</v>
      </c>
      <c r="DD65" s="45">
        <v>150000</v>
      </c>
      <c r="DE65" s="45">
        <v>150000</v>
      </c>
      <c r="DF65" s="45">
        <v>150000</v>
      </c>
      <c r="DG65" s="45">
        <v>150000</v>
      </c>
      <c r="DH65" s="45">
        <v>150000</v>
      </c>
      <c r="DI65" s="45">
        <v>150000</v>
      </c>
      <c r="DJ65" s="45">
        <v>150000</v>
      </c>
      <c r="DK65" s="45">
        <v>150000</v>
      </c>
      <c r="DL65" s="45">
        <v>150000</v>
      </c>
      <c r="DM65" s="45">
        <v>150000</v>
      </c>
      <c r="DN65" s="45">
        <v>150000</v>
      </c>
      <c r="DO65" s="45">
        <v>150000</v>
      </c>
      <c r="DP65" s="45">
        <v>150000</v>
      </c>
      <c r="DQ65" s="45">
        <v>150000</v>
      </c>
      <c r="DR65" s="45">
        <v>150000</v>
      </c>
      <c r="DS65" s="45">
        <v>150000</v>
      </c>
      <c r="DT65" s="45">
        <v>150000</v>
      </c>
      <c r="DU65" s="45">
        <v>150000</v>
      </c>
      <c r="DV65" s="45">
        <v>150000</v>
      </c>
      <c r="DW65" s="45">
        <v>150000</v>
      </c>
      <c r="DX65" s="45">
        <v>150000</v>
      </c>
      <c r="DY65" s="45">
        <v>150000</v>
      </c>
      <c r="DZ65" s="45">
        <v>150000</v>
      </c>
      <c r="EA65" s="45">
        <v>150000</v>
      </c>
      <c r="EB65" s="45">
        <v>150000</v>
      </c>
      <c r="EC65" s="45">
        <v>150000</v>
      </c>
      <c r="ED65" s="45">
        <v>150000</v>
      </c>
      <c r="EE65" s="45">
        <v>150000</v>
      </c>
      <c r="EF65" s="45">
        <v>150000</v>
      </c>
      <c r="EG65" s="45">
        <v>150000</v>
      </c>
      <c r="EH65" s="45">
        <v>150000</v>
      </c>
      <c r="EI65" s="45">
        <v>150000</v>
      </c>
      <c r="EJ65" s="45">
        <v>150000</v>
      </c>
      <c r="EK65" s="45">
        <v>150000</v>
      </c>
      <c r="EL65" s="45">
        <v>150000</v>
      </c>
      <c r="EM65" s="45">
        <v>150000</v>
      </c>
      <c r="EN65" s="45">
        <v>150000</v>
      </c>
      <c r="EO65" s="45">
        <v>150000</v>
      </c>
      <c r="EP65" s="45">
        <v>150000</v>
      </c>
      <c r="EQ65" s="45">
        <v>150000</v>
      </c>
      <c r="ER65" s="45">
        <v>150000</v>
      </c>
      <c r="ES65" s="45">
        <v>150000</v>
      </c>
      <c r="ET65" s="45">
        <v>150000</v>
      </c>
      <c r="EU65" s="45">
        <v>150000</v>
      </c>
      <c r="EV65" s="45">
        <v>150000</v>
      </c>
      <c r="EW65" s="45">
        <v>150000</v>
      </c>
      <c r="EX65" s="45">
        <v>150000</v>
      </c>
      <c r="EY65" s="45">
        <v>150000</v>
      </c>
      <c r="EZ65" s="45">
        <v>150000</v>
      </c>
      <c r="FA65" s="45">
        <v>150000</v>
      </c>
    </row>
    <row r="66" spans="1:157" ht="15.75" customHeight="1" x14ac:dyDescent="0.2">
      <c r="A66" s="33" t="s">
        <v>308</v>
      </c>
      <c r="BY66" s="45">
        <v>7500000</v>
      </c>
      <c r="BZ66" s="45">
        <v>7500000</v>
      </c>
      <c r="CA66" s="45">
        <v>7500000</v>
      </c>
      <c r="CB66" s="45">
        <v>7500000</v>
      </c>
      <c r="CC66" s="45">
        <v>7500000</v>
      </c>
      <c r="CD66" s="45">
        <v>7500000</v>
      </c>
      <c r="CE66" s="45">
        <v>7500000</v>
      </c>
      <c r="CF66" s="45">
        <v>7500000</v>
      </c>
      <c r="CG66" s="45">
        <v>7500000</v>
      </c>
      <c r="CH66" s="45">
        <v>7500000</v>
      </c>
      <c r="CI66" s="45">
        <v>7500000</v>
      </c>
      <c r="CJ66" s="45">
        <v>7500000</v>
      </c>
      <c r="CK66" s="45">
        <v>7500000</v>
      </c>
      <c r="CL66" s="45">
        <v>7500000</v>
      </c>
      <c r="CM66" s="45">
        <v>7500000</v>
      </c>
      <c r="CN66" s="45">
        <v>7500000</v>
      </c>
      <c r="CO66" s="45">
        <v>7500000</v>
      </c>
      <c r="CP66" s="45">
        <v>11265000</v>
      </c>
      <c r="CQ66" s="114">
        <v>11100000</v>
      </c>
      <c r="CR66" s="45">
        <f t="shared" ref="CR66:FA66" si="27">CQ66/CP66*CQ66</f>
        <v>10937416.777629826</v>
      </c>
      <c r="CS66" s="45">
        <f t="shared" si="27"/>
        <v>10777214.934016073</v>
      </c>
      <c r="CT66" s="45">
        <f t="shared" si="27"/>
        <v>10619359.588777488</v>
      </c>
      <c r="CU66" s="45">
        <f t="shared" si="27"/>
        <v>10463816.372430548</v>
      </c>
      <c r="CV66" s="45">
        <f t="shared" si="27"/>
        <v>10310551.418906266</v>
      </c>
      <c r="CW66" s="45">
        <f t="shared" si="27"/>
        <v>10159531.358176613</v>
      </c>
      <c r="CX66" s="45">
        <f t="shared" si="27"/>
        <v>10010723.30898894</v>
      </c>
      <c r="CY66" s="45">
        <f t="shared" si="27"/>
        <v>9864094.8717068117</v>
      </c>
      <c r="CZ66" s="45">
        <f t="shared" si="27"/>
        <v>9719614.1212557126</v>
      </c>
      <c r="DA66" s="45">
        <f t="shared" si="27"/>
        <v>9577249.6001720726</v>
      </c>
      <c r="DB66" s="45">
        <f t="shared" si="27"/>
        <v>9436970.3117541056</v>
      </c>
      <c r="DC66" s="115">
        <f t="shared" si="27"/>
        <v>9298745.7133129667</v>
      </c>
      <c r="DD66" s="45">
        <f t="shared" si="27"/>
        <v>9162545.7095227633</v>
      </c>
      <c r="DE66" s="45">
        <f t="shared" si="27"/>
        <v>9028340.6458679698</v>
      </c>
      <c r="DF66" s="45">
        <f t="shared" si="27"/>
        <v>8896101.3021868151</v>
      </c>
      <c r="DG66" s="45">
        <f t="shared" si="27"/>
        <v>8765798.8863092456</v>
      </c>
      <c r="DH66" s="45">
        <f t="shared" si="27"/>
        <v>8637405.0277880728</v>
      </c>
      <c r="DI66" s="45">
        <f t="shared" si="27"/>
        <v>8510891.7717219368</v>
      </c>
      <c r="DJ66" s="45">
        <f t="shared" si="27"/>
        <v>8386231.5726687536</v>
      </c>
      <c r="DK66" s="45">
        <f t="shared" si="27"/>
        <v>8263397.2886483064</v>
      </c>
      <c r="DL66" s="45">
        <f t="shared" si="27"/>
        <v>8142362.1752326861</v>
      </c>
      <c r="DM66" s="45">
        <f t="shared" si="27"/>
        <v>8023099.8797232863</v>
      </c>
      <c r="DN66" s="45">
        <f t="shared" si="27"/>
        <v>7905584.4354130924</v>
      </c>
      <c r="DO66" s="45">
        <f t="shared" si="27"/>
        <v>7789790.2559330082</v>
      </c>
      <c r="DP66" s="45">
        <f t="shared" si="27"/>
        <v>7675692.129680994</v>
      </c>
      <c r="DQ66" s="45">
        <f t="shared" si="27"/>
        <v>7563265.2143328041</v>
      </c>
      <c r="DR66" s="45">
        <f t="shared" si="27"/>
        <v>7452485.0314331232</v>
      </c>
      <c r="DS66" s="45">
        <f t="shared" si="27"/>
        <v>7343327.4610659275</v>
      </c>
      <c r="DT66" s="45">
        <f t="shared" si="27"/>
        <v>7235768.7366029117</v>
      </c>
      <c r="DU66" s="45">
        <f t="shared" si="27"/>
        <v>7129785.439528835</v>
      </c>
      <c r="DV66" s="45">
        <f t="shared" si="27"/>
        <v>7025354.4943426615</v>
      </c>
      <c r="DW66" s="45">
        <f t="shared" si="27"/>
        <v>6922453.163533383</v>
      </c>
      <c r="DX66" s="45">
        <f t="shared" si="27"/>
        <v>6821059.0426294338</v>
      </c>
      <c r="DY66" s="45">
        <f t="shared" si="27"/>
        <v>6721150.0553206149</v>
      </c>
      <c r="DZ66" s="45">
        <f t="shared" si="27"/>
        <v>6622704.448651473</v>
      </c>
      <c r="EA66" s="45">
        <f t="shared" si="27"/>
        <v>6525700.7882850748</v>
      </c>
      <c r="EB66" s="45">
        <f t="shared" si="27"/>
        <v>6430117.9538361598</v>
      </c>
      <c r="EC66" s="45">
        <f t="shared" si="27"/>
        <v>6335935.134272648</v>
      </c>
      <c r="ED66" s="45">
        <f t="shared" si="27"/>
        <v>6243131.823384501</v>
      </c>
      <c r="EE66" s="45">
        <f t="shared" si="27"/>
        <v>6151687.8153189505</v>
      </c>
      <c r="EF66" s="45">
        <f t="shared" si="27"/>
        <v>6061583.2001811238</v>
      </c>
      <c r="EG66" s="45">
        <f t="shared" si="27"/>
        <v>5972798.3596991105</v>
      </c>
      <c r="EH66" s="45">
        <f t="shared" si="27"/>
        <v>5885313.9629525198</v>
      </c>
      <c r="EI66" s="45">
        <f t="shared" si="27"/>
        <v>5799110.962163602</v>
      </c>
      <c r="EJ66" s="45">
        <f t="shared" si="27"/>
        <v>5714170.5885500209</v>
      </c>
      <c r="EK66" s="45">
        <f t="shared" si="27"/>
        <v>5630474.3482383704</v>
      </c>
      <c r="EL66" s="45">
        <f t="shared" si="27"/>
        <v>5548004.0182375433</v>
      </c>
      <c r="EM66" s="45">
        <f t="shared" si="27"/>
        <v>5466741.6424710825</v>
      </c>
      <c r="EN66" s="45">
        <f t="shared" si="27"/>
        <v>5386669.527867646</v>
      </c>
      <c r="EO66" s="45">
        <f t="shared" si="27"/>
        <v>5307770.2405087333</v>
      </c>
      <c r="EP66" s="45">
        <f t="shared" si="27"/>
        <v>5230026.6018328406</v>
      </c>
      <c r="EQ66" s="45">
        <f t="shared" si="27"/>
        <v>5153421.68489521</v>
      </c>
      <c r="ER66" s="45">
        <f t="shared" si="27"/>
        <v>5077938.8106823647</v>
      </c>
      <c r="ES66" s="45">
        <f t="shared" si="27"/>
        <v>5003561.5444806265</v>
      </c>
      <c r="ET66" s="45">
        <f t="shared" si="27"/>
        <v>4930273.6922978219</v>
      </c>
      <c r="EU66" s="45">
        <f t="shared" si="27"/>
        <v>4858059.2973374017</v>
      </c>
      <c r="EV66" s="45">
        <f t="shared" si="27"/>
        <v>4786902.6365242042</v>
      </c>
      <c r="EW66" s="45">
        <f t="shared" si="27"/>
        <v>4716788.2170811063</v>
      </c>
      <c r="EX66" s="45">
        <f t="shared" si="27"/>
        <v>4647700.7731558168</v>
      </c>
      <c r="EY66" s="45">
        <f t="shared" si="27"/>
        <v>4579625.2624970768</v>
      </c>
      <c r="EZ66" s="45">
        <f t="shared" si="27"/>
        <v>4512546.8631795431</v>
      </c>
      <c r="FA66" s="45">
        <f t="shared" si="27"/>
        <v>4446450.9703766471</v>
      </c>
    </row>
    <row r="67" spans="1:157" ht="15.75" customHeight="1" x14ac:dyDescent="0.2">
      <c r="A67" s="44" t="s">
        <v>373</v>
      </c>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104"/>
      <c r="BZ67" s="104"/>
      <c r="CA67" s="104"/>
      <c r="CB67" s="104"/>
      <c r="CC67" s="104"/>
      <c r="CD67" s="104"/>
      <c r="CE67" s="104"/>
      <c r="CF67" s="104"/>
      <c r="CG67" s="104"/>
      <c r="CH67" s="104">
        <v>0</v>
      </c>
      <c r="CI67" s="104">
        <v>0</v>
      </c>
      <c r="CJ67" s="104">
        <v>0</v>
      </c>
      <c r="CK67" s="104">
        <v>0</v>
      </c>
      <c r="CL67" s="104">
        <v>0</v>
      </c>
      <c r="CM67" s="104">
        <v>0</v>
      </c>
      <c r="CN67" s="104">
        <v>0</v>
      </c>
      <c r="CO67" s="104">
        <v>0</v>
      </c>
      <c r="CP67" s="104">
        <v>0</v>
      </c>
      <c r="CQ67" s="109">
        <v>0</v>
      </c>
      <c r="CR67" s="104">
        <v>0</v>
      </c>
      <c r="CS67" s="104"/>
      <c r="CT67" s="104"/>
      <c r="CU67" s="104"/>
      <c r="CV67" s="104"/>
      <c r="CW67" s="104">
        <f t="array" ref="CW67:EF67">TRANSPOSE('Crédito Syscap'!B3:B38)</f>
        <v>20000000</v>
      </c>
      <c r="CX67" s="104">
        <v>35000000</v>
      </c>
      <c r="CY67" s="104">
        <v>50000000</v>
      </c>
      <c r="CZ67" s="104">
        <v>50000000</v>
      </c>
      <c r="DA67" s="104">
        <v>50000000</v>
      </c>
      <c r="DB67" s="104">
        <v>50000000</v>
      </c>
      <c r="DC67" s="110">
        <v>50000000</v>
      </c>
      <c r="DD67" s="104">
        <v>48718512.253522955</v>
      </c>
      <c r="DE67" s="104">
        <v>47414598.47148256</v>
      </c>
      <c r="DF67" s="104">
        <v>46087866.198256463</v>
      </c>
      <c r="DG67" s="104">
        <v>44737916.110248908</v>
      </c>
      <c r="DH67" s="104">
        <v>43364341.895701222</v>
      </c>
      <c r="DI67" s="104">
        <v>41966730.132398948</v>
      </c>
      <c r="DJ67" s="104">
        <v>40544660.163238883</v>
      </c>
      <c r="DK67" s="104">
        <v>39097703.969618514</v>
      </c>
      <c r="DL67" s="104">
        <v>37625426.042609796</v>
      </c>
      <c r="DM67" s="104">
        <v>36127383.251878418</v>
      </c>
      <c r="DN67" s="104">
        <v>34603124.712309241</v>
      </c>
      <c r="DO67" s="104">
        <v>33052191.648297608</v>
      </c>
      <c r="DP67" s="104">
        <v>31474117.255665768</v>
      </c>
      <c r="DQ67" s="104">
        <v>29868426.56116287</v>
      </c>
      <c r="DR67" s="104">
        <v>28234636.279506173</v>
      </c>
      <c r="DS67" s="104">
        <v>26572254.667920481</v>
      </c>
      <c r="DT67" s="104">
        <v>24880781.378132042</v>
      </c>
      <c r="DU67" s="104">
        <v>23159707.305772301</v>
      </c>
      <c r="DV67" s="104">
        <v>21408514.437146265</v>
      </c>
      <c r="DW67" s="104">
        <v>19626675.693319272</v>
      </c>
      <c r="DX67" s="104">
        <v>17813654.771475308</v>
      </c>
      <c r="DY67" s="104">
        <v>15968905.983499072</v>
      </c>
      <c r="DZ67" s="104">
        <v>14091874.091733254</v>
      </c>
      <c r="EA67" s="104">
        <v>12181994.14186153</v>
      </c>
      <c r="EB67" s="104">
        <v>10238691.292867051</v>
      </c>
      <c r="EC67" s="104">
        <v>8261380.6440151697</v>
      </c>
      <c r="ED67" s="104">
        <v>6249467.0588083751</v>
      </c>
      <c r="EE67" s="104">
        <v>4202344.9858604548</v>
      </c>
      <c r="EF67" s="104">
        <v>2119398.2766359486</v>
      </c>
      <c r="EG67" s="104"/>
      <c r="EH67" s="104"/>
      <c r="EI67" s="104"/>
      <c r="EJ67" s="104"/>
      <c r="EK67" s="104"/>
      <c r="EL67" s="104"/>
      <c r="EM67" s="104"/>
      <c r="EN67" s="104"/>
      <c r="EO67" s="104"/>
      <c r="EP67" s="104"/>
      <c r="EQ67" s="104"/>
      <c r="ER67" s="104"/>
      <c r="ES67" s="104"/>
      <c r="ET67" s="104"/>
      <c r="EU67" s="104"/>
      <c r="EV67" s="104"/>
      <c r="EW67" s="104"/>
      <c r="EX67" s="104"/>
      <c r="EY67" s="104"/>
      <c r="EZ67" s="104"/>
      <c r="FA67" s="104"/>
    </row>
    <row r="68" spans="1:157" ht="15.75" customHeight="1" x14ac:dyDescent="0.2">
      <c r="A68" s="44" t="s">
        <v>374</v>
      </c>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104"/>
      <c r="BZ68" s="104"/>
      <c r="CA68" s="104"/>
      <c r="CB68" s="104"/>
      <c r="CC68" s="104"/>
      <c r="CD68" s="104"/>
      <c r="CE68" s="104"/>
      <c r="CF68" s="104"/>
      <c r="CG68" s="104"/>
      <c r="CH68" s="104">
        <v>0</v>
      </c>
      <c r="CI68" s="104">
        <v>0</v>
      </c>
      <c r="CJ68" s="104">
        <v>0</v>
      </c>
      <c r="CK68" s="104">
        <v>0</v>
      </c>
      <c r="CL68" s="104">
        <v>0</v>
      </c>
      <c r="CM68" s="104">
        <v>0</v>
      </c>
      <c r="CN68" s="104">
        <v>0</v>
      </c>
      <c r="CO68" s="104">
        <v>0</v>
      </c>
      <c r="CP68" s="104">
        <v>0</v>
      </c>
      <c r="CQ68" s="109">
        <v>0</v>
      </c>
      <c r="CR68" s="104">
        <v>0</v>
      </c>
      <c r="CS68" s="104"/>
      <c r="CT68" s="104"/>
      <c r="CU68" s="104">
        <f t="array" ref="CU68:ED68">TRANSPOSE('Crédito Syscap'!B3:B38)</f>
        <v>20000000</v>
      </c>
      <c r="CV68" s="104">
        <v>35000000</v>
      </c>
      <c r="CW68" s="104">
        <v>50000000</v>
      </c>
      <c r="CX68" s="104">
        <v>50000000</v>
      </c>
      <c r="CY68" s="104">
        <v>50000000</v>
      </c>
      <c r="CZ68" s="104">
        <v>50000000</v>
      </c>
      <c r="DA68" s="104">
        <v>50000000</v>
      </c>
      <c r="DB68" s="104">
        <v>48718512.253522955</v>
      </c>
      <c r="DC68" s="110">
        <v>47414598.47148256</v>
      </c>
      <c r="DD68" s="104">
        <v>46087866.198256463</v>
      </c>
      <c r="DE68" s="104">
        <v>44737916.110248908</v>
      </c>
      <c r="DF68" s="104">
        <v>43364341.895701222</v>
      </c>
      <c r="DG68" s="104">
        <v>41966730.132398948</v>
      </c>
      <c r="DH68" s="104">
        <v>40544660.163238883</v>
      </c>
      <c r="DI68" s="104">
        <v>39097703.969618514</v>
      </c>
      <c r="DJ68" s="104">
        <v>37625426.042609796</v>
      </c>
      <c r="DK68" s="104">
        <v>36127383.251878418</v>
      </c>
      <c r="DL68" s="104">
        <v>34603124.712309241</v>
      </c>
      <c r="DM68" s="104">
        <v>33052191.648297608</v>
      </c>
      <c r="DN68" s="104">
        <v>31474117.255665768</v>
      </c>
      <c r="DO68" s="104">
        <v>29868426.56116287</v>
      </c>
      <c r="DP68" s="104">
        <v>28234636.279506173</v>
      </c>
      <c r="DQ68" s="104">
        <v>26572254.667920481</v>
      </c>
      <c r="DR68" s="104">
        <v>24880781.378132042</v>
      </c>
      <c r="DS68" s="104">
        <v>23159707.305772301</v>
      </c>
      <c r="DT68" s="104">
        <v>21408514.437146265</v>
      </c>
      <c r="DU68" s="104">
        <v>19626675.693319272</v>
      </c>
      <c r="DV68" s="104">
        <v>17813654.771475308</v>
      </c>
      <c r="DW68" s="104">
        <v>15968905.983499072</v>
      </c>
      <c r="DX68" s="104">
        <v>14091874.091733254</v>
      </c>
      <c r="DY68" s="104">
        <v>12181994.14186153</v>
      </c>
      <c r="DZ68" s="104">
        <v>10238691.292867051</v>
      </c>
      <c r="EA68" s="104">
        <v>8261380.6440151697</v>
      </c>
      <c r="EB68" s="104">
        <v>6249467.0588083751</v>
      </c>
      <c r="EC68" s="104">
        <v>4202344.9858604548</v>
      </c>
      <c r="ED68" s="104">
        <v>2119398.2766359486</v>
      </c>
      <c r="EE68" s="104"/>
      <c r="EF68" s="104"/>
      <c r="EG68" s="104"/>
      <c r="EH68" s="104"/>
      <c r="EI68" s="104"/>
      <c r="EJ68" s="104"/>
      <c r="EK68" s="104"/>
      <c r="EL68" s="104"/>
      <c r="EM68" s="104"/>
      <c r="EN68" s="104"/>
      <c r="EO68" s="104"/>
      <c r="EP68" s="104"/>
      <c r="EQ68" s="104"/>
      <c r="ER68" s="104"/>
      <c r="ES68" s="104"/>
      <c r="ET68" s="104"/>
      <c r="EU68" s="104"/>
      <c r="EV68" s="104"/>
      <c r="EW68" s="104"/>
      <c r="EX68" s="104"/>
      <c r="EY68" s="104"/>
      <c r="EZ68" s="104"/>
      <c r="FA68" s="104"/>
    </row>
    <row r="69" spans="1:157" ht="15.75" customHeight="1" x14ac:dyDescent="0.2">
      <c r="A69" s="33" t="s">
        <v>309</v>
      </c>
      <c r="BY69" s="45">
        <v>750000</v>
      </c>
      <c r="BZ69" s="45">
        <v>750000</v>
      </c>
      <c r="CA69" s="45">
        <v>750000</v>
      </c>
      <c r="CB69" s="45">
        <v>750000</v>
      </c>
      <c r="CC69" s="45">
        <v>750000</v>
      </c>
      <c r="CD69" s="45">
        <v>750000</v>
      </c>
      <c r="CE69" s="45">
        <v>750000</v>
      </c>
      <c r="CF69" s="45">
        <v>750000</v>
      </c>
      <c r="CG69" s="45">
        <v>750000</v>
      </c>
      <c r="CH69" s="45">
        <v>750000</v>
      </c>
      <c r="CI69" s="45">
        <v>750000</v>
      </c>
      <c r="CJ69" s="45">
        <v>750000</v>
      </c>
      <c r="CK69" s="45">
        <v>750000</v>
      </c>
      <c r="CL69" s="45">
        <v>750000</v>
      </c>
      <c r="CM69" s="45">
        <v>750000</v>
      </c>
      <c r="CN69" s="45">
        <v>750000</v>
      </c>
      <c r="CO69" s="45">
        <v>750000</v>
      </c>
      <c r="CP69" s="45">
        <v>750000</v>
      </c>
      <c r="CQ69" s="114">
        <v>750000</v>
      </c>
      <c r="CR69" s="45">
        <v>750000</v>
      </c>
      <c r="CS69" s="45">
        <v>750000</v>
      </c>
      <c r="CT69" s="45">
        <v>750000</v>
      </c>
      <c r="CU69" s="45">
        <v>750000</v>
      </c>
      <c r="CV69" s="45">
        <v>750000</v>
      </c>
      <c r="CW69" s="45">
        <v>750000</v>
      </c>
      <c r="CX69" s="45">
        <v>750000</v>
      </c>
      <c r="CY69" s="45">
        <v>750000</v>
      </c>
      <c r="CZ69" s="45">
        <v>750000</v>
      </c>
      <c r="DA69" s="45">
        <v>750000</v>
      </c>
      <c r="DB69" s="45">
        <v>750000</v>
      </c>
      <c r="DC69" s="115">
        <v>750000</v>
      </c>
      <c r="DD69" s="45">
        <v>750000</v>
      </c>
      <c r="DE69" s="45">
        <v>750000</v>
      </c>
      <c r="DF69" s="45">
        <v>750000</v>
      </c>
      <c r="DG69" s="45">
        <v>750000</v>
      </c>
      <c r="DH69" s="45">
        <v>750000</v>
      </c>
      <c r="DI69" s="45">
        <v>750000</v>
      </c>
      <c r="DJ69" s="45">
        <v>750000</v>
      </c>
      <c r="DK69" s="45">
        <v>750000</v>
      </c>
      <c r="DL69" s="45">
        <v>750000</v>
      </c>
      <c r="DM69" s="45">
        <v>750000</v>
      </c>
      <c r="DN69" s="45">
        <v>750000</v>
      </c>
      <c r="DO69" s="45">
        <v>750000</v>
      </c>
      <c r="DP69" s="45">
        <v>750000</v>
      </c>
      <c r="DQ69" s="45">
        <v>750000</v>
      </c>
      <c r="DR69" s="45">
        <v>750000</v>
      </c>
      <c r="DS69" s="45">
        <v>750000</v>
      </c>
      <c r="DT69" s="45">
        <v>750000</v>
      </c>
      <c r="DU69" s="45">
        <v>750000</v>
      </c>
      <c r="DV69" s="45">
        <v>750000</v>
      </c>
      <c r="DW69" s="45">
        <v>750000</v>
      </c>
      <c r="DX69" s="45">
        <v>750000</v>
      </c>
      <c r="DY69" s="45">
        <v>750000</v>
      </c>
      <c r="DZ69" s="45">
        <v>750000</v>
      </c>
      <c r="EA69" s="45">
        <v>750000</v>
      </c>
      <c r="EB69" s="45">
        <v>750000</v>
      </c>
      <c r="EC69" s="45">
        <v>750000</v>
      </c>
      <c r="ED69" s="45">
        <v>750000</v>
      </c>
      <c r="EE69" s="45">
        <v>750000</v>
      </c>
      <c r="EF69" s="45">
        <v>750000</v>
      </c>
      <c r="EG69" s="45">
        <v>750000</v>
      </c>
      <c r="EH69" s="45">
        <v>750000</v>
      </c>
      <c r="EI69" s="45">
        <v>750000</v>
      </c>
      <c r="EJ69" s="45">
        <v>750000</v>
      </c>
      <c r="EK69" s="45">
        <v>750000</v>
      </c>
      <c r="EL69" s="45">
        <v>750000</v>
      </c>
      <c r="EM69" s="45">
        <v>750000</v>
      </c>
      <c r="EN69" s="45">
        <v>750000</v>
      </c>
      <c r="EO69" s="45">
        <v>750000</v>
      </c>
      <c r="EP69" s="45">
        <v>750000</v>
      </c>
      <c r="EQ69" s="45">
        <v>750000</v>
      </c>
      <c r="ER69" s="45">
        <v>750000</v>
      </c>
      <c r="ES69" s="45">
        <v>750000</v>
      </c>
      <c r="ET69" s="45">
        <v>750000</v>
      </c>
      <c r="EU69" s="45">
        <v>750000</v>
      </c>
      <c r="EV69" s="45">
        <v>750000</v>
      </c>
      <c r="EW69" s="45">
        <v>750000</v>
      </c>
      <c r="EX69" s="45">
        <v>750000</v>
      </c>
      <c r="EY69" s="45">
        <v>750000</v>
      </c>
      <c r="EZ69" s="45">
        <v>750000</v>
      </c>
      <c r="FA69" s="45">
        <v>750000</v>
      </c>
    </row>
    <row r="70" spans="1:157" ht="15.75" customHeight="1" x14ac:dyDescent="0.2">
      <c r="A70" s="33" t="s">
        <v>310</v>
      </c>
      <c r="BY70" s="45">
        <v>200000</v>
      </c>
      <c r="BZ70" s="45">
        <v>200000</v>
      </c>
      <c r="CA70" s="45">
        <v>200000</v>
      </c>
      <c r="CB70" s="45">
        <v>200000</v>
      </c>
      <c r="CC70" s="45">
        <v>200000</v>
      </c>
      <c r="CD70" s="45">
        <v>200000</v>
      </c>
      <c r="CE70" s="45">
        <v>200000</v>
      </c>
      <c r="CF70" s="45">
        <v>200000</v>
      </c>
      <c r="CG70" s="45">
        <v>200000</v>
      </c>
      <c r="CH70" s="45">
        <v>200000</v>
      </c>
      <c r="CI70" s="45">
        <v>200000</v>
      </c>
      <c r="CJ70" s="45">
        <v>200000</v>
      </c>
      <c r="CK70" s="45">
        <v>200000</v>
      </c>
      <c r="CL70" s="45">
        <v>200000</v>
      </c>
      <c r="CM70" s="45">
        <v>200000</v>
      </c>
      <c r="CN70" s="45">
        <v>200000</v>
      </c>
      <c r="CO70" s="45">
        <v>200000</v>
      </c>
      <c r="CP70" s="45">
        <v>200000</v>
      </c>
      <c r="CQ70" s="114">
        <v>200000</v>
      </c>
      <c r="CR70" s="45">
        <v>200000</v>
      </c>
      <c r="CS70" s="45">
        <v>200000</v>
      </c>
      <c r="CT70" s="45">
        <v>200000</v>
      </c>
      <c r="CU70" s="45">
        <v>200000</v>
      </c>
      <c r="CV70" s="45">
        <v>200000</v>
      </c>
      <c r="CW70" s="45">
        <v>200000</v>
      </c>
      <c r="CX70" s="45">
        <v>200000</v>
      </c>
      <c r="CY70" s="45">
        <v>200000</v>
      </c>
      <c r="CZ70" s="45">
        <v>200000</v>
      </c>
      <c r="DA70" s="45">
        <v>200000</v>
      </c>
      <c r="DB70" s="45">
        <v>200000</v>
      </c>
      <c r="DC70" s="115">
        <v>200000</v>
      </c>
      <c r="DD70" s="45">
        <v>200000</v>
      </c>
      <c r="DE70" s="45">
        <v>200000</v>
      </c>
      <c r="DF70" s="45">
        <v>200000</v>
      </c>
      <c r="DG70" s="45">
        <v>200000</v>
      </c>
      <c r="DH70" s="45">
        <v>200000</v>
      </c>
      <c r="DI70" s="45">
        <v>200000</v>
      </c>
      <c r="DJ70" s="45">
        <v>200000</v>
      </c>
      <c r="DK70" s="45">
        <v>200000</v>
      </c>
      <c r="DL70" s="45">
        <v>200000</v>
      </c>
      <c r="DM70" s="45">
        <v>200000</v>
      </c>
      <c r="DN70" s="45">
        <v>200000</v>
      </c>
      <c r="DO70" s="45">
        <v>200000</v>
      </c>
      <c r="DP70" s="45">
        <v>200000</v>
      </c>
      <c r="DQ70" s="45">
        <v>200000</v>
      </c>
      <c r="DR70" s="45">
        <v>200000</v>
      </c>
      <c r="DS70" s="45">
        <v>200000</v>
      </c>
      <c r="DT70" s="45">
        <v>200000</v>
      </c>
      <c r="DU70" s="45">
        <v>200000</v>
      </c>
      <c r="DV70" s="45">
        <v>200000</v>
      </c>
      <c r="DW70" s="45">
        <v>200000</v>
      </c>
      <c r="DX70" s="45">
        <v>200000</v>
      </c>
      <c r="DY70" s="45">
        <v>200000</v>
      </c>
      <c r="DZ70" s="45">
        <v>200000</v>
      </c>
      <c r="EA70" s="45">
        <v>200000</v>
      </c>
      <c r="EB70" s="45">
        <v>200000</v>
      </c>
      <c r="EC70" s="45">
        <v>200000</v>
      </c>
      <c r="ED70" s="45">
        <v>200000</v>
      </c>
      <c r="EE70" s="45">
        <v>200000</v>
      </c>
      <c r="EF70" s="45">
        <v>200000</v>
      </c>
      <c r="EG70" s="45">
        <v>200000</v>
      </c>
      <c r="EH70" s="45">
        <v>200000</v>
      </c>
      <c r="EI70" s="45">
        <v>200000</v>
      </c>
      <c r="EJ70" s="45">
        <v>200000</v>
      </c>
      <c r="EK70" s="45">
        <v>200000</v>
      </c>
      <c r="EL70" s="45">
        <v>200000</v>
      </c>
      <c r="EM70" s="45">
        <v>200000</v>
      </c>
      <c r="EN70" s="45">
        <v>200000</v>
      </c>
      <c r="EO70" s="45">
        <v>200000</v>
      </c>
      <c r="EP70" s="45">
        <v>200000</v>
      </c>
      <c r="EQ70" s="45">
        <v>200000</v>
      </c>
      <c r="ER70" s="45">
        <v>200000</v>
      </c>
      <c r="ES70" s="45">
        <v>200000</v>
      </c>
      <c r="ET70" s="45">
        <v>200000</v>
      </c>
      <c r="EU70" s="45">
        <v>200000</v>
      </c>
      <c r="EV70" s="45">
        <v>200000</v>
      </c>
      <c r="EW70" s="45">
        <v>200000</v>
      </c>
      <c r="EX70" s="45">
        <v>200000</v>
      </c>
      <c r="EY70" s="45">
        <v>200000</v>
      </c>
      <c r="EZ70" s="45">
        <v>200000</v>
      </c>
      <c r="FA70" s="45">
        <v>200000</v>
      </c>
    </row>
    <row r="71" spans="1:157" ht="15.75" customHeight="1" x14ac:dyDescent="0.2">
      <c r="A71" s="33" t="s">
        <v>312</v>
      </c>
      <c r="BY71" s="45">
        <v>230000</v>
      </c>
      <c r="BZ71" s="45">
        <v>230000</v>
      </c>
      <c r="CA71" s="45">
        <v>230000</v>
      </c>
      <c r="CB71" s="45">
        <v>230000</v>
      </c>
      <c r="CC71" s="45">
        <v>230000</v>
      </c>
      <c r="CD71" s="45">
        <v>230000</v>
      </c>
      <c r="CE71" s="45">
        <v>230000</v>
      </c>
      <c r="CF71" s="45">
        <v>230000</v>
      </c>
      <c r="CG71" s="45">
        <v>230000</v>
      </c>
      <c r="CH71" s="45">
        <v>230000</v>
      </c>
      <c r="CI71" s="45">
        <v>230000</v>
      </c>
      <c r="CJ71" s="45">
        <v>230000</v>
      </c>
      <c r="CK71" s="45">
        <v>230000</v>
      </c>
      <c r="CL71" s="45">
        <v>230000</v>
      </c>
      <c r="CM71" s="45">
        <v>230000</v>
      </c>
      <c r="CN71" s="45">
        <v>230000</v>
      </c>
      <c r="CO71" s="45">
        <v>230000</v>
      </c>
      <c r="CP71" s="45">
        <v>230000</v>
      </c>
      <c r="CQ71" s="114">
        <v>230000</v>
      </c>
      <c r="CR71" s="45">
        <v>230000</v>
      </c>
      <c r="CS71" s="45">
        <v>230000</v>
      </c>
      <c r="CT71" s="45">
        <v>230000</v>
      </c>
      <c r="CU71" s="45">
        <v>230000</v>
      </c>
      <c r="CV71" s="45">
        <v>230000</v>
      </c>
      <c r="CW71" s="45">
        <v>230000</v>
      </c>
      <c r="CX71" s="45">
        <v>230000</v>
      </c>
      <c r="CY71" s="45">
        <v>230000</v>
      </c>
      <c r="CZ71" s="45">
        <v>230000</v>
      </c>
      <c r="DA71" s="45">
        <v>230000</v>
      </c>
      <c r="DB71" s="45">
        <v>230000</v>
      </c>
      <c r="DC71" s="115">
        <v>230000</v>
      </c>
      <c r="DD71" s="45">
        <v>230000</v>
      </c>
      <c r="DE71" s="45">
        <v>230000</v>
      </c>
      <c r="DF71" s="45">
        <v>230000</v>
      </c>
      <c r="DG71" s="45">
        <v>230000</v>
      </c>
      <c r="DH71" s="45">
        <v>230000</v>
      </c>
      <c r="DI71" s="45">
        <v>230000</v>
      </c>
      <c r="DJ71" s="45">
        <v>230000</v>
      </c>
      <c r="DK71" s="45">
        <v>230000</v>
      </c>
      <c r="DL71" s="45">
        <v>230000</v>
      </c>
      <c r="DM71" s="45">
        <v>230000</v>
      </c>
      <c r="DN71" s="45">
        <v>230000</v>
      </c>
      <c r="DO71" s="45">
        <v>230000</v>
      </c>
      <c r="DP71" s="45">
        <v>230000</v>
      </c>
      <c r="DQ71" s="45">
        <v>230000</v>
      </c>
      <c r="DR71" s="45">
        <v>230000</v>
      </c>
      <c r="DS71" s="45">
        <v>230000</v>
      </c>
      <c r="DT71" s="45">
        <v>230000</v>
      </c>
      <c r="DU71" s="45">
        <v>230000</v>
      </c>
      <c r="DV71" s="45">
        <v>230000</v>
      </c>
      <c r="DW71" s="45">
        <v>230000</v>
      </c>
      <c r="DX71" s="45">
        <v>230000</v>
      </c>
      <c r="DY71" s="45">
        <v>230000</v>
      </c>
      <c r="DZ71" s="45">
        <v>230000</v>
      </c>
      <c r="EA71" s="45">
        <v>230000</v>
      </c>
      <c r="EB71" s="45">
        <v>230000</v>
      </c>
      <c r="EC71" s="45">
        <v>230000</v>
      </c>
      <c r="ED71" s="45">
        <v>230000</v>
      </c>
      <c r="EE71" s="45">
        <v>230000</v>
      </c>
      <c r="EF71" s="45">
        <v>230000</v>
      </c>
      <c r="EG71" s="45">
        <v>230000</v>
      </c>
      <c r="EH71" s="45">
        <v>230000</v>
      </c>
      <c r="EI71" s="45">
        <v>230000</v>
      </c>
      <c r="EJ71" s="45">
        <v>230000</v>
      </c>
      <c r="EK71" s="45">
        <v>230000</v>
      </c>
      <c r="EL71" s="45">
        <v>230000</v>
      </c>
      <c r="EM71" s="45">
        <v>230000</v>
      </c>
      <c r="EN71" s="45">
        <v>230000</v>
      </c>
      <c r="EO71" s="45">
        <v>230000</v>
      </c>
      <c r="EP71" s="45">
        <v>230000</v>
      </c>
      <c r="EQ71" s="45">
        <v>230000</v>
      </c>
      <c r="ER71" s="45">
        <v>230000</v>
      </c>
      <c r="ES71" s="45">
        <v>230000</v>
      </c>
      <c r="ET71" s="45">
        <v>230000</v>
      </c>
      <c r="EU71" s="45">
        <v>230000</v>
      </c>
      <c r="EV71" s="45">
        <v>230000</v>
      </c>
      <c r="EW71" s="45">
        <v>230000</v>
      </c>
      <c r="EX71" s="45">
        <v>230000</v>
      </c>
      <c r="EY71" s="45">
        <v>230000</v>
      </c>
      <c r="EZ71" s="45">
        <v>230000</v>
      </c>
      <c r="FA71" s="45">
        <v>230000</v>
      </c>
    </row>
    <row r="72" spans="1:157" ht="15.75" customHeight="1" x14ac:dyDescent="0.2">
      <c r="A72" s="33" t="s">
        <v>313</v>
      </c>
      <c r="BY72" s="45">
        <v>400000</v>
      </c>
      <c r="BZ72" s="45">
        <v>400000</v>
      </c>
      <c r="CA72" s="45">
        <v>400000</v>
      </c>
      <c r="CB72" s="45">
        <v>400000</v>
      </c>
      <c r="CC72" s="45">
        <v>400000</v>
      </c>
      <c r="CD72" s="45">
        <v>400000</v>
      </c>
      <c r="CE72" s="45">
        <v>400000</v>
      </c>
      <c r="CF72" s="45">
        <v>400000</v>
      </c>
      <c r="CG72" s="45">
        <v>400000</v>
      </c>
      <c r="CH72" s="45">
        <v>400000</v>
      </c>
      <c r="CI72" s="45">
        <v>400000</v>
      </c>
      <c r="CJ72" s="45">
        <v>400000</v>
      </c>
      <c r="CK72" s="45">
        <v>400000</v>
      </c>
      <c r="CL72" s="45">
        <v>400000</v>
      </c>
      <c r="CM72" s="45">
        <v>400000</v>
      </c>
      <c r="CN72" s="45">
        <v>400000</v>
      </c>
      <c r="CO72" s="45">
        <v>400000</v>
      </c>
      <c r="CP72" s="45">
        <v>400000</v>
      </c>
      <c r="CQ72" s="114">
        <v>400000</v>
      </c>
      <c r="CR72" s="45">
        <v>400000</v>
      </c>
      <c r="CS72" s="45">
        <v>400000</v>
      </c>
      <c r="CT72" s="45">
        <v>400000</v>
      </c>
      <c r="CU72" s="45">
        <v>400000</v>
      </c>
      <c r="CV72" s="45">
        <v>400000</v>
      </c>
      <c r="CW72" s="45">
        <v>400000</v>
      </c>
      <c r="CX72" s="45">
        <v>400000</v>
      </c>
      <c r="CY72" s="45">
        <v>400000</v>
      </c>
      <c r="CZ72" s="45">
        <v>400000</v>
      </c>
      <c r="DA72" s="45">
        <v>400000</v>
      </c>
      <c r="DB72" s="45">
        <v>400000</v>
      </c>
      <c r="DC72" s="115">
        <v>400000</v>
      </c>
      <c r="DD72" s="45">
        <v>400000</v>
      </c>
      <c r="DE72" s="45">
        <v>400000</v>
      </c>
      <c r="DF72" s="45">
        <v>400000</v>
      </c>
      <c r="DG72" s="45">
        <v>400000</v>
      </c>
      <c r="DH72" s="45">
        <v>400000</v>
      </c>
      <c r="DI72" s="45">
        <v>400000</v>
      </c>
      <c r="DJ72" s="45">
        <v>400000</v>
      </c>
      <c r="DK72" s="45">
        <v>400000</v>
      </c>
      <c r="DL72" s="45">
        <v>400000</v>
      </c>
      <c r="DM72" s="45">
        <v>400000</v>
      </c>
      <c r="DN72" s="45">
        <v>400000</v>
      </c>
      <c r="DO72" s="45">
        <v>400000</v>
      </c>
      <c r="DP72" s="45">
        <v>400000</v>
      </c>
      <c r="DQ72" s="45">
        <v>400000</v>
      </c>
      <c r="DR72" s="45">
        <v>400000</v>
      </c>
      <c r="DS72" s="45">
        <v>400000</v>
      </c>
      <c r="DT72" s="45">
        <v>400000</v>
      </c>
      <c r="DU72" s="45">
        <v>400000</v>
      </c>
      <c r="DV72" s="45">
        <v>400000</v>
      </c>
      <c r="DW72" s="45">
        <v>400000</v>
      </c>
      <c r="DX72" s="45">
        <v>400000</v>
      </c>
      <c r="DY72" s="45">
        <v>400000</v>
      </c>
      <c r="DZ72" s="45">
        <v>400000</v>
      </c>
      <c r="EA72" s="45">
        <v>400000</v>
      </c>
      <c r="EB72" s="45">
        <v>400000</v>
      </c>
      <c r="EC72" s="45">
        <v>400000</v>
      </c>
      <c r="ED72" s="45">
        <v>400000</v>
      </c>
      <c r="EE72" s="45">
        <v>400000</v>
      </c>
      <c r="EF72" s="45">
        <v>400000</v>
      </c>
      <c r="EG72" s="45">
        <v>400000</v>
      </c>
      <c r="EH72" s="45">
        <v>400000</v>
      </c>
      <c r="EI72" s="45">
        <v>400000</v>
      </c>
      <c r="EJ72" s="45">
        <v>400000</v>
      </c>
      <c r="EK72" s="45">
        <v>400000</v>
      </c>
      <c r="EL72" s="45">
        <v>400000</v>
      </c>
      <c r="EM72" s="45">
        <v>400000</v>
      </c>
      <c r="EN72" s="45">
        <v>400000</v>
      </c>
      <c r="EO72" s="45">
        <v>400000</v>
      </c>
      <c r="EP72" s="45">
        <v>400000</v>
      </c>
      <c r="EQ72" s="45">
        <v>400000</v>
      </c>
      <c r="ER72" s="45">
        <v>400000</v>
      </c>
      <c r="ES72" s="45">
        <v>400000</v>
      </c>
      <c r="ET72" s="45">
        <v>400000</v>
      </c>
      <c r="EU72" s="45">
        <v>400000</v>
      </c>
      <c r="EV72" s="45">
        <v>400000</v>
      </c>
      <c r="EW72" s="45">
        <v>400000</v>
      </c>
      <c r="EX72" s="45">
        <v>400000</v>
      </c>
      <c r="EY72" s="45">
        <v>400000</v>
      </c>
      <c r="EZ72" s="45">
        <v>400000</v>
      </c>
      <c r="FA72" s="45">
        <v>400000</v>
      </c>
    </row>
    <row r="73" spans="1:157" ht="15.75" customHeight="1" x14ac:dyDescent="0.2">
      <c r="A73" s="44" t="s">
        <v>314</v>
      </c>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104">
        <f t="shared" ref="BY73:FA73" si="28">SUM(BY65:BY72)</f>
        <v>9230000</v>
      </c>
      <c r="BZ73" s="104">
        <f t="shared" si="28"/>
        <v>9230000</v>
      </c>
      <c r="CA73" s="104">
        <f t="shared" si="28"/>
        <v>9230000</v>
      </c>
      <c r="CB73" s="104">
        <f t="shared" si="28"/>
        <v>9230000</v>
      </c>
      <c r="CC73" s="104">
        <f t="shared" si="28"/>
        <v>9230000</v>
      </c>
      <c r="CD73" s="104">
        <f t="shared" si="28"/>
        <v>9230000</v>
      </c>
      <c r="CE73" s="104">
        <f t="shared" si="28"/>
        <v>9230000</v>
      </c>
      <c r="CF73" s="104">
        <f t="shared" si="28"/>
        <v>9230000</v>
      </c>
      <c r="CG73" s="104">
        <f t="shared" si="28"/>
        <v>9230000</v>
      </c>
      <c r="CH73" s="104">
        <f t="shared" si="28"/>
        <v>9230000</v>
      </c>
      <c r="CI73" s="104">
        <f t="shared" si="28"/>
        <v>9230000</v>
      </c>
      <c r="CJ73" s="104">
        <f t="shared" si="28"/>
        <v>9230000</v>
      </c>
      <c r="CK73" s="104">
        <f t="shared" si="28"/>
        <v>9230000</v>
      </c>
      <c r="CL73" s="104">
        <f t="shared" si="28"/>
        <v>9230000</v>
      </c>
      <c r="CM73" s="104">
        <f t="shared" si="28"/>
        <v>9230000</v>
      </c>
      <c r="CN73" s="104">
        <f t="shared" si="28"/>
        <v>9230000</v>
      </c>
      <c r="CO73" s="104">
        <f t="shared" si="28"/>
        <v>9230000</v>
      </c>
      <c r="CP73" s="104">
        <f t="shared" si="28"/>
        <v>12995000</v>
      </c>
      <c r="CQ73" s="109">
        <f t="shared" si="28"/>
        <v>12830000</v>
      </c>
      <c r="CR73" s="104">
        <f t="shared" si="28"/>
        <v>12667416.777629826</v>
      </c>
      <c r="CS73" s="104">
        <f t="shared" si="28"/>
        <v>12507214.934016073</v>
      </c>
      <c r="CT73" s="104">
        <f t="shared" si="28"/>
        <v>12349359.588777488</v>
      </c>
      <c r="CU73" s="104">
        <f t="shared" si="28"/>
        <v>32193816.372430548</v>
      </c>
      <c r="CV73" s="104">
        <f t="shared" si="28"/>
        <v>47040551.418906264</v>
      </c>
      <c r="CW73" s="104">
        <f t="shared" si="28"/>
        <v>81889531.358176619</v>
      </c>
      <c r="CX73" s="104">
        <f t="shared" si="28"/>
        <v>96740723.308988944</v>
      </c>
      <c r="CY73" s="104">
        <f t="shared" si="28"/>
        <v>111594094.87170681</v>
      </c>
      <c r="CZ73" s="104">
        <f t="shared" si="28"/>
        <v>111449614.12125571</v>
      </c>
      <c r="DA73" s="104">
        <f t="shared" si="28"/>
        <v>111307249.60017207</v>
      </c>
      <c r="DB73" s="104">
        <f t="shared" si="28"/>
        <v>109885482.56527707</v>
      </c>
      <c r="DC73" s="110">
        <f t="shared" si="28"/>
        <v>108443344.18479553</v>
      </c>
      <c r="DD73" s="104">
        <f t="shared" si="28"/>
        <v>105698924.16130218</v>
      </c>
      <c r="DE73" s="104">
        <f t="shared" si="28"/>
        <v>102910855.22759944</v>
      </c>
      <c r="DF73" s="104">
        <f t="shared" si="28"/>
        <v>100078309.39614451</v>
      </c>
      <c r="DG73" s="104">
        <f t="shared" si="28"/>
        <v>97200445.128957093</v>
      </c>
      <c r="DH73" s="104">
        <f t="shared" si="28"/>
        <v>94276407.086728185</v>
      </c>
      <c r="DI73" s="104">
        <f t="shared" si="28"/>
        <v>91305325.873739392</v>
      </c>
      <c r="DJ73" s="104">
        <f t="shared" si="28"/>
        <v>88286317.778517425</v>
      </c>
      <c r="DK73" s="104">
        <f t="shared" si="28"/>
        <v>85218484.510145247</v>
      </c>
      <c r="DL73" s="104">
        <f t="shared" si="28"/>
        <v>82100912.930151731</v>
      </c>
      <c r="DM73" s="104">
        <f t="shared" si="28"/>
        <v>78932674.779899314</v>
      </c>
      <c r="DN73" s="104">
        <f t="shared" si="28"/>
        <v>75712826.403388098</v>
      </c>
      <c r="DO73" s="104">
        <f t="shared" si="28"/>
        <v>72440408.465393484</v>
      </c>
      <c r="DP73" s="104">
        <f t="shared" si="28"/>
        <v>69114445.664852932</v>
      </c>
      <c r="DQ73" s="104">
        <f t="shared" si="28"/>
        <v>65733946.443416163</v>
      </c>
      <c r="DR73" s="104">
        <f t="shared" si="28"/>
        <v>62297902.689071342</v>
      </c>
      <c r="DS73" s="104">
        <f t="shared" si="28"/>
        <v>58805289.434758708</v>
      </c>
      <c r="DT73" s="104">
        <f t="shared" si="28"/>
        <v>55255064.551881224</v>
      </c>
      <c r="DU73" s="104">
        <f t="shared" si="28"/>
        <v>51646168.438620403</v>
      </c>
      <c r="DV73" s="104">
        <f t="shared" si="28"/>
        <v>47977523.702964231</v>
      </c>
      <c r="DW73" s="104">
        <f t="shared" si="28"/>
        <v>44248034.840351731</v>
      </c>
      <c r="DX73" s="104">
        <f t="shared" si="28"/>
        <v>40456587.905837998</v>
      </c>
      <c r="DY73" s="104">
        <f t="shared" si="28"/>
        <v>36602050.180681214</v>
      </c>
      <c r="DZ73" s="104">
        <f t="shared" si="28"/>
        <v>32683269.833251782</v>
      </c>
      <c r="EA73" s="104">
        <f t="shared" si="28"/>
        <v>28699075.574161775</v>
      </c>
      <c r="EB73" s="104">
        <f t="shared" si="28"/>
        <v>24648276.305511586</v>
      </c>
      <c r="EC73" s="104">
        <f t="shared" si="28"/>
        <v>20529660.764148273</v>
      </c>
      <c r="ED73" s="104">
        <f t="shared" si="28"/>
        <v>16341997.158828825</v>
      </c>
      <c r="EE73" s="104">
        <f t="shared" si="28"/>
        <v>12084032.801179405</v>
      </c>
      <c r="EF73" s="104">
        <f t="shared" si="28"/>
        <v>9910981.4768170714</v>
      </c>
      <c r="EG73" s="104">
        <f t="shared" si="28"/>
        <v>7702798.3596991105</v>
      </c>
      <c r="EH73" s="104">
        <f t="shared" si="28"/>
        <v>7615313.9629525198</v>
      </c>
      <c r="EI73" s="104">
        <f t="shared" si="28"/>
        <v>7529110.962163602</v>
      </c>
      <c r="EJ73" s="104">
        <f t="shared" si="28"/>
        <v>7444170.5885500209</v>
      </c>
      <c r="EK73" s="104">
        <f t="shared" si="28"/>
        <v>7360474.3482383704</v>
      </c>
      <c r="EL73" s="104">
        <f t="shared" si="28"/>
        <v>7278004.0182375433</v>
      </c>
      <c r="EM73" s="104">
        <f t="shared" si="28"/>
        <v>7196741.6424710825</v>
      </c>
      <c r="EN73" s="104">
        <f t="shared" si="28"/>
        <v>7116669.527867646</v>
      </c>
      <c r="EO73" s="104">
        <f t="shared" si="28"/>
        <v>7037770.2405087333</v>
      </c>
      <c r="EP73" s="104">
        <f t="shared" si="28"/>
        <v>6960026.6018328406</v>
      </c>
      <c r="EQ73" s="104">
        <f t="shared" si="28"/>
        <v>6883421.68489521</v>
      </c>
      <c r="ER73" s="104">
        <f t="shared" si="28"/>
        <v>6807938.8106823647</v>
      </c>
      <c r="ES73" s="104">
        <f t="shared" si="28"/>
        <v>6733561.5444806265</v>
      </c>
      <c r="ET73" s="104">
        <f t="shared" si="28"/>
        <v>6660273.6922978219</v>
      </c>
      <c r="EU73" s="104">
        <f t="shared" si="28"/>
        <v>6588059.2973374017</v>
      </c>
      <c r="EV73" s="104">
        <f t="shared" si="28"/>
        <v>6516902.6365242042</v>
      </c>
      <c r="EW73" s="104">
        <f t="shared" si="28"/>
        <v>6446788.2170811063</v>
      </c>
      <c r="EX73" s="104">
        <f t="shared" si="28"/>
        <v>6377700.7731558168</v>
      </c>
      <c r="EY73" s="104">
        <f t="shared" si="28"/>
        <v>6309625.2624970768</v>
      </c>
      <c r="EZ73" s="104">
        <f t="shared" si="28"/>
        <v>6242546.8631795431</v>
      </c>
      <c r="FA73" s="104">
        <f t="shared" si="28"/>
        <v>6176450.9703766471</v>
      </c>
    </row>
    <row r="74" spans="1:157" ht="15.75" customHeight="1" x14ac:dyDescent="0.2">
      <c r="BY74" s="45"/>
      <c r="BZ74" s="45"/>
      <c r="CA74" s="45"/>
      <c r="CB74" s="45"/>
      <c r="CC74" s="45"/>
      <c r="CD74" s="45"/>
      <c r="CE74" s="45"/>
      <c r="CF74" s="45"/>
      <c r="CG74" s="45"/>
      <c r="CH74" s="45"/>
      <c r="CI74" s="45"/>
      <c r="CJ74" s="45"/>
      <c r="CK74" s="45"/>
      <c r="CL74" s="45"/>
      <c r="CM74" s="45"/>
      <c r="CN74" s="45"/>
      <c r="CO74" s="45"/>
      <c r="CP74" s="45"/>
      <c r="CQ74" s="114"/>
      <c r="CR74" s="45"/>
      <c r="CS74" s="45"/>
      <c r="CT74" s="45"/>
      <c r="CU74" s="45"/>
      <c r="CV74" s="45"/>
      <c r="CW74" s="45"/>
      <c r="CX74" s="45"/>
      <c r="CY74" s="45"/>
      <c r="CZ74" s="45"/>
      <c r="DA74" s="45"/>
      <c r="DB74" s="45"/>
      <c r="DC74" s="115"/>
      <c r="DD74" s="45"/>
      <c r="DE74" s="45"/>
      <c r="DF74" s="45"/>
      <c r="DG74" s="45"/>
      <c r="DH74" s="45"/>
      <c r="DI74" s="45"/>
      <c r="DJ74" s="45"/>
      <c r="DK74" s="45"/>
      <c r="DL74" s="45"/>
      <c r="DM74" s="45"/>
      <c r="DN74" s="45"/>
      <c r="DO74" s="45"/>
      <c r="DP74" s="45"/>
      <c r="DQ74" s="45"/>
      <c r="DR74" s="45"/>
      <c r="DS74" s="45"/>
      <c r="DT74" s="45"/>
      <c r="DU74" s="45"/>
      <c r="DV74" s="45"/>
      <c r="DW74" s="45"/>
      <c r="DX74" s="45"/>
      <c r="DY74" s="45"/>
      <c r="DZ74" s="45"/>
      <c r="EA74" s="45"/>
      <c r="EB74" s="45"/>
      <c r="EC74" s="45"/>
      <c r="ED74" s="45"/>
      <c r="EE74" s="45"/>
      <c r="EF74" s="45"/>
      <c r="EG74" s="45"/>
      <c r="EH74" s="45"/>
      <c r="EI74" s="45"/>
      <c r="EJ74" s="45"/>
      <c r="EK74" s="45"/>
      <c r="EL74" s="45"/>
      <c r="EM74" s="45"/>
      <c r="EN74" s="45"/>
      <c r="EO74" s="45"/>
      <c r="EP74" s="45"/>
      <c r="EQ74" s="45"/>
      <c r="ER74" s="45"/>
      <c r="ES74" s="45"/>
      <c r="ET74" s="45"/>
      <c r="EU74" s="45"/>
      <c r="EV74" s="45"/>
      <c r="EW74" s="45"/>
      <c r="EX74" s="45"/>
      <c r="EY74" s="45"/>
      <c r="EZ74" s="45"/>
      <c r="FA74" s="45"/>
    </row>
    <row r="75" spans="1:157" ht="15.75" customHeight="1" x14ac:dyDescent="0.2">
      <c r="A75" s="33" t="s">
        <v>315</v>
      </c>
      <c r="BY75" s="45">
        <v>3564000</v>
      </c>
      <c r="BZ75" s="45">
        <v>3564000</v>
      </c>
      <c r="CA75" s="45">
        <v>3564000</v>
      </c>
      <c r="CB75" s="45">
        <v>3564000</v>
      </c>
      <c r="CC75" s="45">
        <v>3564000</v>
      </c>
      <c r="CD75" s="45">
        <v>3564000</v>
      </c>
      <c r="CE75" s="45">
        <v>3564000</v>
      </c>
      <c r="CF75" s="45">
        <v>3564000</v>
      </c>
      <c r="CG75" s="45">
        <v>3564000</v>
      </c>
      <c r="CH75" s="45">
        <v>3564000</v>
      </c>
      <c r="CI75" s="45">
        <v>3564000</v>
      </c>
      <c r="CJ75" s="45">
        <v>3564000</v>
      </c>
      <c r="CK75" s="45">
        <v>3564000</v>
      </c>
      <c r="CL75" s="45">
        <v>3564000</v>
      </c>
      <c r="CM75" s="45">
        <v>3564000</v>
      </c>
      <c r="CN75" s="45">
        <v>3564000</v>
      </c>
      <c r="CO75" s="45">
        <v>3564000</v>
      </c>
      <c r="CP75" s="45">
        <v>3564000</v>
      </c>
      <c r="CQ75" s="114">
        <v>3564000</v>
      </c>
      <c r="CR75" s="45">
        <v>3564000</v>
      </c>
      <c r="CS75" s="45">
        <v>3564000</v>
      </c>
      <c r="CT75" s="45">
        <v>3564000</v>
      </c>
      <c r="CU75" s="45">
        <v>3564000</v>
      </c>
      <c r="CV75" s="45">
        <v>3564000</v>
      </c>
      <c r="CW75" s="45">
        <v>3564000</v>
      </c>
      <c r="CX75" s="45">
        <v>3564000</v>
      </c>
      <c r="CY75" s="45">
        <v>3564000</v>
      </c>
      <c r="CZ75" s="45">
        <v>3564000</v>
      </c>
      <c r="DA75" s="45">
        <v>3564000</v>
      </c>
      <c r="DB75" s="45">
        <v>3564000</v>
      </c>
      <c r="DC75" s="115">
        <v>3564000</v>
      </c>
      <c r="DD75" s="45">
        <v>3564000</v>
      </c>
      <c r="DE75" s="45">
        <v>3564000</v>
      </c>
      <c r="DF75" s="45">
        <v>3564000</v>
      </c>
      <c r="DG75" s="45">
        <v>3564000</v>
      </c>
      <c r="DH75" s="45">
        <v>3564000</v>
      </c>
      <c r="DI75" s="45">
        <v>3564000</v>
      </c>
      <c r="DJ75" s="45">
        <v>3564000</v>
      </c>
      <c r="DK75" s="45">
        <v>3564000</v>
      </c>
      <c r="DL75" s="45">
        <v>3564000</v>
      </c>
      <c r="DM75" s="45">
        <v>3564000</v>
      </c>
      <c r="DN75" s="45">
        <v>3564000</v>
      </c>
      <c r="DO75" s="45">
        <v>3564000</v>
      </c>
      <c r="DP75" s="45">
        <v>3564000</v>
      </c>
      <c r="DQ75" s="45">
        <v>3564000</v>
      </c>
      <c r="DR75" s="45">
        <v>3564000</v>
      </c>
      <c r="DS75" s="45">
        <v>3564000</v>
      </c>
      <c r="DT75" s="45">
        <v>3564000</v>
      </c>
      <c r="DU75" s="45">
        <v>3564000</v>
      </c>
      <c r="DV75" s="45">
        <v>3564000</v>
      </c>
      <c r="DW75" s="45">
        <v>3564000</v>
      </c>
      <c r="DX75" s="45">
        <v>3564000</v>
      </c>
      <c r="DY75" s="45">
        <v>3564000</v>
      </c>
      <c r="DZ75" s="45">
        <v>3564000</v>
      </c>
      <c r="EA75" s="45">
        <v>3564000</v>
      </c>
      <c r="EB75" s="45">
        <v>3564000</v>
      </c>
      <c r="EC75" s="45">
        <v>3564000</v>
      </c>
      <c r="ED75" s="45">
        <v>3564000</v>
      </c>
      <c r="EE75" s="45">
        <v>3564000</v>
      </c>
      <c r="EF75" s="45">
        <v>3564000</v>
      </c>
      <c r="EG75" s="45">
        <v>3564000</v>
      </c>
      <c r="EH75" s="45">
        <v>3564000</v>
      </c>
      <c r="EI75" s="45">
        <v>3564000</v>
      </c>
      <c r="EJ75" s="45">
        <v>3564000</v>
      </c>
      <c r="EK75" s="45">
        <v>3564000</v>
      </c>
      <c r="EL75" s="45">
        <v>3564000</v>
      </c>
      <c r="EM75" s="45">
        <v>3564000</v>
      </c>
      <c r="EN75" s="45">
        <v>3564000</v>
      </c>
      <c r="EO75" s="45">
        <v>3564000</v>
      </c>
      <c r="EP75" s="45">
        <v>3564000</v>
      </c>
      <c r="EQ75" s="45">
        <v>3564000</v>
      </c>
      <c r="ER75" s="45">
        <v>3564000</v>
      </c>
      <c r="ES75" s="45">
        <v>3564000</v>
      </c>
      <c r="ET75" s="45">
        <v>3564000</v>
      </c>
      <c r="EU75" s="45">
        <v>3564000</v>
      </c>
      <c r="EV75" s="45">
        <v>3564000</v>
      </c>
      <c r="EW75" s="45">
        <v>3564000</v>
      </c>
      <c r="EX75" s="45">
        <v>3564000</v>
      </c>
      <c r="EY75" s="45">
        <v>3564000</v>
      </c>
      <c r="EZ75" s="45">
        <v>3564000</v>
      </c>
      <c r="FA75" s="45">
        <v>3564000</v>
      </c>
    </row>
    <row r="76" spans="1:157" ht="15.75" customHeight="1" x14ac:dyDescent="0.2">
      <c r="A76" s="33" t="s">
        <v>316</v>
      </c>
      <c r="BY76" s="45"/>
      <c r="BZ76" s="45"/>
      <c r="CA76" s="45"/>
      <c r="CB76" s="45"/>
      <c r="CC76" s="45"/>
      <c r="CD76" s="45"/>
      <c r="CE76" s="45"/>
      <c r="CF76" s="45"/>
      <c r="CG76" s="45"/>
      <c r="CH76" s="45">
        <v>22768000</v>
      </c>
      <c r="CI76" s="45">
        <v>22768000</v>
      </c>
      <c r="CJ76" s="45">
        <v>22768000</v>
      </c>
      <c r="CK76" s="45">
        <v>22768000</v>
      </c>
      <c r="CL76" s="45">
        <v>22768000</v>
      </c>
      <c r="CM76" s="45">
        <v>22768000</v>
      </c>
      <c r="CN76" s="45">
        <v>22768000</v>
      </c>
      <c r="CO76" s="45">
        <v>22768000</v>
      </c>
      <c r="CP76" s="45">
        <v>22768000</v>
      </c>
      <c r="CQ76" s="114">
        <v>22768000</v>
      </c>
      <c r="CR76" s="45">
        <v>22768000</v>
      </c>
      <c r="CS76" s="45">
        <v>22768000</v>
      </c>
      <c r="CT76" s="45">
        <v>22768000</v>
      </c>
      <c r="CU76" s="45">
        <v>22768000</v>
      </c>
      <c r="CV76" s="45">
        <v>22768000</v>
      </c>
      <c r="CW76" s="45">
        <v>22768000</v>
      </c>
      <c r="CX76" s="45">
        <v>22768000</v>
      </c>
      <c r="CY76" s="45">
        <v>22768000</v>
      </c>
      <c r="CZ76" s="45">
        <v>22768000</v>
      </c>
      <c r="DA76" s="45">
        <v>22768000</v>
      </c>
      <c r="DB76" s="45">
        <v>22768000</v>
      </c>
      <c r="DC76" s="115">
        <v>22768000</v>
      </c>
      <c r="DD76" s="45">
        <v>22768000</v>
      </c>
      <c r="DE76" s="45">
        <v>22768000</v>
      </c>
      <c r="DF76" s="45">
        <v>22768000</v>
      </c>
      <c r="DG76" s="45">
        <v>22768000</v>
      </c>
      <c r="DH76" s="45">
        <v>22768000</v>
      </c>
      <c r="DI76" s="45">
        <v>22768000</v>
      </c>
      <c r="DJ76" s="45">
        <v>22768000</v>
      </c>
      <c r="DK76" s="45">
        <v>22768000</v>
      </c>
      <c r="DL76" s="45">
        <v>22768000</v>
      </c>
      <c r="DM76" s="45">
        <v>22768000</v>
      </c>
      <c r="DN76" s="45">
        <v>22768000</v>
      </c>
      <c r="DO76" s="45">
        <v>22768000</v>
      </c>
      <c r="DP76" s="45">
        <v>22768000</v>
      </c>
      <c r="DQ76" s="45">
        <v>22768000</v>
      </c>
      <c r="DR76" s="45">
        <v>22768000</v>
      </c>
      <c r="DS76" s="45">
        <v>22768000</v>
      </c>
      <c r="DT76" s="45">
        <v>22768000</v>
      </c>
      <c r="DU76" s="45">
        <v>22768000</v>
      </c>
      <c r="DV76" s="45">
        <v>22768000</v>
      </c>
      <c r="DW76" s="45">
        <v>22768000</v>
      </c>
      <c r="DX76" s="45">
        <v>22768000</v>
      </c>
      <c r="DY76" s="45">
        <v>22768000</v>
      </c>
      <c r="DZ76" s="45">
        <v>22768000</v>
      </c>
      <c r="EA76" s="45">
        <v>22768000</v>
      </c>
      <c r="EB76" s="45">
        <v>22768000</v>
      </c>
      <c r="EC76" s="45">
        <v>22768000</v>
      </c>
      <c r="ED76" s="45">
        <v>22768000</v>
      </c>
      <c r="EE76" s="45">
        <v>22768000</v>
      </c>
      <c r="EF76" s="45">
        <v>22768000</v>
      </c>
      <c r="EG76" s="45">
        <v>22768000</v>
      </c>
      <c r="EH76" s="45">
        <v>22768000</v>
      </c>
      <c r="EI76" s="45">
        <v>22768000</v>
      </c>
      <c r="EJ76" s="45">
        <v>22768000</v>
      </c>
      <c r="EK76" s="45">
        <v>22768000</v>
      </c>
      <c r="EL76" s="45">
        <v>22768000</v>
      </c>
      <c r="EM76" s="45">
        <v>22768000</v>
      </c>
      <c r="EN76" s="45">
        <v>22768000</v>
      </c>
      <c r="EO76" s="45">
        <v>22768000</v>
      </c>
      <c r="EP76" s="45">
        <v>22768000</v>
      </c>
      <c r="EQ76" s="45">
        <v>22768000</v>
      </c>
      <c r="ER76" s="45">
        <v>22768000</v>
      </c>
      <c r="ES76" s="45">
        <v>22768000</v>
      </c>
      <c r="ET76" s="45">
        <v>22768000</v>
      </c>
      <c r="EU76" s="45">
        <v>22768000</v>
      </c>
      <c r="EV76" s="45">
        <v>22768000</v>
      </c>
      <c r="EW76" s="45">
        <v>22768000</v>
      </c>
      <c r="EX76" s="45">
        <v>22768000</v>
      </c>
      <c r="EY76" s="45">
        <v>22768000</v>
      </c>
      <c r="EZ76" s="45">
        <v>22768000</v>
      </c>
      <c r="FA76" s="45">
        <v>22768000</v>
      </c>
    </row>
    <row r="77" spans="1:157" ht="15.75" customHeight="1" x14ac:dyDescent="0.2">
      <c r="A77" s="33" t="s">
        <v>318</v>
      </c>
      <c r="BY77" s="45"/>
      <c r="BZ77" s="45"/>
      <c r="CA77" s="45"/>
      <c r="CB77" s="45"/>
      <c r="CC77" s="45"/>
      <c r="CD77" s="45"/>
      <c r="CE77" s="45"/>
      <c r="CF77" s="45"/>
      <c r="CG77" s="45"/>
      <c r="CH77" s="45">
        <v>-17000000</v>
      </c>
      <c r="CI77" s="45">
        <v>-17500000</v>
      </c>
      <c r="CJ77" s="45">
        <v>-18000000</v>
      </c>
      <c r="CK77" s="45">
        <v>-18500000</v>
      </c>
      <c r="CL77" s="45">
        <v>-19000000</v>
      </c>
      <c r="CM77" s="45">
        <v>-19500000</v>
      </c>
      <c r="CN77" s="45">
        <v>-20000000</v>
      </c>
      <c r="CO77" s="45">
        <v>-20500000</v>
      </c>
      <c r="CP77" s="45">
        <v>-20000000</v>
      </c>
      <c r="CQ77" s="114">
        <v>-20500000</v>
      </c>
      <c r="CR77" s="45">
        <v>-21000000</v>
      </c>
      <c r="CS77" s="45">
        <f t="shared" ref="CS77:FA77" si="29">CR77+CR78</f>
        <v>-20731600.803853944</v>
      </c>
      <c r="CT77" s="45">
        <f t="shared" si="29"/>
        <v>-20445957.915816743</v>
      </c>
      <c r="CU77" s="45">
        <f t="shared" si="29"/>
        <v>-20503073.248452917</v>
      </c>
      <c r="CV77" s="45">
        <f t="shared" si="29"/>
        <v>-20488981.75213309</v>
      </c>
      <c r="CW77" s="45">
        <f t="shared" si="29"/>
        <v>-20358287.015567329</v>
      </c>
      <c r="CX77" s="45">
        <f t="shared" si="29"/>
        <v>-19659489.489725765</v>
      </c>
      <c r="CY77" s="45">
        <f t="shared" si="29"/>
        <v>-18569610.764636017</v>
      </c>
      <c r="CZ77" s="45">
        <f t="shared" si="29"/>
        <v>-17113235.048061874</v>
      </c>
      <c r="DA77" s="45">
        <f t="shared" si="29"/>
        <v>-15635183.078320576</v>
      </c>
      <c r="DB77" s="45">
        <f t="shared" si="29"/>
        <v>-14134925.458630452</v>
      </c>
      <c r="DC77" s="115">
        <f t="shared" si="29"/>
        <v>-12599151.210645156</v>
      </c>
      <c r="DD77" s="45">
        <f t="shared" si="29"/>
        <v>-11024238.546583334</v>
      </c>
      <c r="DE77" s="45">
        <f t="shared" si="29"/>
        <v>-9404687.7221536506</v>
      </c>
      <c r="DF77" s="45">
        <f t="shared" si="29"/>
        <v>-7740291.1750381868</v>
      </c>
      <c r="DG77" s="45">
        <f t="shared" si="29"/>
        <v>-6035766.0993179986</v>
      </c>
      <c r="DH77" s="45">
        <f t="shared" si="29"/>
        <v>-4288692.6258956939</v>
      </c>
      <c r="DI77" s="45">
        <f t="shared" si="29"/>
        <v>-2498749.0473854057</v>
      </c>
      <c r="DJ77" s="45">
        <f t="shared" si="29"/>
        <v>-662650.68567393464</v>
      </c>
      <c r="DK77" s="45">
        <f t="shared" si="29"/>
        <v>1214356.3727910474</v>
      </c>
      <c r="DL77" s="45">
        <f t="shared" si="29"/>
        <v>3132741.8930605929</v>
      </c>
      <c r="DM77" s="45">
        <f t="shared" si="29"/>
        <v>5091470.9961683843</v>
      </c>
      <c r="DN77" s="45">
        <f t="shared" si="29"/>
        <v>7090817.7301061181</v>
      </c>
      <c r="DO77" s="45">
        <f t="shared" si="29"/>
        <v>9122026.4313253835</v>
      </c>
      <c r="DP77" s="45">
        <f t="shared" si="29"/>
        <v>11184517.843437318</v>
      </c>
      <c r="DQ77" s="45">
        <f t="shared" si="29"/>
        <v>13287121.705210511</v>
      </c>
      <c r="DR77" s="45">
        <f t="shared" si="29"/>
        <v>15432331.816893725</v>
      </c>
      <c r="DS77" s="45">
        <f t="shared" si="29"/>
        <v>17625164.098097049</v>
      </c>
      <c r="DT77" s="45">
        <f t="shared" si="29"/>
        <v>19861583.651497088</v>
      </c>
      <c r="DU77" s="45">
        <f t="shared" si="29"/>
        <v>22142454.851533704</v>
      </c>
      <c r="DV77" s="45">
        <f t="shared" si="29"/>
        <v>24461084.331151772</v>
      </c>
      <c r="DW77" s="45">
        <f t="shared" si="29"/>
        <v>26816827.911312737</v>
      </c>
      <c r="DX77" s="45">
        <f t="shared" si="29"/>
        <v>29217730.228969924</v>
      </c>
      <c r="DY77" s="45">
        <f t="shared" si="29"/>
        <v>31663658.082346909</v>
      </c>
      <c r="DZ77" s="45">
        <f t="shared" si="29"/>
        <v>34155817.229996979</v>
      </c>
      <c r="EA77" s="45">
        <f t="shared" si="29"/>
        <v>36699442.895640567</v>
      </c>
      <c r="EB77" s="45">
        <f t="shared" si="29"/>
        <v>39297909.692020819</v>
      </c>
      <c r="EC77" s="45">
        <f t="shared" si="29"/>
        <v>41952251.514842965</v>
      </c>
      <c r="ED77" s="45">
        <f t="shared" si="29"/>
        <v>44666042.241647594</v>
      </c>
      <c r="EE77" s="45">
        <f t="shared" si="29"/>
        <v>47438456.351313762</v>
      </c>
      <c r="EF77" s="45">
        <f t="shared" si="29"/>
        <v>50298722.150062487</v>
      </c>
      <c r="EG77" s="45">
        <f t="shared" si="29"/>
        <v>53184336.969448783</v>
      </c>
      <c r="EH77" s="45">
        <f t="shared" si="29"/>
        <v>56083667.427575342</v>
      </c>
      <c r="EI77" s="45">
        <f t="shared" si="29"/>
        <v>59012452.209958449</v>
      </c>
      <c r="EJ77" s="45">
        <f t="shared" si="29"/>
        <v>61983250.764598541</v>
      </c>
      <c r="EK77" s="45">
        <f t="shared" si="29"/>
        <v>64975481.117985345</v>
      </c>
      <c r="EL77" s="45">
        <f t="shared" si="29"/>
        <v>67965932.86395672</v>
      </c>
      <c r="EM77" s="45">
        <f t="shared" si="29"/>
        <v>70993911.491358876</v>
      </c>
      <c r="EN77" s="45">
        <f t="shared" si="29"/>
        <v>74047860.083114669</v>
      </c>
      <c r="EO77" s="45">
        <f t="shared" si="29"/>
        <v>77146527.439070165</v>
      </c>
      <c r="EP77" s="45">
        <f t="shared" si="29"/>
        <v>80225214.591098547</v>
      </c>
      <c r="EQ77" s="45">
        <f t="shared" si="29"/>
        <v>83355966.597185329</v>
      </c>
      <c r="ER77" s="45">
        <f t="shared" si="29"/>
        <v>86477848.455962747</v>
      </c>
      <c r="ES77" s="45">
        <f t="shared" si="29"/>
        <v>89679445.031206906</v>
      </c>
      <c r="ET77" s="45">
        <f t="shared" si="29"/>
        <v>92975571.230342031</v>
      </c>
      <c r="EU77" s="45">
        <f t="shared" si="29"/>
        <v>96417733.093624279</v>
      </c>
      <c r="EV77" s="45">
        <f t="shared" si="29"/>
        <v>99960156.987040281</v>
      </c>
      <c r="EW77" s="45">
        <f t="shared" si="29"/>
        <v>104037094.56166869</v>
      </c>
      <c r="EX77" s="45">
        <f t="shared" si="29"/>
        <v>108361610.62694143</v>
      </c>
      <c r="EY77" s="45">
        <f t="shared" si="29"/>
        <v>112949207.50335324</v>
      </c>
      <c r="EZ77" s="45">
        <f t="shared" si="29"/>
        <v>113677402.28407897</v>
      </c>
      <c r="FA77" s="45">
        <f t="shared" si="29"/>
        <v>114412583.58530281</v>
      </c>
    </row>
    <row r="78" spans="1:157" ht="15.75" customHeight="1" x14ac:dyDescent="0.2">
      <c r="A78" s="33" t="s">
        <v>375</v>
      </c>
      <c r="BY78" s="45"/>
      <c r="BZ78" s="45"/>
      <c r="CA78" s="45"/>
      <c r="CB78" s="45"/>
      <c r="CC78" s="45"/>
      <c r="CD78" s="45"/>
      <c r="CE78" s="45"/>
      <c r="CF78" s="45"/>
      <c r="CG78" s="45"/>
      <c r="CH78" s="45"/>
      <c r="CI78" s="45"/>
      <c r="CJ78" s="45"/>
      <c r="CK78" s="45"/>
      <c r="CL78" s="45"/>
      <c r="CM78" s="45"/>
      <c r="CN78" s="45"/>
      <c r="CO78" s="45"/>
      <c r="CP78" s="45">
        <f>CP31</f>
        <v>-591170.38662402169</v>
      </c>
      <c r="CQ78" s="114"/>
      <c r="CR78" s="45">
        <f t="shared" ref="CR78:FA78" si="30">CR31</f>
        <v>268399.19614605443</v>
      </c>
      <c r="CS78" s="45">
        <f t="shared" si="30"/>
        <v>285642.88803720125</v>
      </c>
      <c r="CT78" s="45">
        <f t="shared" si="30"/>
        <v>-57115.33263617428</v>
      </c>
      <c r="CU78" s="45">
        <f t="shared" si="30"/>
        <v>14091.496319827391</v>
      </c>
      <c r="CV78" s="45">
        <f t="shared" si="30"/>
        <v>130694.7365657601</v>
      </c>
      <c r="CW78" s="45">
        <f t="shared" si="30"/>
        <v>698797.52584156301</v>
      </c>
      <c r="CX78" s="45">
        <f t="shared" si="30"/>
        <v>1089878.725089747</v>
      </c>
      <c r="CY78" s="45">
        <f t="shared" si="30"/>
        <v>1456375.716574145</v>
      </c>
      <c r="CZ78" s="45">
        <f t="shared" si="30"/>
        <v>1478051.9697412974</v>
      </c>
      <c r="DA78" s="45">
        <f t="shared" si="30"/>
        <v>1500257.6196901239</v>
      </c>
      <c r="DB78" s="45">
        <f t="shared" si="30"/>
        <v>1535774.2479852957</v>
      </c>
      <c r="DC78" s="115">
        <f t="shared" si="30"/>
        <v>1574912.6640618222</v>
      </c>
      <c r="DD78" s="45">
        <f t="shared" si="30"/>
        <v>1619550.8244296839</v>
      </c>
      <c r="DE78" s="45">
        <f t="shared" si="30"/>
        <v>1664396.5471154642</v>
      </c>
      <c r="DF78" s="45">
        <f t="shared" si="30"/>
        <v>1704525.0757201884</v>
      </c>
      <c r="DG78" s="45">
        <f t="shared" si="30"/>
        <v>1747073.473422305</v>
      </c>
      <c r="DH78" s="45">
        <f t="shared" si="30"/>
        <v>1789943.5785102881</v>
      </c>
      <c r="DI78" s="45">
        <f t="shared" si="30"/>
        <v>1836098.3617114711</v>
      </c>
      <c r="DJ78" s="45">
        <f t="shared" si="30"/>
        <v>1877007.0584649821</v>
      </c>
      <c r="DK78" s="45">
        <f t="shared" si="30"/>
        <v>1918385.5202695457</v>
      </c>
      <c r="DL78" s="45">
        <f t="shared" si="30"/>
        <v>1958729.1031077919</v>
      </c>
      <c r="DM78" s="45">
        <f t="shared" si="30"/>
        <v>1999346.733937734</v>
      </c>
      <c r="DN78" s="45">
        <f t="shared" si="30"/>
        <v>2031208.7012192656</v>
      </c>
      <c r="DO78" s="45">
        <f t="shared" si="30"/>
        <v>2062491.4121119352</v>
      </c>
      <c r="DP78" s="45">
        <f t="shared" si="30"/>
        <v>2102603.8617731929</v>
      </c>
      <c r="DQ78" s="45">
        <f t="shared" si="30"/>
        <v>2145210.1116832145</v>
      </c>
      <c r="DR78" s="45">
        <f t="shared" si="30"/>
        <v>2192832.2812033244</v>
      </c>
      <c r="DS78" s="45">
        <f t="shared" si="30"/>
        <v>2236419.5534000387</v>
      </c>
      <c r="DT78" s="45">
        <f t="shared" si="30"/>
        <v>2280871.2000366142</v>
      </c>
      <c r="DU78" s="45">
        <f t="shared" si="30"/>
        <v>2318629.4796180679</v>
      </c>
      <c r="DV78" s="45">
        <f t="shared" si="30"/>
        <v>2355743.5801609629</v>
      </c>
      <c r="DW78" s="45">
        <f t="shared" si="30"/>
        <v>2400902.3176571857</v>
      </c>
      <c r="DX78" s="45">
        <f t="shared" si="30"/>
        <v>2445927.8533769827</v>
      </c>
      <c r="DY78" s="45">
        <f t="shared" si="30"/>
        <v>2492159.1476500705</v>
      </c>
      <c r="DZ78" s="45">
        <f t="shared" si="30"/>
        <v>2543625.6656435914</v>
      </c>
      <c r="EA78" s="45">
        <f t="shared" si="30"/>
        <v>2598466.7963802554</v>
      </c>
      <c r="EB78" s="45">
        <f t="shared" si="30"/>
        <v>2654341.8228221433</v>
      </c>
      <c r="EC78" s="45">
        <f t="shared" si="30"/>
        <v>2713790.7268046299</v>
      </c>
      <c r="ED78" s="45">
        <f t="shared" si="30"/>
        <v>2772414.1096661692</v>
      </c>
      <c r="EE78" s="45">
        <f t="shared" si="30"/>
        <v>2860265.7987487223</v>
      </c>
      <c r="EF78" s="45">
        <f t="shared" si="30"/>
        <v>2885614.819386295</v>
      </c>
      <c r="EG78" s="45">
        <f t="shared" si="30"/>
        <v>2899330.4581265608</v>
      </c>
      <c r="EH78" s="45">
        <f t="shared" si="30"/>
        <v>2928784.7823831085</v>
      </c>
      <c r="EI78" s="45">
        <f t="shared" si="30"/>
        <v>2970798.5546400896</v>
      </c>
      <c r="EJ78" s="45">
        <f t="shared" si="30"/>
        <v>2992230.3533868073</v>
      </c>
      <c r="EK78" s="45">
        <f t="shared" si="30"/>
        <v>2990451.7459713779</v>
      </c>
      <c r="EL78" s="45">
        <f t="shared" si="30"/>
        <v>3027978.627402164</v>
      </c>
      <c r="EM78" s="45">
        <f t="shared" si="30"/>
        <v>3053948.5917557981</v>
      </c>
      <c r="EN78" s="45">
        <f t="shared" si="30"/>
        <v>3098667.3559554918</v>
      </c>
      <c r="EO78" s="45">
        <f t="shared" si="30"/>
        <v>3078687.1520283855</v>
      </c>
      <c r="EP78" s="45">
        <f t="shared" si="30"/>
        <v>3130752.0060867853</v>
      </c>
      <c r="EQ78" s="45">
        <f t="shared" si="30"/>
        <v>3121881.8587774243</v>
      </c>
      <c r="ER78" s="45">
        <f t="shared" si="30"/>
        <v>3201596.5752441632</v>
      </c>
      <c r="ES78" s="45">
        <f t="shared" si="30"/>
        <v>3296126.1991351233</v>
      </c>
      <c r="ET78" s="45">
        <f t="shared" si="30"/>
        <v>3442161.8632822521</v>
      </c>
      <c r="EU78" s="45">
        <f t="shared" si="30"/>
        <v>3542423.8934160052</v>
      </c>
      <c r="EV78" s="45">
        <f t="shared" si="30"/>
        <v>4076937.5746284137</v>
      </c>
      <c r="EW78" s="45">
        <f t="shared" si="30"/>
        <v>4324516.065272727</v>
      </c>
      <c r="EX78" s="45">
        <f t="shared" si="30"/>
        <v>4587596.8764118142</v>
      </c>
      <c r="EY78" s="45">
        <f t="shared" si="30"/>
        <v>728194.78072572686</v>
      </c>
      <c r="EZ78" s="45">
        <f t="shared" si="30"/>
        <v>735181.3012238408</v>
      </c>
      <c r="FA78" s="45">
        <f t="shared" si="30"/>
        <v>742415.02307403041</v>
      </c>
    </row>
    <row r="79" spans="1:157" ht="15.75" customHeight="1" x14ac:dyDescent="0.2">
      <c r="A79" s="33" t="s">
        <v>376</v>
      </c>
      <c r="BY79" s="45"/>
      <c r="BZ79" s="45"/>
      <c r="CA79" s="45"/>
      <c r="CB79" s="45"/>
      <c r="CC79" s="45"/>
      <c r="CD79" s="45"/>
      <c r="CE79" s="45"/>
      <c r="CF79" s="45"/>
      <c r="CG79" s="45"/>
      <c r="CH79" s="45"/>
      <c r="CI79" s="45"/>
      <c r="CJ79" s="45"/>
      <c r="CK79" s="45"/>
      <c r="CL79" s="45"/>
      <c r="CM79" s="45"/>
      <c r="CN79" s="45"/>
      <c r="CO79" s="45"/>
      <c r="CP79" s="45">
        <v>0</v>
      </c>
      <c r="CQ79" s="114"/>
      <c r="CR79" s="45">
        <f>Supuestos!$D$5</f>
        <v>20000000</v>
      </c>
      <c r="CS79" s="45">
        <f>Supuestos!$D$5</f>
        <v>20000000</v>
      </c>
      <c r="CT79" s="45">
        <f>Supuestos!$D$5</f>
        <v>20000000</v>
      </c>
      <c r="CU79" s="45">
        <f>Supuestos!$D$5</f>
        <v>20000000</v>
      </c>
      <c r="CV79" s="45">
        <f>Supuestos!$D$5</f>
        <v>20000000</v>
      </c>
      <c r="CW79" s="45">
        <f>Supuestos!$D$5</f>
        <v>20000000</v>
      </c>
      <c r="CX79" s="45">
        <f>Supuestos!$D$5</f>
        <v>20000000</v>
      </c>
      <c r="CY79" s="45">
        <f>Supuestos!$D$5</f>
        <v>20000000</v>
      </c>
      <c r="CZ79" s="45">
        <f>Supuestos!$D$5</f>
        <v>20000000</v>
      </c>
      <c r="DA79" s="45">
        <f>Supuestos!$D$5</f>
        <v>20000000</v>
      </c>
      <c r="DB79" s="45">
        <f>Supuestos!$D$5</f>
        <v>20000000</v>
      </c>
      <c r="DC79" s="115">
        <f>Supuestos!$D$5</f>
        <v>20000000</v>
      </c>
      <c r="DD79" s="45">
        <f>Supuestos!$D$5</f>
        <v>20000000</v>
      </c>
      <c r="DE79" s="45">
        <f>Supuestos!$D$5</f>
        <v>20000000</v>
      </c>
      <c r="DF79" s="45">
        <f>Supuestos!$D$5</f>
        <v>20000000</v>
      </c>
      <c r="DG79" s="45">
        <f>Supuestos!$D$5</f>
        <v>20000000</v>
      </c>
      <c r="DH79" s="45">
        <f>Supuestos!$D$5</f>
        <v>20000000</v>
      </c>
      <c r="DI79" s="45">
        <f>Supuestos!$D$5</f>
        <v>20000000</v>
      </c>
      <c r="DJ79" s="45">
        <f>Supuestos!$D$5</f>
        <v>20000000</v>
      </c>
      <c r="DK79" s="45">
        <f>Supuestos!$D$5</f>
        <v>20000000</v>
      </c>
      <c r="DL79" s="45">
        <f>Supuestos!$D$5</f>
        <v>20000000</v>
      </c>
      <c r="DM79" s="45">
        <f>Supuestos!$D$5</f>
        <v>20000000</v>
      </c>
      <c r="DN79" s="45">
        <f>Supuestos!$D$5</f>
        <v>20000000</v>
      </c>
      <c r="DO79" s="45">
        <f>Supuestos!$D$5</f>
        <v>20000000</v>
      </c>
      <c r="DP79" s="45">
        <f>Supuestos!$D$5</f>
        <v>20000000</v>
      </c>
      <c r="DQ79" s="45">
        <f>Supuestos!$D$5</f>
        <v>20000000</v>
      </c>
      <c r="DR79" s="45">
        <f>Supuestos!$D$5</f>
        <v>20000000</v>
      </c>
      <c r="DS79" s="45">
        <f>Supuestos!$D$5</f>
        <v>20000000</v>
      </c>
      <c r="DT79" s="45">
        <f>Supuestos!$D$5</f>
        <v>20000000</v>
      </c>
      <c r="DU79" s="45">
        <f>Supuestos!$D$5</f>
        <v>20000000</v>
      </c>
      <c r="DV79" s="45">
        <f>Supuestos!$D$5</f>
        <v>20000000</v>
      </c>
      <c r="DW79" s="45">
        <f>Supuestos!$D$5</f>
        <v>20000000</v>
      </c>
      <c r="DX79" s="45">
        <f>Supuestos!$D$5</f>
        <v>20000000</v>
      </c>
      <c r="DY79" s="45">
        <f>Supuestos!$D$5</f>
        <v>20000000</v>
      </c>
      <c r="DZ79" s="45">
        <f>Supuestos!$D$5</f>
        <v>20000000</v>
      </c>
      <c r="EA79" s="45">
        <f>Supuestos!$D$5</f>
        <v>20000000</v>
      </c>
      <c r="EB79" s="45">
        <f>Supuestos!$D$5</f>
        <v>20000000</v>
      </c>
      <c r="EC79" s="45">
        <f>Supuestos!$D$5</f>
        <v>20000000</v>
      </c>
      <c r="ED79" s="45">
        <f>Supuestos!$D$5</f>
        <v>20000000</v>
      </c>
      <c r="EE79" s="45">
        <f>Supuestos!$D$5</f>
        <v>20000000</v>
      </c>
      <c r="EF79" s="45">
        <f>Supuestos!$D$5</f>
        <v>20000000</v>
      </c>
      <c r="EG79" s="45">
        <f>Supuestos!$D$5</f>
        <v>20000000</v>
      </c>
      <c r="EH79" s="45">
        <f>Supuestos!$D$5</f>
        <v>20000000</v>
      </c>
      <c r="EI79" s="45">
        <f>Supuestos!$D$5</f>
        <v>20000000</v>
      </c>
      <c r="EJ79" s="45">
        <f>Supuestos!$D$5</f>
        <v>20000000</v>
      </c>
      <c r="EK79" s="45">
        <f>Supuestos!$D$5</f>
        <v>20000000</v>
      </c>
      <c r="EL79" s="45">
        <f>Supuestos!$D$5</f>
        <v>20000000</v>
      </c>
      <c r="EM79" s="45">
        <f>Supuestos!$D$5</f>
        <v>20000000</v>
      </c>
      <c r="EN79" s="45">
        <f>Supuestos!$D$5</f>
        <v>20000000</v>
      </c>
      <c r="EO79" s="45">
        <f>Supuestos!$D$5</f>
        <v>20000000</v>
      </c>
      <c r="EP79" s="45">
        <f>Supuestos!$D$5</f>
        <v>20000000</v>
      </c>
      <c r="EQ79" s="45">
        <f>Supuestos!$D$5</f>
        <v>20000000</v>
      </c>
      <c r="ER79" s="45">
        <f>Supuestos!$D$5</f>
        <v>20000000</v>
      </c>
      <c r="ES79" s="45">
        <f>Supuestos!$D$5</f>
        <v>20000000</v>
      </c>
      <c r="ET79" s="45">
        <f>Supuestos!$D$5</f>
        <v>20000000</v>
      </c>
      <c r="EU79" s="45">
        <f>Supuestos!$D$5</f>
        <v>20000000</v>
      </c>
      <c r="EV79" s="45">
        <f>Supuestos!$D$5</f>
        <v>20000000</v>
      </c>
      <c r="EW79" s="45">
        <f>Supuestos!$D$5</f>
        <v>20000000</v>
      </c>
      <c r="EX79" s="45">
        <f>Supuestos!$D$5</f>
        <v>20000000</v>
      </c>
      <c r="EY79" s="45">
        <f>Supuestos!$D$5</f>
        <v>20000000</v>
      </c>
      <c r="EZ79" s="45">
        <f>Supuestos!$D$5</f>
        <v>20000000</v>
      </c>
      <c r="FA79" s="45">
        <f>Supuestos!$D$5</f>
        <v>20000000</v>
      </c>
    </row>
    <row r="80" spans="1:157" ht="15.75" customHeight="1" x14ac:dyDescent="0.2">
      <c r="A80" s="33" t="s">
        <v>377</v>
      </c>
      <c r="BY80" s="45"/>
      <c r="BZ80" s="45"/>
      <c r="CA80" s="45"/>
      <c r="CB80" s="45"/>
      <c r="CC80" s="45"/>
      <c r="CD80" s="45"/>
      <c r="CE80" s="45"/>
      <c r="CF80" s="45"/>
      <c r="CG80" s="45"/>
      <c r="CH80" s="45"/>
      <c r="CI80" s="45"/>
      <c r="CJ80" s="45"/>
      <c r="CK80" s="45"/>
      <c r="CL80" s="45"/>
      <c r="CM80" s="45"/>
      <c r="CN80" s="45"/>
      <c r="CO80" s="45"/>
      <c r="CP80" s="45">
        <v>-10200000</v>
      </c>
      <c r="CQ80" s="114"/>
      <c r="CR80" s="45">
        <v>-10200000</v>
      </c>
      <c r="CS80" s="45">
        <v>-10200000</v>
      </c>
      <c r="CT80" s="45">
        <v>-10200000</v>
      </c>
      <c r="CU80" s="45">
        <v>-10200000</v>
      </c>
      <c r="CV80" s="45">
        <v>-10200000</v>
      </c>
      <c r="CW80" s="45">
        <v>-10200000</v>
      </c>
      <c r="CX80" s="45">
        <v>-10200000</v>
      </c>
      <c r="CY80" s="45">
        <v>-10200000</v>
      </c>
      <c r="CZ80" s="45">
        <v>-10200000</v>
      </c>
      <c r="DA80" s="45">
        <v>-10200000</v>
      </c>
      <c r="DB80" s="45">
        <v>-10200000</v>
      </c>
      <c r="DC80" s="45">
        <v>-10200000</v>
      </c>
      <c r="DD80" s="45">
        <v>-10200000</v>
      </c>
      <c r="DE80" s="45">
        <v>-10200000</v>
      </c>
      <c r="DF80" s="45">
        <v>-10200000</v>
      </c>
      <c r="DG80" s="45">
        <v>-10200000</v>
      </c>
      <c r="DH80" s="45">
        <v>-10200000</v>
      </c>
      <c r="DI80" s="45">
        <v>-10200000</v>
      </c>
      <c r="DJ80" s="45">
        <v>-10200000</v>
      </c>
      <c r="DK80" s="45">
        <v>-10200000</v>
      </c>
      <c r="DL80" s="45">
        <v>-10200000</v>
      </c>
      <c r="DM80" s="45">
        <v>-10200000</v>
      </c>
      <c r="DN80" s="45">
        <v>-10200000</v>
      </c>
      <c r="DO80" s="45">
        <v>-10200000</v>
      </c>
      <c r="DP80" s="45">
        <v>-10200000</v>
      </c>
      <c r="DQ80" s="45">
        <v>-10200000</v>
      </c>
      <c r="DR80" s="45">
        <v>-10200000</v>
      </c>
      <c r="DS80" s="45">
        <v>-10200000</v>
      </c>
      <c r="DT80" s="45">
        <v>-10200000</v>
      </c>
      <c r="DU80" s="45">
        <v>-10200000</v>
      </c>
      <c r="DV80" s="45">
        <v>-10200000</v>
      </c>
      <c r="DW80" s="45">
        <v>-10200000</v>
      </c>
      <c r="DX80" s="45">
        <v>-10200000</v>
      </c>
      <c r="DY80" s="45">
        <v>-10200000</v>
      </c>
      <c r="DZ80" s="45">
        <v>-10200000</v>
      </c>
      <c r="EA80" s="45">
        <v>-10200000</v>
      </c>
      <c r="EB80" s="45">
        <v>-10200000</v>
      </c>
      <c r="EC80" s="45">
        <v>-10200000</v>
      </c>
      <c r="ED80" s="45">
        <v>-10200000</v>
      </c>
      <c r="EE80" s="45">
        <v>-10200000</v>
      </c>
      <c r="EF80" s="45">
        <v>-10200000</v>
      </c>
      <c r="EG80" s="45">
        <v>-10200000</v>
      </c>
      <c r="EH80" s="45">
        <v>-10200000</v>
      </c>
      <c r="EI80" s="45">
        <v>-10200000</v>
      </c>
      <c r="EJ80" s="45">
        <v>-10200000</v>
      </c>
      <c r="EK80" s="45">
        <v>-10200000</v>
      </c>
      <c r="EL80" s="45">
        <v>-10200000</v>
      </c>
      <c r="EM80" s="45">
        <v>-10200000</v>
      </c>
      <c r="EN80" s="45">
        <v>-10200000</v>
      </c>
      <c r="EO80" s="45">
        <v>-10200000</v>
      </c>
      <c r="EP80" s="45">
        <v>-10200000</v>
      </c>
      <c r="EQ80" s="45">
        <v>-10200000</v>
      </c>
      <c r="ER80" s="45">
        <v>-10200000</v>
      </c>
      <c r="ES80" s="45">
        <v>-10200000</v>
      </c>
      <c r="ET80" s="45">
        <v>-10200000</v>
      </c>
      <c r="EU80" s="45">
        <v>-10200000</v>
      </c>
      <c r="EV80" s="45">
        <v>-10200000</v>
      </c>
      <c r="EW80" s="45">
        <v>-10200000</v>
      </c>
      <c r="EX80" s="45">
        <v>-10200000</v>
      </c>
      <c r="EY80" s="45">
        <v>-10200000</v>
      </c>
      <c r="EZ80" s="45">
        <v>-10200000</v>
      </c>
      <c r="FA80" s="45">
        <v>-10200000</v>
      </c>
    </row>
    <row r="81" spans="1:157" ht="15.75" customHeight="1" x14ac:dyDescent="0.2">
      <c r="A81" s="44" t="s">
        <v>321</v>
      </c>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104"/>
      <c r="BZ81" s="104"/>
      <c r="CA81" s="104"/>
      <c r="CB81" s="104"/>
      <c r="CC81" s="104"/>
      <c r="CD81" s="104"/>
      <c r="CE81" s="104"/>
      <c r="CF81" s="104"/>
      <c r="CG81" s="104"/>
      <c r="CH81" s="104"/>
      <c r="CI81" s="104"/>
      <c r="CJ81" s="104"/>
      <c r="CK81" s="104"/>
      <c r="CL81" s="104"/>
      <c r="CM81" s="104"/>
      <c r="CN81" s="104"/>
      <c r="CO81" s="104"/>
      <c r="CP81" s="104">
        <f>SUM(CP75:CP80)</f>
        <v>-4459170.3866240215</v>
      </c>
      <c r="CQ81" s="109"/>
      <c r="CR81" s="104">
        <f t="shared" ref="CR81:FA81" si="31">SUM(CR75:CR80)+CR82</f>
        <v>15400399.196146056</v>
      </c>
      <c r="CS81" s="104">
        <f t="shared" si="31"/>
        <v>15686042.084183257</v>
      </c>
      <c r="CT81" s="104">
        <f t="shared" si="31"/>
        <v>15628926.751547083</v>
      </c>
      <c r="CU81" s="104">
        <f t="shared" si="31"/>
        <v>15643018.24786691</v>
      </c>
      <c r="CV81" s="104">
        <f t="shared" si="31"/>
        <v>15773712.984432671</v>
      </c>
      <c r="CW81" s="104">
        <f t="shared" si="31"/>
        <v>16472510.510274235</v>
      </c>
      <c r="CX81" s="104">
        <f t="shared" si="31"/>
        <v>17562389.235363983</v>
      </c>
      <c r="CY81" s="104">
        <f t="shared" si="31"/>
        <v>19018764.95193813</v>
      </c>
      <c r="CZ81" s="104">
        <f t="shared" si="31"/>
        <v>20496816.921679422</v>
      </c>
      <c r="DA81" s="104">
        <f t="shared" si="31"/>
        <v>21997074.54136955</v>
      </c>
      <c r="DB81" s="104">
        <f t="shared" si="31"/>
        <v>23532848.789354846</v>
      </c>
      <c r="DC81" s="104">
        <f t="shared" si="31"/>
        <v>25107761.453416668</v>
      </c>
      <c r="DD81" s="104">
        <f t="shared" si="31"/>
        <v>26727312.277846351</v>
      </c>
      <c r="DE81" s="104">
        <f t="shared" si="31"/>
        <v>28391708.824961811</v>
      </c>
      <c r="DF81" s="104">
        <f t="shared" si="31"/>
        <v>30096233.900682002</v>
      </c>
      <c r="DG81" s="104">
        <f t="shared" si="31"/>
        <v>31843307.374104306</v>
      </c>
      <c r="DH81" s="104">
        <f t="shared" si="31"/>
        <v>33633250.952614591</v>
      </c>
      <c r="DI81" s="104">
        <f t="shared" si="31"/>
        <v>35469349.314326063</v>
      </c>
      <c r="DJ81" s="104">
        <f t="shared" si="31"/>
        <v>37346356.372791052</v>
      </c>
      <c r="DK81" s="104">
        <f t="shared" si="31"/>
        <v>39264741.893060595</v>
      </c>
      <c r="DL81" s="104">
        <f t="shared" si="31"/>
        <v>41223470.99616839</v>
      </c>
      <c r="DM81" s="104">
        <f t="shared" si="31"/>
        <v>43222817.730106115</v>
      </c>
      <c r="DN81" s="104">
        <f t="shared" si="31"/>
        <v>45254026.431325383</v>
      </c>
      <c r="DO81" s="104">
        <f t="shared" si="31"/>
        <v>47316517.843437321</v>
      </c>
      <c r="DP81" s="104">
        <f t="shared" si="31"/>
        <v>49419121.705210507</v>
      </c>
      <c r="DQ81" s="104">
        <f t="shared" si="31"/>
        <v>51564331.816893719</v>
      </c>
      <c r="DR81" s="104">
        <f t="shared" si="31"/>
        <v>53757164.098097049</v>
      </c>
      <c r="DS81" s="104">
        <f t="shared" si="31"/>
        <v>55993583.651497088</v>
      </c>
      <c r="DT81" s="104">
        <f t="shared" si="31"/>
        <v>58274454.851533711</v>
      </c>
      <c r="DU81" s="104">
        <f t="shared" si="31"/>
        <v>60593084.331151769</v>
      </c>
      <c r="DV81" s="104">
        <f t="shared" si="31"/>
        <v>62948827.911312729</v>
      </c>
      <c r="DW81" s="104">
        <f t="shared" si="31"/>
        <v>65349730.228969932</v>
      </c>
      <c r="DX81" s="104">
        <f t="shared" si="31"/>
        <v>67795658.082346916</v>
      </c>
      <c r="DY81" s="104">
        <f t="shared" si="31"/>
        <v>70287817.229996979</v>
      </c>
      <c r="DZ81" s="104">
        <f t="shared" si="31"/>
        <v>72831442.895640567</v>
      </c>
      <c r="EA81" s="104">
        <f t="shared" si="31"/>
        <v>75429909.692020819</v>
      </c>
      <c r="EB81" s="104">
        <f t="shared" si="31"/>
        <v>78084251.514842957</v>
      </c>
      <c r="EC81" s="104">
        <f t="shared" si="31"/>
        <v>80798042.241647586</v>
      </c>
      <c r="ED81" s="104">
        <f t="shared" si="31"/>
        <v>83570456.35131377</v>
      </c>
      <c r="EE81" s="104">
        <f t="shared" si="31"/>
        <v>86430722.150062487</v>
      </c>
      <c r="EF81" s="104">
        <f t="shared" si="31"/>
        <v>89316336.969448775</v>
      </c>
      <c r="EG81" s="104">
        <f t="shared" si="31"/>
        <v>92215667.427575335</v>
      </c>
      <c r="EH81" s="104">
        <f t="shared" si="31"/>
        <v>95144452.209958464</v>
      </c>
      <c r="EI81" s="104">
        <f t="shared" si="31"/>
        <v>98115250.764598534</v>
      </c>
      <c r="EJ81" s="104">
        <f t="shared" si="31"/>
        <v>101107481.11798535</v>
      </c>
      <c r="EK81" s="104">
        <f t="shared" si="31"/>
        <v>104097932.86395672</v>
      </c>
      <c r="EL81" s="104">
        <f t="shared" si="31"/>
        <v>107125911.49135888</v>
      </c>
      <c r="EM81" s="104">
        <f t="shared" si="31"/>
        <v>110179860.08311467</v>
      </c>
      <c r="EN81" s="104">
        <f t="shared" si="31"/>
        <v>113278527.43907017</v>
      </c>
      <c r="EO81" s="104">
        <f t="shared" si="31"/>
        <v>116357214.59109855</v>
      </c>
      <c r="EP81" s="104">
        <f t="shared" si="31"/>
        <v>119487966.59718533</v>
      </c>
      <c r="EQ81" s="104">
        <f t="shared" si="31"/>
        <v>122609848.45596275</v>
      </c>
      <c r="ER81" s="104">
        <f t="shared" si="31"/>
        <v>125811445.03120691</v>
      </c>
      <c r="ES81" s="104">
        <f t="shared" si="31"/>
        <v>129107571.23034203</v>
      </c>
      <c r="ET81" s="104">
        <f t="shared" si="31"/>
        <v>132549733.09362429</v>
      </c>
      <c r="EU81" s="104">
        <f t="shared" si="31"/>
        <v>136092156.98704028</v>
      </c>
      <c r="EV81" s="104">
        <f t="shared" si="31"/>
        <v>140169094.56166869</v>
      </c>
      <c r="EW81" s="104">
        <f t="shared" si="31"/>
        <v>144493610.62694141</v>
      </c>
      <c r="EX81" s="104">
        <f t="shared" si="31"/>
        <v>149081207.50335327</v>
      </c>
      <c r="EY81" s="104">
        <f t="shared" si="31"/>
        <v>149809402.28407896</v>
      </c>
      <c r="EZ81" s="104">
        <f t="shared" si="31"/>
        <v>150544583.5853028</v>
      </c>
      <c r="FA81" s="104">
        <f t="shared" si="31"/>
        <v>151286998.60837686</v>
      </c>
    </row>
    <row r="82" spans="1:157" ht="15.75" customHeight="1" x14ac:dyDescent="0.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5"/>
      <c r="BZ82" s="45"/>
      <c r="CA82" s="45"/>
      <c r="CB82" s="45"/>
      <c r="CC82" s="45"/>
      <c r="CD82" s="45"/>
      <c r="CE82" s="45"/>
      <c r="CF82" s="45"/>
      <c r="CG82" s="45"/>
      <c r="CH82" s="45"/>
      <c r="CI82" s="45"/>
      <c r="CJ82" s="45"/>
      <c r="CK82" s="45"/>
      <c r="CL82" s="45"/>
      <c r="CM82" s="45"/>
      <c r="CN82" s="45"/>
      <c r="CO82" s="45"/>
      <c r="CP82" s="45"/>
      <c r="CQ82" s="114"/>
      <c r="CR82" s="45"/>
      <c r="CS82" s="45"/>
      <c r="CT82" s="45"/>
      <c r="CU82" s="45"/>
      <c r="CV82" s="45"/>
      <c r="CW82" s="45"/>
      <c r="CX82" s="45"/>
      <c r="CY82" s="45"/>
      <c r="CZ82" s="45"/>
      <c r="DA82" s="45"/>
      <c r="DB82" s="45"/>
      <c r="DC82" s="45"/>
      <c r="DD82" s="45"/>
      <c r="DE82" s="45"/>
      <c r="DF82" s="45"/>
      <c r="DG82" s="45"/>
      <c r="DH82" s="45"/>
      <c r="DI82" s="45"/>
      <c r="DJ82" s="45"/>
      <c r="DK82" s="45"/>
      <c r="DL82" s="45"/>
      <c r="DM82" s="45"/>
      <c r="DN82" s="45"/>
      <c r="DO82" s="45"/>
      <c r="DP82" s="45"/>
      <c r="DQ82" s="45"/>
      <c r="DR82" s="45"/>
      <c r="DS82" s="45"/>
      <c r="DT82" s="45"/>
      <c r="DU82" s="45"/>
      <c r="DV82" s="45"/>
      <c r="DW82" s="45"/>
      <c r="DX82" s="45"/>
      <c r="DY82" s="45"/>
      <c r="DZ82" s="45"/>
      <c r="EA82" s="45"/>
      <c r="EB82" s="45"/>
      <c r="EC82" s="45"/>
      <c r="ED82" s="45"/>
      <c r="EE82" s="45"/>
      <c r="EF82" s="45"/>
      <c r="EG82" s="45"/>
      <c r="EH82" s="45"/>
      <c r="EI82" s="45"/>
      <c r="EJ82" s="45"/>
      <c r="EK82" s="45"/>
      <c r="EL82" s="45"/>
      <c r="EM82" s="45"/>
      <c r="EN82" s="45"/>
      <c r="EO82" s="45"/>
      <c r="EP82" s="45"/>
      <c r="EQ82" s="45"/>
      <c r="ER82" s="45"/>
      <c r="ES82" s="45"/>
      <c r="ET82" s="45"/>
      <c r="EU82" s="45"/>
      <c r="EV82" s="45"/>
      <c r="EW82" s="45"/>
      <c r="EX82" s="45"/>
      <c r="EY82" s="45"/>
      <c r="EZ82" s="45"/>
      <c r="FA82" s="45"/>
    </row>
    <row r="83" spans="1:157" ht="15.75" customHeight="1" x14ac:dyDescent="0.2">
      <c r="A83" s="44" t="s">
        <v>378</v>
      </c>
      <c r="BY83" s="45"/>
      <c r="BZ83" s="45"/>
      <c r="CA83" s="45"/>
      <c r="CB83" s="45"/>
      <c r="CC83" s="45"/>
      <c r="CD83" s="45"/>
      <c r="CE83" s="45"/>
      <c r="CF83" s="45"/>
      <c r="CG83" s="45"/>
      <c r="CH83" s="45"/>
      <c r="CI83" s="45"/>
      <c r="CJ83" s="45"/>
      <c r="CK83" s="45"/>
      <c r="CL83" s="45"/>
      <c r="CM83" s="45"/>
      <c r="CN83" s="45"/>
      <c r="CO83" s="45"/>
      <c r="CP83" s="97">
        <f>CP81/CP63</f>
        <v>-0.61043522955959606</v>
      </c>
      <c r="CQ83" s="114"/>
      <c r="CR83" s="97">
        <f t="shared" ref="CR83:FA83" si="32">CR81/CR63</f>
        <v>0.55950587451938438</v>
      </c>
      <c r="CS83" s="97">
        <f t="shared" si="32"/>
        <v>0.56988345446624</v>
      </c>
      <c r="CT83" s="97">
        <f t="shared" si="32"/>
        <v>0.56780841967473505</v>
      </c>
      <c r="CU83" s="97">
        <f t="shared" si="32"/>
        <v>0.32915346129125533</v>
      </c>
      <c r="CV83" s="97">
        <f t="shared" si="32"/>
        <v>0.25227849635238181</v>
      </c>
      <c r="CW83" s="97">
        <f t="shared" si="32"/>
        <v>0.16890551663957176</v>
      </c>
      <c r="CX83" s="97">
        <f t="shared" si="32"/>
        <v>0.15607544310476767</v>
      </c>
      <c r="CY83" s="97">
        <f t="shared" si="32"/>
        <v>0.14913754128161638</v>
      </c>
      <c r="CZ83" s="97">
        <f t="shared" si="32"/>
        <v>0.16072783314392802</v>
      </c>
      <c r="DA83" s="97">
        <f t="shared" si="32"/>
        <v>0.14943664769952139</v>
      </c>
      <c r="DB83" s="97">
        <f t="shared" si="32"/>
        <v>0.15986989666681281</v>
      </c>
      <c r="DC83" s="125">
        <f t="shared" si="32"/>
        <v>0.17056903161288497</v>
      </c>
      <c r="DD83" s="97">
        <f t="shared" si="32"/>
        <v>0.18157141493102141</v>
      </c>
      <c r="DE83" s="97">
        <f t="shared" si="32"/>
        <v>0.19287845669131665</v>
      </c>
      <c r="DF83" s="97">
        <f t="shared" si="32"/>
        <v>0.20445811073832881</v>
      </c>
      <c r="DG83" s="97">
        <f t="shared" si="32"/>
        <v>0.21632681640016513</v>
      </c>
      <c r="DH83" s="97">
        <f t="shared" si="32"/>
        <v>0.22848675918895781</v>
      </c>
      <c r="DI83" s="97">
        <f t="shared" si="32"/>
        <v>0.24096025349406291</v>
      </c>
      <c r="DJ83" s="97">
        <f t="shared" si="32"/>
        <v>0.25371166014124358</v>
      </c>
      <c r="DK83" s="97">
        <f t="shared" si="32"/>
        <v>0.26674417046916166</v>
      </c>
      <c r="DL83" s="97">
        <f t="shared" si="32"/>
        <v>0.28005075405005697</v>
      </c>
      <c r="DM83" s="97">
        <f t="shared" si="32"/>
        <v>0.29363327262300348</v>
      </c>
      <c r="DN83" s="97">
        <f t="shared" si="32"/>
        <v>0.30743224477802572</v>
      </c>
      <c r="DO83" s="97">
        <f t="shared" si="32"/>
        <v>0.32144373534943832</v>
      </c>
      <c r="DP83" s="97">
        <f t="shared" si="32"/>
        <v>0.33572772897561487</v>
      </c>
      <c r="DQ83" s="97">
        <f t="shared" si="32"/>
        <v>0.35030116723433236</v>
      </c>
      <c r="DR83" s="97">
        <f t="shared" si="32"/>
        <v>0.36519812566642018</v>
      </c>
      <c r="DS83" s="97">
        <f t="shared" si="32"/>
        <v>0.38039119328462695</v>
      </c>
      <c r="DT83" s="97">
        <f t="shared" si="32"/>
        <v>0.39588624219791924</v>
      </c>
      <c r="DU83" s="97">
        <f t="shared" si="32"/>
        <v>0.41163780116271581</v>
      </c>
      <c r="DV83" s="97">
        <f t="shared" si="32"/>
        <v>0.42764149396272233</v>
      </c>
      <c r="DW83" s="97">
        <f t="shared" si="32"/>
        <v>0.44395197166419792</v>
      </c>
      <c r="DX83" s="97">
        <f t="shared" si="32"/>
        <v>0.46056832936376979</v>
      </c>
      <c r="DY83" s="97">
        <f t="shared" si="32"/>
        <v>0.47749875835595773</v>
      </c>
      <c r="DZ83" s="97">
        <f t="shared" si="32"/>
        <v>0.49477882401929735</v>
      </c>
      <c r="EA83" s="97">
        <f t="shared" si="32"/>
        <v>0.51243145171209792</v>
      </c>
      <c r="EB83" s="97">
        <f t="shared" si="32"/>
        <v>0.53046366518235699</v>
      </c>
      <c r="EC83" s="97">
        <f t="shared" si="32"/>
        <v>0.5488997434894537</v>
      </c>
      <c r="ED83" s="97">
        <f t="shared" si="32"/>
        <v>0.56773407847359902</v>
      </c>
      <c r="EE83" s="97">
        <f t="shared" si="32"/>
        <v>0.58716523199770709</v>
      </c>
      <c r="EF83" s="97">
        <f t="shared" si="32"/>
        <v>0.60676859354245094</v>
      </c>
      <c r="EG83" s="97">
        <f t="shared" si="32"/>
        <v>0.62646513198081066</v>
      </c>
      <c r="EH83" s="97">
        <f t="shared" si="32"/>
        <v>0.64636176773069609</v>
      </c>
      <c r="EI83" s="97">
        <f t="shared" si="32"/>
        <v>0.66654382312906613</v>
      </c>
      <c r="EJ83" s="97">
        <f t="shared" si="32"/>
        <v>0.68687147498631351</v>
      </c>
      <c r="EK83" s="97">
        <f t="shared" si="32"/>
        <v>0.70718704391274945</v>
      </c>
      <c r="EL83" s="97">
        <f t="shared" si="32"/>
        <v>0.7277575508923837</v>
      </c>
      <c r="EM83" s="97">
        <f t="shared" si="32"/>
        <v>0.74850448426028982</v>
      </c>
      <c r="EN83" s="97">
        <f t="shared" si="32"/>
        <v>0.76955521358063972</v>
      </c>
      <c r="EO83" s="97">
        <f t="shared" si="32"/>
        <v>0.79047020781996291</v>
      </c>
      <c r="EP83" s="97">
        <f t="shared" si="32"/>
        <v>0.81173890351348732</v>
      </c>
      <c r="EQ83" s="97">
        <f t="shared" si="32"/>
        <v>0.83294734005409476</v>
      </c>
      <c r="ER83" s="97">
        <f t="shared" si="32"/>
        <v>0.85469731678809036</v>
      </c>
      <c r="ES83" s="97">
        <f t="shared" si="32"/>
        <v>0.87708947846699747</v>
      </c>
      <c r="ET83" s="97">
        <f t="shared" si="32"/>
        <v>0.90047373025559985</v>
      </c>
      <c r="EU83" s="97">
        <f t="shared" si="32"/>
        <v>0.92453910996630628</v>
      </c>
      <c r="EV83" s="97">
        <f t="shared" si="32"/>
        <v>0.95223569675046671</v>
      </c>
      <c r="EW83" s="97">
        <f t="shared" si="32"/>
        <v>0.98161420262867805</v>
      </c>
      <c r="EX83" s="97">
        <f t="shared" si="32"/>
        <v>1.0127799422782151</v>
      </c>
      <c r="EY83" s="97">
        <f t="shared" si="32"/>
        <v>1.0177269176907537</v>
      </c>
      <c r="EZ83" s="97">
        <f t="shared" si="32"/>
        <v>1.0227213558784158</v>
      </c>
      <c r="FA83" s="97">
        <f t="shared" si="32"/>
        <v>1.0277649361982124</v>
      </c>
    </row>
    <row r="84" spans="1:157" ht="15.75" customHeight="1" x14ac:dyDescent="0.2">
      <c r="A84" s="44" t="s">
        <v>379</v>
      </c>
      <c r="CP84" s="96">
        <f>CP73/CP81</f>
        <v>-2.9142192096943713</v>
      </c>
      <c r="CQ84" s="111"/>
      <c r="CR84" s="96">
        <f t="shared" ref="CR84:FA84" si="33">CR73/CR81</f>
        <v>0.82253820932121302</v>
      </c>
      <c r="CS84" s="96">
        <f t="shared" si="33"/>
        <v>0.79734676643686309</v>
      </c>
      <c r="CT84" s="96">
        <f t="shared" si="33"/>
        <v>0.79016043680382875</v>
      </c>
      <c r="CU84" s="126">
        <f t="shared" si="33"/>
        <v>2.0580309926328004</v>
      </c>
      <c r="CV84" s="96">
        <f t="shared" si="33"/>
        <v>2.9822117002719231</v>
      </c>
      <c r="CW84" s="96">
        <f t="shared" si="33"/>
        <v>4.9712842075347581</v>
      </c>
      <c r="CX84" s="96">
        <f t="shared" si="33"/>
        <v>5.5084033278450439</v>
      </c>
      <c r="CY84" s="96">
        <f t="shared" si="33"/>
        <v>5.8675784233999213</v>
      </c>
      <c r="CZ84" s="96">
        <f t="shared" si="33"/>
        <v>5.4374108207687497</v>
      </c>
      <c r="DA84" s="96">
        <f t="shared" si="33"/>
        <v>5.0600933042636322</v>
      </c>
      <c r="DB84" s="96">
        <f t="shared" si="33"/>
        <v>4.6694509257622938</v>
      </c>
      <c r="DC84" s="127">
        <f t="shared" si="33"/>
        <v>4.3191163969752688</v>
      </c>
      <c r="DD84" s="96">
        <f t="shared" si="33"/>
        <v>3.9547158001709573</v>
      </c>
      <c r="DE84" s="96">
        <f t="shared" si="33"/>
        <v>3.6246798620701854</v>
      </c>
      <c r="DF84" s="96">
        <f t="shared" si="33"/>
        <v>3.3252768345170476</v>
      </c>
      <c r="DG84" s="96">
        <f t="shared" si="33"/>
        <v>3.0524607254836438</v>
      </c>
      <c r="DH84" s="96">
        <f t="shared" si="33"/>
        <v>2.8030714967028576</v>
      </c>
      <c r="DI84" s="96">
        <f t="shared" si="33"/>
        <v>2.5742035768573062</v>
      </c>
      <c r="DJ84" s="96">
        <f t="shared" si="33"/>
        <v>2.3639874502680813</v>
      </c>
      <c r="DK84" s="96">
        <f t="shared" si="33"/>
        <v>2.1703564165082727</v>
      </c>
      <c r="DL84" s="96">
        <f t="shared" si="33"/>
        <v>1.991606018274948</v>
      </c>
      <c r="DM84" s="96">
        <f t="shared" si="33"/>
        <v>1.8261806824528264</v>
      </c>
      <c r="DN84" s="96">
        <f t="shared" si="33"/>
        <v>1.6730627609078066</v>
      </c>
      <c r="DO84" s="96">
        <f t="shared" si="33"/>
        <v>1.5309750541045104</v>
      </c>
      <c r="DP84" s="96">
        <f t="shared" si="33"/>
        <v>1.3985365032816002</v>
      </c>
      <c r="DQ84" s="96">
        <f t="shared" si="33"/>
        <v>1.2747948848991026</v>
      </c>
      <c r="DR84" s="96">
        <f t="shared" si="33"/>
        <v>1.1588762862451041</v>
      </c>
      <c r="DS84" s="96">
        <f t="shared" si="33"/>
        <v>1.0502147853361488</v>
      </c>
      <c r="DT84" s="96">
        <f t="shared" si="33"/>
        <v>0.94818672594458397</v>
      </c>
      <c r="DU84" s="96">
        <f t="shared" si="33"/>
        <v>0.85234427342178343</v>
      </c>
      <c r="DV84" s="96">
        <f t="shared" si="33"/>
        <v>0.76216706958481817</v>
      </c>
      <c r="DW84" s="96">
        <f t="shared" si="33"/>
        <v>0.67709590667501041</v>
      </c>
      <c r="DX84" s="96">
        <f t="shared" si="33"/>
        <v>0.59674305184408782</v>
      </c>
      <c r="DY84" s="96">
        <f t="shared" si="33"/>
        <v>0.52074529588692975</v>
      </c>
      <c r="DZ84" s="96">
        <f t="shared" si="33"/>
        <v>0.44875219457183219</v>
      </c>
      <c r="EA84" s="96">
        <f t="shared" si="33"/>
        <v>0.38047341818835084</v>
      </c>
      <c r="EB84" s="96">
        <f t="shared" si="33"/>
        <v>0.31566258019168209</v>
      </c>
      <c r="EC84" s="96">
        <f t="shared" si="33"/>
        <v>0.25408611637827777</v>
      </c>
      <c r="ED84" s="96">
        <f t="shared" si="33"/>
        <v>0.19554754003173419</v>
      </c>
      <c r="EE84" s="96">
        <f t="shared" si="33"/>
        <v>0.13981177642133896</v>
      </c>
      <c r="EF84" s="96">
        <f t="shared" si="33"/>
        <v>0.11096493444650765</v>
      </c>
      <c r="EG84" s="96">
        <f t="shared" si="33"/>
        <v>8.353025656674623E-2</v>
      </c>
      <c r="EH84" s="96">
        <f t="shared" si="33"/>
        <v>8.0039495588744888E-2</v>
      </c>
      <c r="EI84" s="96">
        <f t="shared" si="33"/>
        <v>7.6737417511449899E-2</v>
      </c>
      <c r="EJ84" s="96">
        <f t="shared" si="33"/>
        <v>7.3626308421858466E-2</v>
      </c>
      <c r="EK84" s="96">
        <f t="shared" si="33"/>
        <v>7.0707209506817109E-2</v>
      </c>
      <c r="EL84" s="96">
        <f t="shared" si="33"/>
        <v>6.7938782661602942E-2</v>
      </c>
      <c r="EM84" s="96">
        <f t="shared" si="33"/>
        <v>6.5318122904151343E-2</v>
      </c>
      <c r="EN84" s="96">
        <f t="shared" si="33"/>
        <v>6.282452366531277E-2</v>
      </c>
      <c r="EO84" s="96">
        <f t="shared" si="33"/>
        <v>6.0484175951107118E-2</v>
      </c>
      <c r="EP84" s="96">
        <f t="shared" si="33"/>
        <v>5.8248765963992824E-2</v>
      </c>
      <c r="EQ84" s="96">
        <f t="shared" si="33"/>
        <v>5.6140854683198627E-2</v>
      </c>
      <c r="ER84" s="96">
        <f t="shared" si="33"/>
        <v>5.4112237634610184E-2</v>
      </c>
      <c r="ES84" s="96">
        <f t="shared" si="33"/>
        <v>5.2154660492119524E-2</v>
      </c>
      <c r="ET84" s="96">
        <f t="shared" si="33"/>
        <v>5.0247356496700361E-2</v>
      </c>
      <c r="EU84" s="96">
        <f t="shared" si="33"/>
        <v>4.8408809465520973E-2</v>
      </c>
      <c r="EV84" s="96">
        <f t="shared" si="33"/>
        <v>4.6493149270198306E-2</v>
      </c>
      <c r="EW84" s="96">
        <f t="shared" si="33"/>
        <v>4.461642413881986E-2</v>
      </c>
      <c r="EX84" s="96">
        <f t="shared" si="33"/>
        <v>4.2780045050361988E-2</v>
      </c>
      <c r="EY84" s="96">
        <f t="shared" si="33"/>
        <v>4.2117685314118858E-2</v>
      </c>
      <c r="EZ84" s="96">
        <f t="shared" si="33"/>
        <v>4.1466432830127964E-2</v>
      </c>
      <c r="FA84" s="96">
        <f t="shared" si="33"/>
        <v>4.0826052649541117E-2</v>
      </c>
    </row>
    <row r="85" spans="1:157" ht="15.75" customHeight="1" x14ac:dyDescent="0.2">
      <c r="A85" s="44" t="s">
        <v>380</v>
      </c>
      <c r="BY85" s="106"/>
      <c r="BZ85" s="106"/>
      <c r="CA85" s="106"/>
      <c r="CB85" s="106"/>
      <c r="CP85" s="97">
        <f>CP73/CP56</f>
        <v>2.0642534932520138</v>
      </c>
      <c r="CQ85" s="111"/>
      <c r="CR85" s="97">
        <f t="shared" ref="CR85:FA85" si="34">CR73/CR56</f>
        <v>0.48322958542620897</v>
      </c>
      <c r="CS85" s="97">
        <f t="shared" si="34"/>
        <v>0.47790809228319298</v>
      </c>
      <c r="CT85" s="97">
        <f t="shared" si="34"/>
        <v>0.47263306770473212</v>
      </c>
      <c r="CU85" s="97">
        <f t="shared" si="34"/>
        <v>0.69852674596891851</v>
      </c>
      <c r="CV85" s="97">
        <f t="shared" si="34"/>
        <v>0.77055709125375305</v>
      </c>
      <c r="CW85" s="97">
        <f t="shared" si="34"/>
        <v>0.85295858114586254</v>
      </c>
      <c r="CX85" s="97">
        <f t="shared" si="34"/>
        <v>0.87179624860311467</v>
      </c>
      <c r="CY85" s="97">
        <f t="shared" si="34"/>
        <v>0.8861586017425771</v>
      </c>
      <c r="CZ85" s="97">
        <f t="shared" si="34"/>
        <v>0.88527086037097458</v>
      </c>
      <c r="DA85" s="97">
        <f t="shared" si="34"/>
        <v>0.88439869619974298</v>
      </c>
      <c r="DB85" s="97">
        <f t="shared" si="34"/>
        <v>0.87335969956438375</v>
      </c>
      <c r="DC85" s="125">
        <f t="shared" si="34"/>
        <v>0.86213249938956105</v>
      </c>
      <c r="DD85" s="97">
        <f t="shared" si="34"/>
        <v>0.84054166376990658</v>
      </c>
      <c r="DE85" s="97">
        <f t="shared" si="34"/>
        <v>0.81859255990533153</v>
      </c>
      <c r="DF85" s="97">
        <f t="shared" si="34"/>
        <v>0.79627540972637434</v>
      </c>
      <c r="DG85" s="97">
        <f t="shared" si="34"/>
        <v>0.77357862583224357</v>
      </c>
      <c r="DH85" s="97">
        <f t="shared" si="34"/>
        <v>0.75050163113032142</v>
      </c>
      <c r="DI85" s="97">
        <f t="shared" si="34"/>
        <v>0.72703485617598507</v>
      </c>
      <c r="DJ85" s="97">
        <f t="shared" si="34"/>
        <v>0.70317577229869066</v>
      </c>
      <c r="DK85" s="97">
        <f t="shared" si="34"/>
        <v>0.67890616848335383</v>
      </c>
      <c r="DL85" s="97">
        <f t="shared" si="34"/>
        <v>0.65422423357736381</v>
      </c>
      <c r="DM85" s="97">
        <f t="shared" si="34"/>
        <v>0.62912030259129548</v>
      </c>
      <c r="DN85" s="97">
        <f t="shared" si="34"/>
        <v>0.60358731166892232</v>
      </c>
      <c r="DO85" s="97">
        <f t="shared" si="34"/>
        <v>0.57761163238640434</v>
      </c>
      <c r="DP85" s="97">
        <f t="shared" si="34"/>
        <v>0.5511897971266797</v>
      </c>
      <c r="DQ85" s="97">
        <f t="shared" si="34"/>
        <v>0.52432013947590783</v>
      </c>
      <c r="DR85" s="97">
        <f t="shared" si="34"/>
        <v>0.49699607270792212</v>
      </c>
      <c r="DS85" s="97">
        <f t="shared" si="34"/>
        <v>0.46921218662971775</v>
      </c>
      <c r="DT85" s="97">
        <f t="shared" si="34"/>
        <v>0.44095603071121109</v>
      </c>
      <c r="DU85" s="97">
        <f t="shared" si="34"/>
        <v>0.41222062383841834</v>
      </c>
      <c r="DV85" s="97">
        <f t="shared" si="34"/>
        <v>0.38299441230685244</v>
      </c>
      <c r="DW85" s="97">
        <f t="shared" si="34"/>
        <v>0.35327019165110102</v>
      </c>
      <c r="DX85" s="97">
        <f t="shared" si="34"/>
        <v>0.32304255880636584</v>
      </c>
      <c r="DY85" s="97">
        <f t="shared" si="34"/>
        <v>0.29230174826183897</v>
      </c>
      <c r="DZ85" s="97">
        <f t="shared" si="34"/>
        <v>0.26103888684445758</v>
      </c>
      <c r="EA85" s="97">
        <f t="shared" si="34"/>
        <v>0.22924548043832649</v>
      </c>
      <c r="EB85" s="97">
        <f t="shared" si="34"/>
        <v>0.19691209489691644</v>
      </c>
      <c r="EC85" s="97">
        <f t="shared" si="34"/>
        <v>0.16402866226234511</v>
      </c>
      <c r="ED85" s="97">
        <f t="shared" si="34"/>
        <v>0.1305855778822613</v>
      </c>
      <c r="EE85" s="97">
        <f t="shared" si="34"/>
        <v>9.6572339171060326E-2</v>
      </c>
      <c r="EF85" s="97">
        <f t="shared" si="34"/>
        <v>7.921520725949148E-2</v>
      </c>
      <c r="EG85" s="97">
        <f t="shared" si="34"/>
        <v>6.1572911743200266E-2</v>
      </c>
      <c r="EH85" s="97">
        <f t="shared" si="34"/>
        <v>6.0879868667509177E-2</v>
      </c>
      <c r="EI85" s="97">
        <f t="shared" si="34"/>
        <v>6.0196686704970297E-2</v>
      </c>
      <c r="EJ85" s="97">
        <f t="shared" si="34"/>
        <v>5.9523299783203677E-2</v>
      </c>
      <c r="EK85" s="97">
        <f t="shared" si="34"/>
        <v>5.8859089768699184E-2</v>
      </c>
      <c r="EL85" s="97">
        <f t="shared" si="34"/>
        <v>5.8203668926372805E-2</v>
      </c>
      <c r="EM85" s="97">
        <f t="shared" si="34"/>
        <v>5.7557498438418397E-2</v>
      </c>
      <c r="EN85" s="97">
        <f t="shared" si="34"/>
        <v>5.6920266948278793E-2</v>
      </c>
      <c r="EO85" s="97">
        <f t="shared" si="34"/>
        <v>5.6292026655970093E-2</v>
      </c>
      <c r="EP85" s="97">
        <f t="shared" si="34"/>
        <v>5.5672289890532557E-2</v>
      </c>
      <c r="EQ85" s="97">
        <f t="shared" si="34"/>
        <v>5.5061388454185199E-2</v>
      </c>
      <c r="ER85" s="97">
        <f t="shared" si="34"/>
        <v>5.4458981590219939E-2</v>
      </c>
      <c r="ES85" s="97">
        <f t="shared" si="34"/>
        <v>5.3865254379527737E-2</v>
      </c>
      <c r="ET85" s="97">
        <f t="shared" si="34"/>
        <v>5.3280038185439714E-2</v>
      </c>
      <c r="EU85" s="97">
        <f t="shared" si="34"/>
        <v>5.2703203092925706E-2</v>
      </c>
      <c r="EV85" s="97">
        <f t="shared" si="34"/>
        <v>5.2134530477668119E-2</v>
      </c>
      <c r="EW85" s="97">
        <f t="shared" si="34"/>
        <v>5.1574112419452423E-2</v>
      </c>
      <c r="EX85" s="97">
        <f t="shared" si="34"/>
        <v>5.1021567510834191E-2</v>
      </c>
      <c r="EY85" s="97">
        <f t="shared" si="34"/>
        <v>5.0477002099976617E-2</v>
      </c>
      <c r="EZ85" s="97">
        <f t="shared" si="34"/>
        <v>4.9940374905436347E-2</v>
      </c>
      <c r="FA85" s="97">
        <f t="shared" si="34"/>
        <v>4.9411607763013177E-2</v>
      </c>
    </row>
    <row r="86" spans="1:157" ht="15.75" customHeight="1" x14ac:dyDescent="0.2">
      <c r="A86" s="44" t="s">
        <v>381</v>
      </c>
      <c r="CP86" s="97">
        <f>(CP2+CP7+CP41+CP42)/(CP39-CP37+CP56)*12</f>
        <v>0.2796660507459835</v>
      </c>
      <c r="CQ86" s="111"/>
      <c r="CR86" s="97">
        <f t="shared" ref="CR86:FA86" si="35">(CR2+CR7+CR41+CR42)/(CR39-CR37+CR56)*12</f>
        <v>0.3235899982091941</v>
      </c>
      <c r="CS86" s="97">
        <f t="shared" si="35"/>
        <v>0.32465717187615928</v>
      </c>
      <c r="CT86" s="97">
        <f t="shared" si="35"/>
        <v>0.29792175457404346</v>
      </c>
      <c r="CU86" s="97">
        <f t="shared" si="35"/>
        <v>0.32148484233342567</v>
      </c>
      <c r="CV86" s="97">
        <f t="shared" si="35"/>
        <v>0.31382425142811055</v>
      </c>
      <c r="CW86" s="97">
        <f t="shared" si="35"/>
        <v>0.30921443830722389</v>
      </c>
      <c r="CX86" s="97">
        <f t="shared" si="35"/>
        <v>0.29454935565056217</v>
      </c>
      <c r="CY86" s="97">
        <f t="shared" si="35"/>
        <v>0.29457406756959487</v>
      </c>
      <c r="CZ86" s="97">
        <f t="shared" si="35"/>
        <v>0.29565668483116175</v>
      </c>
      <c r="DA86" s="97">
        <f t="shared" si="35"/>
        <v>0.29681314417489629</v>
      </c>
      <c r="DB86" s="97">
        <f t="shared" si="35"/>
        <v>0.29719630379005146</v>
      </c>
      <c r="DC86" s="125">
        <f t="shared" si="35"/>
        <v>0.2980467790881976</v>
      </c>
      <c r="DD86" s="97">
        <f t="shared" si="35"/>
        <v>0.29916215010140079</v>
      </c>
      <c r="DE86" s="97">
        <f t="shared" si="35"/>
        <v>0.30024439415750831</v>
      </c>
      <c r="DF86" s="97">
        <f t="shared" si="35"/>
        <v>0.30096549389316452</v>
      </c>
      <c r="DG86" s="97">
        <f t="shared" si="35"/>
        <v>0.30192267239354675</v>
      </c>
      <c r="DH86" s="97">
        <f t="shared" si="35"/>
        <v>0.302844455968864</v>
      </c>
      <c r="DI86" s="97">
        <f t="shared" si="35"/>
        <v>0.30402835432706132</v>
      </c>
      <c r="DJ86" s="97">
        <f t="shared" si="35"/>
        <v>0.30467917671037947</v>
      </c>
      <c r="DK86" s="97">
        <f t="shared" si="35"/>
        <v>0.3054557846487751</v>
      </c>
      <c r="DL86" s="97">
        <f t="shared" si="35"/>
        <v>0.30606770815029682</v>
      </c>
      <c r="DM86" s="97">
        <f t="shared" si="35"/>
        <v>0.30667640934244456</v>
      </c>
      <c r="DN86" s="97">
        <f t="shared" si="35"/>
        <v>0.30653409805867882</v>
      </c>
      <c r="DO86" s="97">
        <f t="shared" si="35"/>
        <v>0.30639214695005484</v>
      </c>
      <c r="DP86" s="97">
        <f t="shared" si="35"/>
        <v>0.3069029769636451</v>
      </c>
      <c r="DQ86" s="97">
        <f t="shared" si="35"/>
        <v>0.30751999275996955</v>
      </c>
      <c r="DR86" s="97">
        <f t="shared" si="35"/>
        <v>0.30852038809616411</v>
      </c>
      <c r="DS86" s="97">
        <f t="shared" si="35"/>
        <v>0.30904528667232256</v>
      </c>
      <c r="DT86" s="97">
        <f t="shared" si="35"/>
        <v>0.30968357395654994</v>
      </c>
      <c r="DU86" s="97">
        <f t="shared" si="35"/>
        <v>0.30970769900328154</v>
      </c>
      <c r="DV86" s="97">
        <f t="shared" si="35"/>
        <v>0.30965186921579985</v>
      </c>
      <c r="DW86" s="97">
        <f t="shared" si="35"/>
        <v>0.31030485365652705</v>
      </c>
      <c r="DX86" s="97">
        <f t="shared" si="35"/>
        <v>0.31080229916736946</v>
      </c>
      <c r="DY86" s="97">
        <f t="shared" si="35"/>
        <v>0.31137691774282561</v>
      </c>
      <c r="DZ86" s="97">
        <f t="shared" si="35"/>
        <v>0.31238532094571547</v>
      </c>
      <c r="EA86" s="97">
        <f t="shared" si="35"/>
        <v>0.31361312341948544</v>
      </c>
      <c r="EB86" s="97">
        <f t="shared" si="35"/>
        <v>0.31485577959945021</v>
      </c>
      <c r="EC86" s="97">
        <f t="shared" si="35"/>
        <v>0.31642728463130232</v>
      </c>
      <c r="ED86" s="97">
        <f t="shared" si="35"/>
        <v>0.31785290920534243</v>
      </c>
      <c r="EE86" s="97">
        <f t="shared" si="35"/>
        <v>0.32002841732196935</v>
      </c>
      <c r="EF86" s="97">
        <f t="shared" si="35"/>
        <v>0.32177827986099405</v>
      </c>
      <c r="EG86" s="97">
        <f t="shared" si="35"/>
        <v>0.32251798500325768</v>
      </c>
      <c r="EH86" s="97">
        <f t="shared" si="35"/>
        <v>0.32476829451849609</v>
      </c>
      <c r="EI86" s="97">
        <f t="shared" si="35"/>
        <v>0.32810157857101846</v>
      </c>
      <c r="EJ86" s="97">
        <f t="shared" si="35"/>
        <v>0.329520711767531</v>
      </c>
      <c r="EK86" s="97">
        <f t="shared" si="35"/>
        <v>0.32887567763656622</v>
      </c>
      <c r="EL86" s="97">
        <f t="shared" si="35"/>
        <v>0.33190804071706093</v>
      </c>
      <c r="EM86" s="97">
        <f t="shared" si="35"/>
        <v>0.33373734918343306</v>
      </c>
      <c r="EN86" s="97">
        <f t="shared" si="35"/>
        <v>0.33733360307717014</v>
      </c>
      <c r="EO86" s="97">
        <f t="shared" si="35"/>
        <v>0.33485293606004596</v>
      </c>
      <c r="EP86" s="97">
        <f t="shared" si="35"/>
        <v>0.33914418569984062</v>
      </c>
      <c r="EQ86" s="97">
        <f t="shared" si="35"/>
        <v>0.33764009623929037</v>
      </c>
      <c r="ER86" s="97">
        <f t="shared" si="35"/>
        <v>0.34442671254760504</v>
      </c>
      <c r="ES86" s="97">
        <f t="shared" si="35"/>
        <v>0.35251190081538486</v>
      </c>
      <c r="ET86" s="97">
        <f t="shared" si="35"/>
        <v>0.36539489614191328</v>
      </c>
      <c r="EU86" s="97">
        <f t="shared" si="35"/>
        <v>0.37399142874292923</v>
      </c>
      <c r="EV86" s="97">
        <f t="shared" si="35"/>
        <v>0.42303909395735528</v>
      </c>
      <c r="EW86" s="97">
        <f t="shared" si="35"/>
        <v>0.44525417335481765</v>
      </c>
      <c r="EX86" s="97">
        <f t="shared" si="35"/>
        <v>0.46890180580125768</v>
      </c>
      <c r="EY86" s="97">
        <f t="shared" si="35"/>
        <v>0.10914424639618048</v>
      </c>
      <c r="EZ86" s="97">
        <f t="shared" si="35"/>
        <v>0.10914065592205333</v>
      </c>
      <c r="FA86" s="97">
        <f t="shared" si="35"/>
        <v>0.10914312891488455</v>
      </c>
    </row>
    <row r="87" spans="1:157" ht="15.75" customHeight="1" x14ac:dyDescent="0.2">
      <c r="A87" s="44" t="s">
        <v>382</v>
      </c>
      <c r="CP87" s="97">
        <f>(CP78)/(CP39-CP37+CP56)*12</f>
        <v>-5.2230972130840131E-2</v>
      </c>
      <c r="CQ87" s="111"/>
      <c r="CR87" s="97">
        <f t="shared" ref="CR87:FA87" si="36">(CR78)/(CR39-CR37+CR56)*12</f>
        <v>2.1017274839546459E-2</v>
      </c>
      <c r="CS87" s="97">
        <f t="shared" si="36"/>
        <v>2.2206958129159939E-2</v>
      </c>
      <c r="CT87" s="97">
        <f t="shared" si="36"/>
        <v>-4.4084216790190364E-3</v>
      </c>
      <c r="CU87" s="97">
        <f t="shared" si="36"/>
        <v>9.5752086077337977E-4</v>
      </c>
      <c r="CV87" s="97">
        <f t="shared" si="36"/>
        <v>8.1371964378727773E-3</v>
      </c>
      <c r="CW87" s="97">
        <f t="shared" si="36"/>
        <v>3.6637043203940199E-2</v>
      </c>
      <c r="CX87" s="97">
        <f t="shared" si="36"/>
        <v>5.3373451742625477E-2</v>
      </c>
      <c r="CY87" s="97">
        <f t="shared" si="36"/>
        <v>6.6907040114405791E-2</v>
      </c>
      <c r="CZ87" s="97">
        <f t="shared" si="36"/>
        <v>6.7598391287342949E-2</v>
      </c>
      <c r="DA87" s="97">
        <f t="shared" si="36"/>
        <v>6.8305288917908602E-2</v>
      </c>
      <c r="DB87" s="97">
        <f t="shared" si="36"/>
        <v>6.9606850366486978E-2</v>
      </c>
      <c r="DC87" s="125">
        <f t="shared" si="36"/>
        <v>7.1056897963016105E-2</v>
      </c>
      <c r="DD87" s="97">
        <f t="shared" si="36"/>
        <v>7.2738270901232041E-2</v>
      </c>
      <c r="DE87" s="97">
        <f t="shared" si="36"/>
        <v>7.4411113271703438E-2</v>
      </c>
      <c r="DF87" s="97">
        <f t="shared" si="36"/>
        <v>7.5856056783739759E-2</v>
      </c>
      <c r="DG87" s="97">
        <f t="shared" si="36"/>
        <v>7.7391979293029101E-2</v>
      </c>
      <c r="DH87" s="97">
        <f t="shared" si="36"/>
        <v>7.8925202060188618E-2</v>
      </c>
      <c r="DI87" s="97">
        <f t="shared" si="36"/>
        <v>8.0585497399746825E-2</v>
      </c>
      <c r="DJ87" s="97">
        <f t="shared" si="36"/>
        <v>8.199846917640545E-2</v>
      </c>
      <c r="DK87" s="97">
        <f t="shared" si="36"/>
        <v>8.3415324042080255E-2</v>
      </c>
      <c r="DL87" s="97">
        <f t="shared" si="36"/>
        <v>8.477096967511405E-2</v>
      </c>
      <c r="DM87" s="97">
        <f t="shared" si="36"/>
        <v>8.6122313936865619E-2</v>
      </c>
      <c r="DN87" s="97">
        <f t="shared" si="36"/>
        <v>8.7082106552471755E-2</v>
      </c>
      <c r="DO87" s="97">
        <f t="shared" si="36"/>
        <v>8.8004160572091844E-2</v>
      </c>
      <c r="DP87" s="97">
        <f t="shared" si="36"/>
        <v>8.9288627114444463E-2</v>
      </c>
      <c r="DQ87" s="97">
        <f t="shared" si="36"/>
        <v>9.0662786458737502E-2</v>
      </c>
      <c r="DR87" s="97">
        <f t="shared" si="36"/>
        <v>9.223135059804187E-2</v>
      </c>
      <c r="DS87" s="97">
        <f t="shared" si="36"/>
        <v>9.3612715439175181E-2</v>
      </c>
      <c r="DT87" s="97">
        <f t="shared" si="36"/>
        <v>9.5013126806102743E-2</v>
      </c>
      <c r="DU87" s="97">
        <f t="shared" si="36"/>
        <v>9.6118924701939862E-2</v>
      </c>
      <c r="DV87" s="97">
        <f t="shared" si="36"/>
        <v>9.7183423125755425E-2</v>
      </c>
      <c r="DW87" s="97">
        <f t="shared" si="36"/>
        <v>9.856383953997222E-2</v>
      </c>
      <c r="DX87" s="97">
        <f t="shared" si="36"/>
        <v>9.992166176096641E-2</v>
      </c>
      <c r="DY87" s="97">
        <f t="shared" si="36"/>
        <v>0.10131136555213215</v>
      </c>
      <c r="DZ87" s="97">
        <f t="shared" si="36"/>
        <v>0.10289531304024035</v>
      </c>
      <c r="EA87" s="97">
        <f t="shared" si="36"/>
        <v>0.104595674529849</v>
      </c>
      <c r="EB87" s="97">
        <f t="shared" si="36"/>
        <v>0.10631679706643837</v>
      </c>
      <c r="EC87" s="97">
        <f t="shared" si="36"/>
        <v>0.10815931911290316</v>
      </c>
      <c r="ED87" s="97">
        <f t="shared" si="36"/>
        <v>0.10994682175217184</v>
      </c>
      <c r="EE87" s="97">
        <f t="shared" si="36"/>
        <v>0.11286566956117589</v>
      </c>
      <c r="EF87" s="97">
        <f t="shared" si="36"/>
        <v>0.11329723334318548</v>
      </c>
      <c r="EG87" s="97">
        <f t="shared" si="36"/>
        <v>0.11326556681683522</v>
      </c>
      <c r="EH87" s="97">
        <f t="shared" si="36"/>
        <v>0.11384122437148142</v>
      </c>
      <c r="EI87" s="97">
        <f t="shared" si="36"/>
        <v>0.11489233651986605</v>
      </c>
      <c r="EJ87" s="97">
        <f t="shared" si="36"/>
        <v>0.11513642084369037</v>
      </c>
      <c r="EK87" s="97">
        <f t="shared" si="36"/>
        <v>0.11448459176917469</v>
      </c>
      <c r="EL87" s="97">
        <f t="shared" si="36"/>
        <v>0.11533139356544408</v>
      </c>
      <c r="EM87" s="97">
        <f t="shared" si="36"/>
        <v>0.11572699190875035</v>
      </c>
      <c r="EN87" s="97">
        <f t="shared" si="36"/>
        <v>0.1168205658821436</v>
      </c>
      <c r="EO87" s="97">
        <f t="shared" si="36"/>
        <v>0.11547157065769578</v>
      </c>
      <c r="EP87" s="97">
        <f t="shared" si="36"/>
        <v>0.11681968664689613</v>
      </c>
      <c r="EQ87" s="97">
        <f t="shared" si="36"/>
        <v>0.11588728266248821</v>
      </c>
      <c r="ER87" s="97">
        <f t="shared" si="36"/>
        <v>0.11823098913231959</v>
      </c>
      <c r="ES87" s="97">
        <f t="shared" si="36"/>
        <v>0.12109002494722984</v>
      </c>
      <c r="ET87" s="97">
        <f t="shared" si="36"/>
        <v>0.12579690397025634</v>
      </c>
      <c r="EU87" s="97">
        <f t="shared" si="36"/>
        <v>0.12878569371939824</v>
      </c>
      <c r="EV87" s="97">
        <f t="shared" si="36"/>
        <v>0.14744281006758733</v>
      </c>
      <c r="EW87" s="97">
        <f t="shared" si="36"/>
        <v>0.15557657045343021</v>
      </c>
      <c r="EX87" s="97">
        <f t="shared" si="36"/>
        <v>0.16417346071473932</v>
      </c>
      <c r="EY87" s="97">
        <f t="shared" si="36"/>
        <v>2.5922142753925265E-2</v>
      </c>
      <c r="EZ87" s="97">
        <f t="shared" si="36"/>
        <v>2.6032644224546396E-2</v>
      </c>
      <c r="FA87" s="97">
        <f t="shared" si="36"/>
        <v>2.6149661880161143E-2</v>
      </c>
    </row>
    <row r="88" spans="1:157" ht="15.75" customHeight="1" x14ac:dyDescent="0.2">
      <c r="A88" s="44" t="s">
        <v>109</v>
      </c>
      <c r="CQ88" s="123">
        <f>CQ37/CQ39</f>
        <v>0.17398125012351329</v>
      </c>
      <c r="DC88" s="125"/>
    </row>
    <row r="89" spans="1:157" ht="15.75" customHeight="1" x14ac:dyDescent="0.2">
      <c r="CQ89" s="111"/>
      <c r="DC89" s="125"/>
    </row>
    <row r="90" spans="1:157" ht="15.75" customHeight="1" x14ac:dyDescent="0.2">
      <c r="CQ90" s="111"/>
      <c r="DC90" s="112"/>
    </row>
    <row r="91" spans="1:157" ht="15.75" customHeight="1" x14ac:dyDescent="0.2">
      <c r="CQ91" s="111"/>
      <c r="DC91" s="112"/>
    </row>
    <row r="92" spans="1:157" ht="15.75" customHeight="1" x14ac:dyDescent="0.2">
      <c r="CQ92" s="111"/>
      <c r="DC92" s="112"/>
    </row>
    <row r="93" spans="1:157" ht="15.75" customHeight="1" x14ac:dyDescent="0.2">
      <c r="CQ93" s="111"/>
      <c r="DC93" s="112"/>
    </row>
    <row r="94" spans="1:157" ht="15.75" customHeight="1" x14ac:dyDescent="0.2">
      <c r="CQ94" s="111"/>
      <c r="DC94" s="112"/>
    </row>
    <row r="95" spans="1:157" ht="15.75" customHeight="1" x14ac:dyDescent="0.2">
      <c r="CQ95" s="111"/>
      <c r="DC95" s="112"/>
    </row>
    <row r="96" spans="1:157" ht="15.75" customHeight="1" x14ac:dyDescent="0.2">
      <c r="CQ96" s="111"/>
      <c r="DC96" s="112"/>
    </row>
    <row r="97" spans="95:107" ht="15.75" customHeight="1" x14ac:dyDescent="0.2">
      <c r="CQ97" s="111"/>
      <c r="DC97" s="112"/>
    </row>
    <row r="98" spans="95:107" ht="15.75" customHeight="1" x14ac:dyDescent="0.2">
      <c r="CQ98" s="111"/>
      <c r="DC98" s="112"/>
    </row>
    <row r="99" spans="95:107" ht="15.75" customHeight="1" x14ac:dyDescent="0.2">
      <c r="CQ99" s="111"/>
      <c r="DC99" s="112"/>
    </row>
    <row r="100" spans="95:107" ht="15.75" customHeight="1" x14ac:dyDescent="0.2">
      <c r="CQ100" s="111"/>
      <c r="DC100" s="112"/>
    </row>
    <row r="101" spans="95:107" ht="15.75" customHeight="1" x14ac:dyDescent="0.2">
      <c r="CQ101" s="111"/>
      <c r="DC101" s="112"/>
    </row>
    <row r="102" spans="95:107" ht="15.75" customHeight="1" x14ac:dyDescent="0.2">
      <c r="CQ102" s="111"/>
      <c r="DC102" s="112"/>
    </row>
    <row r="103" spans="95:107" ht="15.75" customHeight="1" x14ac:dyDescent="0.2">
      <c r="CQ103" s="111"/>
      <c r="DC103" s="112"/>
    </row>
    <row r="104" spans="95:107" ht="15.75" customHeight="1" x14ac:dyDescent="0.2">
      <c r="CQ104" s="111"/>
      <c r="DC104" s="112"/>
    </row>
    <row r="105" spans="95:107" ht="15.75" customHeight="1" x14ac:dyDescent="0.2">
      <c r="CQ105" s="111"/>
      <c r="DC105" s="112"/>
    </row>
    <row r="106" spans="95:107" ht="15.75" customHeight="1" x14ac:dyDescent="0.2">
      <c r="CQ106" s="111"/>
      <c r="DC106" s="112"/>
    </row>
    <row r="107" spans="95:107" ht="15.75" customHeight="1" x14ac:dyDescent="0.2">
      <c r="CQ107" s="111"/>
      <c r="DC107" s="112"/>
    </row>
    <row r="108" spans="95:107" ht="15.75" customHeight="1" x14ac:dyDescent="0.2">
      <c r="CQ108" s="111"/>
      <c r="DC108" s="112"/>
    </row>
    <row r="109" spans="95:107" ht="15.75" customHeight="1" x14ac:dyDescent="0.2">
      <c r="CQ109" s="111"/>
      <c r="DC109" s="112"/>
    </row>
    <row r="110" spans="95:107" ht="15.75" customHeight="1" x14ac:dyDescent="0.2">
      <c r="CQ110" s="111"/>
      <c r="DC110" s="112"/>
    </row>
    <row r="111" spans="95:107" ht="15.75" customHeight="1" x14ac:dyDescent="0.2">
      <c r="CQ111" s="111"/>
      <c r="DC111" s="112"/>
    </row>
    <row r="112" spans="95:107" ht="15.75" customHeight="1" x14ac:dyDescent="0.2">
      <c r="CQ112" s="111"/>
      <c r="DC112" s="112"/>
    </row>
    <row r="113" spans="95:107" ht="15.75" customHeight="1" x14ac:dyDescent="0.2">
      <c r="CQ113" s="111"/>
      <c r="DC113" s="112"/>
    </row>
    <row r="114" spans="95:107" ht="15.75" customHeight="1" x14ac:dyDescent="0.2">
      <c r="CQ114" s="111"/>
      <c r="DC114" s="112"/>
    </row>
    <row r="115" spans="95:107" ht="15.75" customHeight="1" x14ac:dyDescent="0.2">
      <c r="CQ115" s="111"/>
      <c r="DC115" s="112"/>
    </row>
    <row r="116" spans="95:107" ht="15.75" customHeight="1" x14ac:dyDescent="0.2">
      <c r="CQ116" s="111"/>
      <c r="DC116" s="112"/>
    </row>
    <row r="117" spans="95:107" ht="15.75" customHeight="1" x14ac:dyDescent="0.2">
      <c r="CQ117" s="111"/>
      <c r="DC117" s="112"/>
    </row>
    <row r="118" spans="95:107" ht="15.75" customHeight="1" x14ac:dyDescent="0.2">
      <c r="CQ118" s="111"/>
      <c r="DC118" s="112"/>
    </row>
    <row r="119" spans="95:107" ht="15.75" customHeight="1" x14ac:dyDescent="0.2">
      <c r="CQ119" s="111"/>
      <c r="DC119" s="112"/>
    </row>
    <row r="120" spans="95:107" ht="15.75" customHeight="1" x14ac:dyDescent="0.2">
      <c r="CQ120" s="111"/>
      <c r="DC120" s="112"/>
    </row>
    <row r="121" spans="95:107" ht="15.75" customHeight="1" x14ac:dyDescent="0.2">
      <c r="CQ121" s="111"/>
      <c r="DC121" s="112"/>
    </row>
    <row r="122" spans="95:107" ht="15.75" customHeight="1" x14ac:dyDescent="0.2">
      <c r="CQ122" s="111"/>
      <c r="DC122" s="112"/>
    </row>
    <row r="123" spans="95:107" ht="15.75" customHeight="1" x14ac:dyDescent="0.2">
      <c r="CQ123" s="111"/>
      <c r="DC123" s="112"/>
    </row>
    <row r="124" spans="95:107" ht="15.75" customHeight="1" x14ac:dyDescent="0.2">
      <c r="CQ124" s="111"/>
      <c r="DC124" s="112"/>
    </row>
    <row r="125" spans="95:107" ht="15.75" customHeight="1" x14ac:dyDescent="0.2">
      <c r="CQ125" s="111"/>
      <c r="DC125" s="112"/>
    </row>
    <row r="126" spans="95:107" ht="15.75" customHeight="1" x14ac:dyDescent="0.2">
      <c r="CQ126" s="111"/>
      <c r="DC126" s="112"/>
    </row>
    <row r="127" spans="95:107" ht="15.75" customHeight="1" x14ac:dyDescent="0.2">
      <c r="CQ127" s="111"/>
      <c r="DC127" s="112"/>
    </row>
    <row r="128" spans="95:107" ht="15.75" customHeight="1" x14ac:dyDescent="0.2">
      <c r="CQ128" s="111"/>
      <c r="DC128" s="112"/>
    </row>
    <row r="129" spans="95:107" ht="15.75" customHeight="1" x14ac:dyDescent="0.2">
      <c r="CQ129" s="111"/>
      <c r="DC129" s="112"/>
    </row>
    <row r="130" spans="95:107" ht="15.75" customHeight="1" x14ac:dyDescent="0.2">
      <c r="CQ130" s="111"/>
      <c r="DC130" s="112"/>
    </row>
    <row r="131" spans="95:107" ht="15.75" customHeight="1" x14ac:dyDescent="0.2">
      <c r="CQ131" s="111"/>
      <c r="DC131" s="112"/>
    </row>
    <row r="132" spans="95:107" ht="15.75" customHeight="1" x14ac:dyDescent="0.2">
      <c r="CQ132" s="111"/>
      <c r="DC132" s="112"/>
    </row>
    <row r="133" spans="95:107" ht="15.75" customHeight="1" x14ac:dyDescent="0.2">
      <c r="CQ133" s="111"/>
      <c r="DC133" s="112"/>
    </row>
    <row r="134" spans="95:107" ht="15.75" customHeight="1" x14ac:dyDescent="0.2">
      <c r="CQ134" s="111"/>
      <c r="DC134" s="112"/>
    </row>
    <row r="135" spans="95:107" ht="15.75" customHeight="1" x14ac:dyDescent="0.2">
      <c r="CQ135" s="111"/>
      <c r="DC135" s="112"/>
    </row>
    <row r="136" spans="95:107" ht="15.75" customHeight="1" x14ac:dyDescent="0.2">
      <c r="CQ136" s="111"/>
      <c r="DC136" s="112"/>
    </row>
    <row r="137" spans="95:107" ht="15.75" customHeight="1" x14ac:dyDescent="0.2">
      <c r="CQ137" s="111"/>
      <c r="DC137" s="112"/>
    </row>
    <row r="138" spans="95:107" ht="15.75" customHeight="1" x14ac:dyDescent="0.2">
      <c r="CQ138" s="111"/>
      <c r="DC138" s="112"/>
    </row>
    <row r="139" spans="95:107" ht="15.75" customHeight="1" x14ac:dyDescent="0.2">
      <c r="CQ139" s="111"/>
      <c r="DC139" s="112"/>
    </row>
    <row r="140" spans="95:107" ht="15.75" customHeight="1" x14ac:dyDescent="0.2">
      <c r="CQ140" s="111"/>
      <c r="DC140" s="112"/>
    </row>
    <row r="141" spans="95:107" ht="15.75" customHeight="1" x14ac:dyDescent="0.2">
      <c r="CQ141" s="111"/>
      <c r="DC141" s="112"/>
    </row>
    <row r="142" spans="95:107" ht="15.75" customHeight="1" x14ac:dyDescent="0.2">
      <c r="CQ142" s="111"/>
      <c r="DC142" s="112"/>
    </row>
    <row r="143" spans="95:107" ht="15.75" customHeight="1" x14ac:dyDescent="0.2">
      <c r="CQ143" s="111"/>
      <c r="DC143" s="112"/>
    </row>
    <row r="144" spans="95:107" ht="15.75" customHeight="1" x14ac:dyDescent="0.2">
      <c r="CQ144" s="111"/>
      <c r="DC144" s="112"/>
    </row>
    <row r="145" spans="95:107" ht="15.75" customHeight="1" x14ac:dyDescent="0.2">
      <c r="CQ145" s="111"/>
      <c r="DC145" s="112"/>
    </row>
    <row r="146" spans="95:107" ht="15.75" customHeight="1" x14ac:dyDescent="0.2">
      <c r="CQ146" s="111"/>
      <c r="DC146" s="112"/>
    </row>
    <row r="147" spans="95:107" ht="15.75" customHeight="1" x14ac:dyDescent="0.2">
      <c r="CQ147" s="111"/>
      <c r="DC147" s="112"/>
    </row>
    <row r="148" spans="95:107" ht="15.75" customHeight="1" x14ac:dyDescent="0.2">
      <c r="CQ148" s="111"/>
      <c r="DC148" s="112"/>
    </row>
    <row r="149" spans="95:107" ht="15.75" customHeight="1" x14ac:dyDescent="0.2">
      <c r="CQ149" s="111"/>
      <c r="DC149" s="112"/>
    </row>
    <row r="150" spans="95:107" ht="15.75" customHeight="1" x14ac:dyDescent="0.2">
      <c r="CQ150" s="111"/>
      <c r="DC150" s="112"/>
    </row>
    <row r="151" spans="95:107" ht="15.75" customHeight="1" x14ac:dyDescent="0.2">
      <c r="CQ151" s="111"/>
      <c r="DC151" s="112"/>
    </row>
    <row r="152" spans="95:107" ht="15.75" customHeight="1" x14ac:dyDescent="0.2">
      <c r="CQ152" s="111"/>
      <c r="DC152" s="112"/>
    </row>
    <row r="153" spans="95:107" ht="15.75" customHeight="1" x14ac:dyDescent="0.2">
      <c r="CQ153" s="111"/>
      <c r="DC153" s="112"/>
    </row>
    <row r="154" spans="95:107" ht="15.75" customHeight="1" x14ac:dyDescent="0.2">
      <c r="CQ154" s="111"/>
      <c r="DC154" s="112"/>
    </row>
    <row r="155" spans="95:107" ht="15.75" customHeight="1" x14ac:dyDescent="0.2">
      <c r="CQ155" s="111"/>
      <c r="DC155" s="112"/>
    </row>
    <row r="156" spans="95:107" ht="15.75" customHeight="1" x14ac:dyDescent="0.2">
      <c r="CQ156" s="111"/>
      <c r="DC156" s="112"/>
    </row>
    <row r="157" spans="95:107" ht="15.75" customHeight="1" x14ac:dyDescent="0.2">
      <c r="CQ157" s="111"/>
      <c r="DC157" s="112"/>
    </row>
    <row r="158" spans="95:107" ht="15.75" customHeight="1" x14ac:dyDescent="0.2">
      <c r="CQ158" s="111"/>
      <c r="DC158" s="112"/>
    </row>
    <row r="159" spans="95:107" ht="15.75" customHeight="1" x14ac:dyDescent="0.2">
      <c r="CQ159" s="111"/>
      <c r="DC159" s="112"/>
    </row>
    <row r="160" spans="95:107" ht="15.75" customHeight="1" x14ac:dyDescent="0.2">
      <c r="CQ160" s="111"/>
      <c r="DC160" s="112"/>
    </row>
    <row r="161" spans="95:107" ht="15.75" customHeight="1" x14ac:dyDescent="0.2">
      <c r="CQ161" s="111"/>
      <c r="DC161" s="112"/>
    </row>
    <row r="162" spans="95:107" ht="15.75" customHeight="1" x14ac:dyDescent="0.2">
      <c r="CQ162" s="111"/>
      <c r="DC162" s="112"/>
    </row>
    <row r="163" spans="95:107" ht="15.75" customHeight="1" x14ac:dyDescent="0.2">
      <c r="CQ163" s="111"/>
      <c r="DC163" s="112"/>
    </row>
    <row r="164" spans="95:107" ht="15.75" customHeight="1" x14ac:dyDescent="0.2">
      <c r="CQ164" s="111"/>
      <c r="DC164" s="112"/>
    </row>
    <row r="165" spans="95:107" ht="15.75" customHeight="1" x14ac:dyDescent="0.2">
      <c r="CQ165" s="111"/>
      <c r="DC165" s="112"/>
    </row>
    <row r="166" spans="95:107" ht="15.75" customHeight="1" x14ac:dyDescent="0.2">
      <c r="CQ166" s="111"/>
      <c r="DC166" s="112"/>
    </row>
    <row r="167" spans="95:107" ht="15.75" customHeight="1" x14ac:dyDescent="0.2">
      <c r="CQ167" s="111"/>
      <c r="DC167" s="112"/>
    </row>
    <row r="168" spans="95:107" ht="15.75" customHeight="1" x14ac:dyDescent="0.2">
      <c r="CQ168" s="111"/>
      <c r="DC168" s="112"/>
    </row>
    <row r="169" spans="95:107" ht="15.75" customHeight="1" x14ac:dyDescent="0.2">
      <c r="CQ169" s="111"/>
      <c r="DC169" s="112"/>
    </row>
    <row r="170" spans="95:107" ht="15.75" customHeight="1" x14ac:dyDescent="0.2">
      <c r="CQ170" s="111"/>
      <c r="DC170" s="112"/>
    </row>
    <row r="171" spans="95:107" ht="15.75" customHeight="1" x14ac:dyDescent="0.2">
      <c r="CQ171" s="111"/>
      <c r="DC171" s="112"/>
    </row>
    <row r="172" spans="95:107" ht="15.75" customHeight="1" x14ac:dyDescent="0.2">
      <c r="CQ172" s="111"/>
      <c r="DC172" s="112"/>
    </row>
    <row r="173" spans="95:107" ht="15.75" customHeight="1" x14ac:dyDescent="0.2">
      <c r="CQ173" s="111"/>
      <c r="DC173" s="112"/>
    </row>
    <row r="174" spans="95:107" ht="15.75" customHeight="1" x14ac:dyDescent="0.2">
      <c r="CQ174" s="111"/>
      <c r="DC174" s="112"/>
    </row>
    <row r="175" spans="95:107" ht="15.75" customHeight="1" x14ac:dyDescent="0.2">
      <c r="CQ175" s="111"/>
      <c r="DC175" s="112"/>
    </row>
    <row r="176" spans="95:107" ht="15.75" customHeight="1" x14ac:dyDescent="0.2">
      <c r="CQ176" s="111"/>
      <c r="DC176" s="112"/>
    </row>
    <row r="177" spans="95:107" ht="15.75" customHeight="1" x14ac:dyDescent="0.2">
      <c r="CQ177" s="111"/>
      <c r="DC177" s="112"/>
    </row>
    <row r="178" spans="95:107" ht="15.75" customHeight="1" x14ac:dyDescent="0.2">
      <c r="CQ178" s="111"/>
      <c r="DC178" s="112"/>
    </row>
    <row r="179" spans="95:107" ht="15.75" customHeight="1" x14ac:dyDescent="0.2">
      <c r="CQ179" s="111"/>
      <c r="DC179" s="112"/>
    </row>
    <row r="180" spans="95:107" ht="15.75" customHeight="1" x14ac:dyDescent="0.2">
      <c r="CQ180" s="111"/>
      <c r="DC180" s="112"/>
    </row>
    <row r="181" spans="95:107" ht="15.75" customHeight="1" x14ac:dyDescent="0.2">
      <c r="CQ181" s="111"/>
      <c r="DC181" s="112"/>
    </row>
    <row r="182" spans="95:107" ht="15.75" customHeight="1" x14ac:dyDescent="0.2">
      <c r="CQ182" s="111"/>
      <c r="DC182" s="112"/>
    </row>
    <row r="183" spans="95:107" ht="15.75" customHeight="1" x14ac:dyDescent="0.2">
      <c r="CQ183" s="111"/>
      <c r="DC183" s="112"/>
    </row>
    <row r="184" spans="95:107" ht="15.75" customHeight="1" x14ac:dyDescent="0.2">
      <c r="CQ184" s="111"/>
      <c r="DC184" s="112"/>
    </row>
    <row r="185" spans="95:107" ht="15.75" customHeight="1" x14ac:dyDescent="0.2">
      <c r="CQ185" s="111"/>
      <c r="DC185" s="112"/>
    </row>
    <row r="186" spans="95:107" ht="15.75" customHeight="1" x14ac:dyDescent="0.2">
      <c r="CQ186" s="111"/>
      <c r="DC186" s="112"/>
    </row>
    <row r="187" spans="95:107" ht="15.75" customHeight="1" x14ac:dyDescent="0.2">
      <c r="CQ187" s="111"/>
      <c r="DC187" s="112"/>
    </row>
    <row r="188" spans="95:107" ht="15.75" customHeight="1" x14ac:dyDescent="0.2">
      <c r="CQ188" s="111"/>
      <c r="DC188" s="112"/>
    </row>
    <row r="189" spans="95:107" ht="15.75" customHeight="1" x14ac:dyDescent="0.2">
      <c r="CQ189" s="111"/>
      <c r="DC189" s="112"/>
    </row>
    <row r="190" spans="95:107" ht="15.75" customHeight="1" x14ac:dyDescent="0.2">
      <c r="CQ190" s="111"/>
      <c r="DC190" s="112"/>
    </row>
    <row r="191" spans="95:107" ht="15.75" customHeight="1" x14ac:dyDescent="0.2">
      <c r="CQ191" s="111"/>
      <c r="DC191" s="112"/>
    </row>
    <row r="192" spans="95:107" ht="15.75" customHeight="1" x14ac:dyDescent="0.2">
      <c r="CQ192" s="111"/>
      <c r="DC192" s="112"/>
    </row>
    <row r="193" spans="95:107" ht="15.75" customHeight="1" x14ac:dyDescent="0.2">
      <c r="CQ193" s="111"/>
      <c r="DC193" s="112"/>
    </row>
    <row r="194" spans="95:107" ht="15.75" customHeight="1" x14ac:dyDescent="0.2">
      <c r="CQ194" s="111"/>
      <c r="DC194" s="112"/>
    </row>
    <row r="195" spans="95:107" ht="15.75" customHeight="1" x14ac:dyDescent="0.2">
      <c r="CQ195" s="111"/>
      <c r="DC195" s="112"/>
    </row>
    <row r="196" spans="95:107" ht="15.75" customHeight="1" x14ac:dyDescent="0.2">
      <c r="CQ196" s="111"/>
      <c r="DC196" s="112"/>
    </row>
    <row r="197" spans="95:107" ht="15.75" customHeight="1" x14ac:dyDescent="0.2">
      <c r="CQ197" s="111"/>
      <c r="DC197" s="112"/>
    </row>
    <row r="198" spans="95:107" ht="15.75" customHeight="1" x14ac:dyDescent="0.2">
      <c r="CQ198" s="111"/>
      <c r="DC198" s="112"/>
    </row>
    <row r="199" spans="95:107" ht="15.75" customHeight="1" x14ac:dyDescent="0.2">
      <c r="CQ199" s="111"/>
      <c r="DC199" s="112"/>
    </row>
    <row r="200" spans="95:107" ht="15.75" customHeight="1" x14ac:dyDescent="0.2">
      <c r="CQ200" s="111"/>
      <c r="DC200" s="112"/>
    </row>
    <row r="201" spans="95:107" ht="15.75" customHeight="1" x14ac:dyDescent="0.2">
      <c r="CQ201" s="111"/>
      <c r="DC201" s="112"/>
    </row>
    <row r="202" spans="95:107" ht="15.75" customHeight="1" x14ac:dyDescent="0.2">
      <c r="CQ202" s="111"/>
      <c r="DC202" s="112"/>
    </row>
    <row r="203" spans="95:107" ht="15.75" customHeight="1" x14ac:dyDescent="0.2">
      <c r="CQ203" s="111"/>
      <c r="DC203" s="112"/>
    </row>
    <row r="204" spans="95:107" ht="15.75" customHeight="1" x14ac:dyDescent="0.2">
      <c r="CQ204" s="111"/>
      <c r="DC204" s="112"/>
    </row>
    <row r="205" spans="95:107" ht="15.75" customHeight="1" x14ac:dyDescent="0.2">
      <c r="CQ205" s="111"/>
      <c r="DC205" s="112"/>
    </row>
    <row r="206" spans="95:107" ht="15.75" customHeight="1" x14ac:dyDescent="0.2">
      <c r="CQ206" s="111"/>
      <c r="DC206" s="112"/>
    </row>
    <row r="207" spans="95:107" ht="15.75" customHeight="1" x14ac:dyDescent="0.2">
      <c r="CQ207" s="111"/>
      <c r="DC207" s="112"/>
    </row>
    <row r="208" spans="95:107" ht="15.75" customHeight="1" x14ac:dyDescent="0.2">
      <c r="CQ208" s="111"/>
      <c r="DC208" s="112"/>
    </row>
    <row r="209" spans="95:107" ht="15.75" customHeight="1" x14ac:dyDescent="0.2">
      <c r="CQ209" s="111"/>
      <c r="DC209" s="112"/>
    </row>
    <row r="210" spans="95:107" ht="15.75" customHeight="1" x14ac:dyDescent="0.2">
      <c r="CQ210" s="111"/>
      <c r="DC210" s="112"/>
    </row>
    <row r="211" spans="95:107" ht="15.75" customHeight="1" x14ac:dyDescent="0.2">
      <c r="CQ211" s="111"/>
      <c r="DC211" s="112"/>
    </row>
    <row r="212" spans="95:107" ht="15.75" customHeight="1" x14ac:dyDescent="0.2">
      <c r="CQ212" s="111"/>
      <c r="DC212" s="112"/>
    </row>
    <row r="213" spans="95:107" ht="15.75" customHeight="1" x14ac:dyDescent="0.2">
      <c r="CQ213" s="111"/>
      <c r="DC213" s="112"/>
    </row>
    <row r="214" spans="95:107" ht="15.75" customHeight="1" x14ac:dyDescent="0.2">
      <c r="CQ214" s="111"/>
      <c r="DC214" s="112"/>
    </row>
    <row r="215" spans="95:107" ht="15.75" customHeight="1" x14ac:dyDescent="0.2">
      <c r="CQ215" s="111"/>
      <c r="DC215" s="112"/>
    </row>
    <row r="216" spans="95:107" ht="15.75" customHeight="1" x14ac:dyDescent="0.2">
      <c r="CQ216" s="111"/>
      <c r="DC216" s="112"/>
    </row>
    <row r="217" spans="95:107" ht="15.75" customHeight="1" x14ac:dyDescent="0.2">
      <c r="CQ217" s="111"/>
      <c r="DC217" s="112"/>
    </row>
    <row r="218" spans="95:107" ht="15.75" customHeight="1" x14ac:dyDescent="0.2">
      <c r="CQ218" s="111"/>
      <c r="DC218" s="112"/>
    </row>
    <row r="219" spans="95:107" ht="15.75" customHeight="1" x14ac:dyDescent="0.2">
      <c r="CQ219" s="111"/>
      <c r="DC219" s="112"/>
    </row>
    <row r="220" spans="95:107" ht="15.75" customHeight="1" x14ac:dyDescent="0.2">
      <c r="CQ220" s="111"/>
      <c r="DC220" s="112"/>
    </row>
    <row r="221" spans="95:107" ht="15.75" customHeight="1" x14ac:dyDescent="0.2">
      <c r="CQ221" s="111"/>
      <c r="DC221" s="112"/>
    </row>
    <row r="222" spans="95:107" ht="15.75" customHeight="1" x14ac:dyDescent="0.2">
      <c r="CQ222" s="111"/>
      <c r="DC222" s="112"/>
    </row>
    <row r="223" spans="95:107" ht="15.75" customHeight="1" x14ac:dyDescent="0.2">
      <c r="CQ223" s="111"/>
      <c r="DC223" s="112"/>
    </row>
    <row r="224" spans="95:107" ht="15.75" customHeight="1" x14ac:dyDescent="0.2">
      <c r="CQ224" s="111"/>
      <c r="DC224" s="112"/>
    </row>
    <row r="225" spans="95:107" ht="15.75" customHeight="1" x14ac:dyDescent="0.2">
      <c r="CQ225" s="111"/>
      <c r="DC225" s="112"/>
    </row>
    <row r="226" spans="95:107" ht="15.75" customHeight="1" x14ac:dyDescent="0.2">
      <c r="CQ226" s="111"/>
      <c r="DC226" s="112"/>
    </row>
    <row r="227" spans="95:107" ht="15.75" customHeight="1" x14ac:dyDescent="0.2">
      <c r="CQ227" s="111"/>
      <c r="DC227" s="112"/>
    </row>
    <row r="228" spans="95:107" ht="15.75" customHeight="1" x14ac:dyDescent="0.2">
      <c r="CQ228" s="111"/>
      <c r="DC228" s="112"/>
    </row>
    <row r="229" spans="95:107" ht="15.75" customHeight="1" x14ac:dyDescent="0.2">
      <c r="CQ229" s="111"/>
      <c r="DC229" s="112"/>
    </row>
    <row r="230" spans="95:107" ht="15.75" customHeight="1" x14ac:dyDescent="0.2">
      <c r="CQ230" s="111"/>
      <c r="DC230" s="112"/>
    </row>
    <row r="231" spans="95:107" ht="15.75" customHeight="1" x14ac:dyDescent="0.2">
      <c r="CQ231" s="111"/>
      <c r="DC231" s="112"/>
    </row>
    <row r="232" spans="95:107" ht="15.75" customHeight="1" x14ac:dyDescent="0.2">
      <c r="CQ232" s="111"/>
      <c r="DC232" s="112"/>
    </row>
    <row r="233" spans="95:107" ht="15.75" customHeight="1" x14ac:dyDescent="0.2">
      <c r="CQ233" s="111"/>
      <c r="DC233" s="112"/>
    </row>
    <row r="234" spans="95:107" ht="15.75" customHeight="1" x14ac:dyDescent="0.2">
      <c r="CQ234" s="111"/>
      <c r="DC234" s="112"/>
    </row>
    <row r="235" spans="95:107" ht="15.75" customHeight="1" x14ac:dyDescent="0.2">
      <c r="CQ235" s="111"/>
      <c r="DC235" s="112"/>
    </row>
    <row r="236" spans="95:107" ht="15.75" customHeight="1" x14ac:dyDescent="0.2">
      <c r="CQ236" s="111"/>
      <c r="DC236" s="112"/>
    </row>
    <row r="237" spans="95:107" ht="15.75" customHeight="1" x14ac:dyDescent="0.2">
      <c r="CQ237" s="111"/>
      <c r="DC237" s="112"/>
    </row>
    <row r="238" spans="95:107" ht="15.75" customHeight="1" x14ac:dyDescent="0.2">
      <c r="CQ238" s="111"/>
      <c r="DC238" s="112"/>
    </row>
    <row r="239" spans="95:107" ht="15.75" customHeight="1" x14ac:dyDescent="0.2">
      <c r="CQ239" s="111"/>
      <c r="DC239" s="112"/>
    </row>
    <row r="240" spans="95:107" ht="15.75" customHeight="1" x14ac:dyDescent="0.2">
      <c r="CQ240" s="111"/>
      <c r="DC240" s="112"/>
    </row>
    <row r="241" spans="95:107" ht="15.75" customHeight="1" x14ac:dyDescent="0.2">
      <c r="CQ241" s="111"/>
      <c r="DC241" s="112"/>
    </row>
    <row r="242" spans="95:107" ht="15.75" customHeight="1" x14ac:dyDescent="0.2">
      <c r="CQ242" s="111"/>
      <c r="DC242" s="112"/>
    </row>
    <row r="243" spans="95:107" ht="15.75" customHeight="1" x14ac:dyDescent="0.2">
      <c r="CQ243" s="111"/>
      <c r="DC243" s="112"/>
    </row>
    <row r="244" spans="95:107" ht="15.75" customHeight="1" x14ac:dyDescent="0.2">
      <c r="CQ244" s="111"/>
      <c r="DC244" s="112"/>
    </row>
    <row r="245" spans="95:107" ht="15.75" customHeight="1" x14ac:dyDescent="0.2">
      <c r="CQ245" s="111"/>
      <c r="DC245" s="112"/>
    </row>
    <row r="246" spans="95:107" ht="15.75" customHeight="1" x14ac:dyDescent="0.2">
      <c r="CQ246" s="111"/>
      <c r="DC246" s="112"/>
    </row>
    <row r="247" spans="95:107" ht="15.75" customHeight="1" x14ac:dyDescent="0.2">
      <c r="CQ247" s="111"/>
      <c r="DC247" s="112"/>
    </row>
    <row r="248" spans="95:107" ht="15.75" customHeight="1" x14ac:dyDescent="0.2">
      <c r="CQ248" s="111"/>
      <c r="DC248" s="112"/>
    </row>
    <row r="249" spans="95:107" ht="15.75" customHeight="1" x14ac:dyDescent="0.2">
      <c r="CQ249" s="111"/>
      <c r="DC249" s="112"/>
    </row>
    <row r="250" spans="95:107" ht="15.75" customHeight="1" x14ac:dyDescent="0.2">
      <c r="CQ250" s="111"/>
      <c r="DC250" s="112"/>
    </row>
    <row r="251" spans="95:107" ht="15.75" customHeight="1" x14ac:dyDescent="0.2">
      <c r="CQ251" s="111"/>
      <c r="DC251" s="112"/>
    </row>
    <row r="252" spans="95:107" ht="15.75" customHeight="1" x14ac:dyDescent="0.2">
      <c r="CQ252" s="111"/>
      <c r="DC252" s="112"/>
    </row>
    <row r="253" spans="95:107" ht="15.75" customHeight="1" x14ac:dyDescent="0.2">
      <c r="CQ253" s="111"/>
      <c r="DC253" s="112"/>
    </row>
    <row r="254" spans="95:107" ht="15.75" customHeight="1" x14ac:dyDescent="0.2">
      <c r="CQ254" s="111"/>
      <c r="DC254" s="112"/>
    </row>
    <row r="255" spans="95:107" ht="15.75" customHeight="1" x14ac:dyDescent="0.2">
      <c r="CQ255" s="111"/>
      <c r="DC255" s="112"/>
    </row>
    <row r="256" spans="95:107" ht="15.75" customHeight="1" x14ac:dyDescent="0.2">
      <c r="CQ256" s="111"/>
      <c r="DC256" s="112"/>
    </row>
    <row r="257" spans="95:107" ht="15.75" customHeight="1" x14ac:dyDescent="0.2">
      <c r="CQ257" s="111"/>
      <c r="DC257" s="112"/>
    </row>
    <row r="258" spans="95:107" ht="15.75" customHeight="1" x14ac:dyDescent="0.2">
      <c r="CQ258" s="111"/>
      <c r="DC258" s="112"/>
    </row>
    <row r="259" spans="95:107" ht="15.75" customHeight="1" x14ac:dyDescent="0.2">
      <c r="CQ259" s="111"/>
      <c r="DC259" s="112"/>
    </row>
    <row r="260" spans="95:107" ht="15.75" customHeight="1" x14ac:dyDescent="0.2">
      <c r="CQ260" s="111"/>
      <c r="DC260" s="112"/>
    </row>
    <row r="261" spans="95:107" ht="15.75" customHeight="1" x14ac:dyDescent="0.2">
      <c r="CQ261" s="111"/>
      <c r="DC261" s="112"/>
    </row>
    <row r="262" spans="95:107" ht="15.75" customHeight="1" x14ac:dyDescent="0.2">
      <c r="CQ262" s="111"/>
      <c r="DC262" s="112"/>
    </row>
    <row r="263" spans="95:107" ht="15.75" customHeight="1" x14ac:dyDescent="0.2">
      <c r="CQ263" s="111"/>
      <c r="DC263" s="112"/>
    </row>
    <row r="264" spans="95:107" ht="15.75" customHeight="1" x14ac:dyDescent="0.2">
      <c r="CQ264" s="111"/>
      <c r="DC264" s="112"/>
    </row>
    <row r="265" spans="95:107" ht="15.75" customHeight="1" x14ac:dyDescent="0.2">
      <c r="CQ265" s="111"/>
      <c r="DC265" s="112"/>
    </row>
    <row r="266" spans="95:107" ht="15.75" customHeight="1" x14ac:dyDescent="0.2">
      <c r="CQ266" s="111"/>
      <c r="DC266" s="112"/>
    </row>
    <row r="267" spans="95:107" ht="15.75" customHeight="1" x14ac:dyDescent="0.2">
      <c r="CQ267" s="111"/>
      <c r="DC267" s="112"/>
    </row>
    <row r="268" spans="95:107" ht="15.75" customHeight="1" x14ac:dyDescent="0.2">
      <c r="CQ268" s="111"/>
      <c r="DC268" s="112"/>
    </row>
    <row r="269" spans="95:107" ht="15.75" customHeight="1" x14ac:dyDescent="0.2">
      <c r="CQ269" s="111"/>
      <c r="DC269" s="112"/>
    </row>
    <row r="270" spans="95:107" ht="15.75" customHeight="1" x14ac:dyDescent="0.2">
      <c r="CQ270" s="111"/>
      <c r="DC270" s="112"/>
    </row>
    <row r="271" spans="95:107" ht="15.75" customHeight="1" x14ac:dyDescent="0.2">
      <c r="CQ271" s="111"/>
      <c r="DC271" s="112"/>
    </row>
    <row r="272" spans="95:107" ht="15.75" customHeight="1" x14ac:dyDescent="0.2">
      <c r="CQ272" s="111"/>
      <c r="DC272" s="112"/>
    </row>
    <row r="273" spans="95:107" ht="15.75" customHeight="1" x14ac:dyDescent="0.2">
      <c r="CQ273" s="111"/>
      <c r="DC273" s="112"/>
    </row>
    <row r="274" spans="95:107" ht="15.75" customHeight="1" x14ac:dyDescent="0.2">
      <c r="CQ274" s="111"/>
      <c r="DC274" s="112"/>
    </row>
    <row r="275" spans="95:107" ht="15.75" customHeight="1" x14ac:dyDescent="0.2">
      <c r="CQ275" s="111"/>
      <c r="DC275" s="112"/>
    </row>
    <row r="276" spans="95:107" ht="15.75" customHeight="1" x14ac:dyDescent="0.2">
      <c r="CQ276" s="111"/>
      <c r="DC276" s="112"/>
    </row>
    <row r="277" spans="95:107" ht="15.75" customHeight="1" x14ac:dyDescent="0.2">
      <c r="CQ277" s="111"/>
      <c r="DC277" s="112"/>
    </row>
    <row r="278" spans="95:107" ht="15.75" customHeight="1" x14ac:dyDescent="0.2">
      <c r="CQ278" s="111"/>
      <c r="DC278" s="112"/>
    </row>
    <row r="279" spans="95:107" ht="15.75" customHeight="1" x14ac:dyDescent="0.2">
      <c r="CQ279" s="111"/>
      <c r="DC279" s="112"/>
    </row>
    <row r="280" spans="95:107" ht="15.75" customHeight="1" x14ac:dyDescent="0.2">
      <c r="CQ280" s="111"/>
      <c r="DC280" s="112"/>
    </row>
    <row r="281" spans="95:107" ht="15.75" customHeight="1" x14ac:dyDescent="0.2">
      <c r="CQ281" s="111"/>
      <c r="DC281" s="112"/>
    </row>
    <row r="282" spans="95:107" ht="15.75" customHeight="1" x14ac:dyDescent="0.2">
      <c r="CQ282" s="111"/>
      <c r="DC282" s="112"/>
    </row>
    <row r="283" spans="95:107" ht="15.75" customHeight="1" x14ac:dyDescent="0.2">
      <c r="CQ283" s="111"/>
      <c r="DC283" s="112"/>
    </row>
    <row r="284" spans="95:107" ht="15.75" customHeight="1" x14ac:dyDescent="0.2">
      <c r="CQ284" s="111"/>
      <c r="DC284" s="112"/>
    </row>
    <row r="285" spans="95:107" ht="15.75" customHeight="1" x14ac:dyDescent="0.2">
      <c r="CQ285" s="111"/>
      <c r="DC285" s="112"/>
    </row>
    <row r="286" spans="95:107" ht="15.75" customHeight="1" x14ac:dyDescent="0.2">
      <c r="CQ286" s="111"/>
      <c r="DC286" s="112"/>
    </row>
    <row r="287" spans="95:107" ht="15.75" customHeight="1" x14ac:dyDescent="0.2">
      <c r="CQ287" s="111"/>
      <c r="DC287" s="112"/>
    </row>
    <row r="288" spans="95:107" ht="15.75" customHeight="1" x14ac:dyDescent="0.2">
      <c r="CQ288" s="111"/>
      <c r="DC288" s="112"/>
    </row>
    <row r="289" spans="95:107" ht="15.75" customHeight="1" x14ac:dyDescent="0.2">
      <c r="CQ289" s="111"/>
      <c r="DC289" s="112"/>
    </row>
    <row r="290" spans="95:107" ht="15.75" customHeight="1" x14ac:dyDescent="0.2">
      <c r="CQ290" s="111"/>
      <c r="DC290" s="112"/>
    </row>
    <row r="291" spans="95:107" ht="15.75" customHeight="1" x14ac:dyDescent="0.2">
      <c r="CQ291" s="111"/>
      <c r="DC291" s="112"/>
    </row>
    <row r="292" spans="95:107" ht="15.75" customHeight="1" x14ac:dyDescent="0.2">
      <c r="CQ292" s="111"/>
      <c r="DC292" s="112"/>
    </row>
    <row r="293" spans="95:107" ht="15.75" customHeight="1" x14ac:dyDescent="0.2">
      <c r="CQ293" s="111"/>
      <c r="DC293" s="112"/>
    </row>
    <row r="294" spans="95:107" ht="15.75" customHeight="1" x14ac:dyDescent="0.2">
      <c r="CQ294" s="111"/>
      <c r="DC294" s="112"/>
    </row>
    <row r="295" spans="95:107" ht="15.75" customHeight="1" x14ac:dyDescent="0.2">
      <c r="CQ295" s="111"/>
      <c r="DC295" s="112"/>
    </row>
    <row r="296" spans="95:107" ht="15.75" customHeight="1" x14ac:dyDescent="0.2">
      <c r="CQ296" s="111"/>
      <c r="DC296" s="112"/>
    </row>
    <row r="297" spans="95:107" ht="15.75" customHeight="1" x14ac:dyDescent="0.2">
      <c r="CQ297" s="111"/>
      <c r="DC297" s="112"/>
    </row>
    <row r="298" spans="95:107" ht="15.75" customHeight="1" x14ac:dyDescent="0.2">
      <c r="CQ298" s="111"/>
      <c r="DC298" s="112"/>
    </row>
    <row r="299" spans="95:107" ht="15.75" customHeight="1" x14ac:dyDescent="0.2">
      <c r="CQ299" s="111"/>
      <c r="DC299" s="112"/>
    </row>
    <row r="300" spans="95:107" ht="15.75" customHeight="1" x14ac:dyDescent="0.2">
      <c r="CQ300" s="111"/>
      <c r="DC300" s="112"/>
    </row>
    <row r="301" spans="95:107" ht="15.75" customHeight="1" x14ac:dyDescent="0.2">
      <c r="CQ301" s="111"/>
      <c r="DC301" s="112"/>
    </row>
    <row r="302" spans="95:107" ht="15.75" customHeight="1" x14ac:dyDescent="0.2">
      <c r="CQ302" s="111"/>
      <c r="DC302" s="112"/>
    </row>
    <row r="303" spans="95:107" ht="15.75" customHeight="1" x14ac:dyDescent="0.2">
      <c r="CQ303" s="111"/>
      <c r="DC303" s="112"/>
    </row>
    <row r="304" spans="95:107" ht="15.75" customHeight="1" x14ac:dyDescent="0.2">
      <c r="CQ304" s="111"/>
      <c r="DC304" s="112"/>
    </row>
    <row r="305" spans="95:107" ht="15.75" customHeight="1" x14ac:dyDescent="0.2">
      <c r="CQ305" s="111"/>
      <c r="DC305" s="112"/>
    </row>
    <row r="306" spans="95:107" ht="15.75" customHeight="1" x14ac:dyDescent="0.2">
      <c r="CQ306" s="111"/>
      <c r="DC306" s="112"/>
    </row>
    <row r="307" spans="95:107" ht="15.75" customHeight="1" x14ac:dyDescent="0.2">
      <c r="CQ307" s="111"/>
      <c r="DC307" s="112"/>
    </row>
    <row r="308" spans="95:107" ht="15.75" customHeight="1" x14ac:dyDescent="0.2">
      <c r="CQ308" s="111"/>
      <c r="DC308" s="112"/>
    </row>
    <row r="309" spans="95:107" ht="15.75" customHeight="1" x14ac:dyDescent="0.2">
      <c r="CQ309" s="111"/>
      <c r="DC309" s="112"/>
    </row>
    <row r="310" spans="95:107" ht="15.75" customHeight="1" x14ac:dyDescent="0.2">
      <c r="CQ310" s="111"/>
      <c r="DC310" s="112"/>
    </row>
    <row r="311" spans="95:107" ht="15.75" customHeight="1" x14ac:dyDescent="0.2">
      <c r="CQ311" s="111"/>
      <c r="DC311" s="112"/>
    </row>
    <row r="312" spans="95:107" ht="15.75" customHeight="1" x14ac:dyDescent="0.2">
      <c r="CQ312" s="111"/>
      <c r="DC312" s="112"/>
    </row>
    <row r="313" spans="95:107" ht="15.75" customHeight="1" x14ac:dyDescent="0.2">
      <c r="CQ313" s="111"/>
      <c r="DC313" s="112"/>
    </row>
    <row r="314" spans="95:107" ht="15.75" customHeight="1" x14ac:dyDescent="0.2">
      <c r="CQ314" s="111"/>
      <c r="DC314" s="112"/>
    </row>
    <row r="315" spans="95:107" ht="15.75" customHeight="1" x14ac:dyDescent="0.2">
      <c r="CQ315" s="111"/>
      <c r="DC315" s="112"/>
    </row>
    <row r="316" spans="95:107" ht="15.75" customHeight="1" x14ac:dyDescent="0.2">
      <c r="CQ316" s="111"/>
      <c r="DC316" s="112"/>
    </row>
    <row r="317" spans="95:107" ht="15.75" customHeight="1" x14ac:dyDescent="0.2">
      <c r="CQ317" s="111"/>
      <c r="DC317" s="112"/>
    </row>
    <row r="318" spans="95:107" ht="15.75" customHeight="1" x14ac:dyDescent="0.2">
      <c r="CQ318" s="111"/>
      <c r="DC318" s="112"/>
    </row>
    <row r="319" spans="95:107" ht="15.75" customHeight="1" x14ac:dyDescent="0.2">
      <c r="CQ319" s="111"/>
      <c r="DC319" s="112"/>
    </row>
    <row r="320" spans="95:107" ht="15.75" customHeight="1" x14ac:dyDescent="0.2">
      <c r="CQ320" s="111"/>
      <c r="DC320" s="112"/>
    </row>
    <row r="321" spans="95:107" ht="15.75" customHeight="1" x14ac:dyDescent="0.2">
      <c r="CQ321" s="111"/>
      <c r="DC321" s="112"/>
    </row>
    <row r="322" spans="95:107" ht="15.75" customHeight="1" x14ac:dyDescent="0.2">
      <c r="CQ322" s="111"/>
      <c r="DC322" s="112"/>
    </row>
    <row r="323" spans="95:107" ht="15.75" customHeight="1" x14ac:dyDescent="0.2">
      <c r="CQ323" s="111"/>
      <c r="DC323" s="112"/>
    </row>
    <row r="324" spans="95:107" ht="15.75" customHeight="1" x14ac:dyDescent="0.2">
      <c r="CQ324" s="111"/>
      <c r="DC324" s="112"/>
    </row>
    <row r="325" spans="95:107" ht="15.75" customHeight="1" x14ac:dyDescent="0.2">
      <c r="CQ325" s="111"/>
      <c r="DC325" s="112"/>
    </row>
    <row r="326" spans="95:107" ht="15.75" customHeight="1" x14ac:dyDescent="0.2">
      <c r="CQ326" s="111"/>
      <c r="DC326" s="112"/>
    </row>
    <row r="327" spans="95:107" ht="15.75" customHeight="1" x14ac:dyDescent="0.2">
      <c r="CQ327" s="111"/>
      <c r="DC327" s="112"/>
    </row>
    <row r="328" spans="95:107" ht="15.75" customHeight="1" x14ac:dyDescent="0.2">
      <c r="CQ328" s="111"/>
      <c r="DC328" s="112"/>
    </row>
    <row r="329" spans="95:107" ht="15.75" customHeight="1" x14ac:dyDescent="0.2">
      <c r="CQ329" s="111"/>
      <c r="DC329" s="112"/>
    </row>
    <row r="330" spans="95:107" ht="15.75" customHeight="1" x14ac:dyDescent="0.2">
      <c r="CQ330" s="111"/>
      <c r="DC330" s="112"/>
    </row>
    <row r="331" spans="95:107" ht="15.75" customHeight="1" x14ac:dyDescent="0.2">
      <c r="CQ331" s="111"/>
      <c r="DC331" s="112"/>
    </row>
    <row r="332" spans="95:107" ht="15.75" customHeight="1" x14ac:dyDescent="0.2">
      <c r="CQ332" s="111"/>
      <c r="DC332" s="112"/>
    </row>
    <row r="333" spans="95:107" ht="15.75" customHeight="1" x14ac:dyDescent="0.2">
      <c r="CQ333" s="111"/>
      <c r="DC333" s="112"/>
    </row>
    <row r="334" spans="95:107" ht="15.75" customHeight="1" x14ac:dyDescent="0.2">
      <c r="CQ334" s="111"/>
      <c r="DC334" s="112"/>
    </row>
    <row r="335" spans="95:107" ht="15.75" customHeight="1" x14ac:dyDescent="0.2">
      <c r="CQ335" s="111"/>
      <c r="DC335" s="112"/>
    </row>
    <row r="336" spans="95:107" ht="15.75" customHeight="1" x14ac:dyDescent="0.2">
      <c r="CQ336" s="111"/>
      <c r="DC336" s="112"/>
    </row>
    <row r="337" spans="95:107" ht="15.75" customHeight="1" x14ac:dyDescent="0.2">
      <c r="CQ337" s="111"/>
      <c r="DC337" s="112"/>
    </row>
    <row r="338" spans="95:107" ht="15.75" customHeight="1" x14ac:dyDescent="0.2">
      <c r="CQ338" s="111"/>
      <c r="DC338" s="112"/>
    </row>
    <row r="339" spans="95:107" ht="15.75" customHeight="1" x14ac:dyDescent="0.2">
      <c r="CQ339" s="111"/>
      <c r="DC339" s="112"/>
    </row>
    <row r="340" spans="95:107" ht="15.75" customHeight="1" x14ac:dyDescent="0.2">
      <c r="CQ340" s="111"/>
      <c r="DC340" s="112"/>
    </row>
    <row r="341" spans="95:107" ht="15.75" customHeight="1" x14ac:dyDescent="0.2">
      <c r="CQ341" s="111"/>
      <c r="DC341" s="112"/>
    </row>
    <row r="342" spans="95:107" ht="15.75" customHeight="1" x14ac:dyDescent="0.2">
      <c r="CQ342" s="111"/>
      <c r="DC342" s="112"/>
    </row>
    <row r="343" spans="95:107" ht="15.75" customHeight="1" x14ac:dyDescent="0.2">
      <c r="CQ343" s="111"/>
      <c r="DC343" s="112"/>
    </row>
    <row r="344" spans="95:107" ht="15.75" customHeight="1" x14ac:dyDescent="0.2">
      <c r="CQ344" s="111"/>
      <c r="DC344" s="112"/>
    </row>
    <row r="345" spans="95:107" ht="15.75" customHeight="1" x14ac:dyDescent="0.2">
      <c r="CQ345" s="111"/>
      <c r="DC345" s="112"/>
    </row>
    <row r="346" spans="95:107" ht="15.75" customHeight="1" x14ac:dyDescent="0.2">
      <c r="CQ346" s="111"/>
      <c r="DC346" s="112"/>
    </row>
    <row r="347" spans="95:107" ht="15.75" customHeight="1" x14ac:dyDescent="0.2">
      <c r="CQ347" s="111"/>
      <c r="DC347" s="112"/>
    </row>
    <row r="348" spans="95:107" ht="15.75" customHeight="1" x14ac:dyDescent="0.2">
      <c r="CQ348" s="111"/>
      <c r="DC348" s="112"/>
    </row>
    <row r="349" spans="95:107" ht="15.75" customHeight="1" x14ac:dyDescent="0.2">
      <c r="CQ349" s="111"/>
      <c r="DC349" s="112"/>
    </row>
    <row r="350" spans="95:107" ht="15.75" customHeight="1" x14ac:dyDescent="0.2">
      <c r="CQ350" s="111"/>
      <c r="DC350" s="112"/>
    </row>
    <row r="351" spans="95:107" ht="15.75" customHeight="1" x14ac:dyDescent="0.2">
      <c r="CQ351" s="111"/>
      <c r="DC351" s="112"/>
    </row>
    <row r="352" spans="95:107" ht="15.75" customHeight="1" x14ac:dyDescent="0.2">
      <c r="CQ352" s="111"/>
      <c r="DC352" s="112"/>
    </row>
    <row r="353" spans="95:107" ht="15.75" customHeight="1" x14ac:dyDescent="0.2">
      <c r="CQ353" s="111"/>
      <c r="DC353" s="112"/>
    </row>
    <row r="354" spans="95:107" ht="15.75" customHeight="1" x14ac:dyDescent="0.2">
      <c r="CQ354" s="111"/>
      <c r="DC354" s="112"/>
    </row>
    <row r="355" spans="95:107" ht="15.75" customHeight="1" x14ac:dyDescent="0.2">
      <c r="CQ355" s="111"/>
      <c r="DC355" s="112"/>
    </row>
    <row r="356" spans="95:107" ht="15.75" customHeight="1" x14ac:dyDescent="0.2">
      <c r="CQ356" s="111"/>
      <c r="DC356" s="112"/>
    </row>
    <row r="357" spans="95:107" ht="15.75" customHeight="1" x14ac:dyDescent="0.2">
      <c r="CQ357" s="111"/>
      <c r="DC357" s="112"/>
    </row>
    <row r="358" spans="95:107" ht="15.75" customHeight="1" x14ac:dyDescent="0.2">
      <c r="CQ358" s="111"/>
      <c r="DC358" s="112"/>
    </row>
    <row r="359" spans="95:107" ht="15.75" customHeight="1" x14ac:dyDescent="0.2">
      <c r="CQ359" s="111"/>
      <c r="DC359" s="112"/>
    </row>
    <row r="360" spans="95:107" ht="15.75" customHeight="1" x14ac:dyDescent="0.2">
      <c r="CQ360" s="111"/>
      <c r="DC360" s="112"/>
    </row>
    <row r="361" spans="95:107" ht="15.75" customHeight="1" x14ac:dyDescent="0.2">
      <c r="CQ361" s="111"/>
      <c r="DC361" s="112"/>
    </row>
    <row r="362" spans="95:107" ht="15.75" customHeight="1" x14ac:dyDescent="0.2">
      <c r="CQ362" s="111"/>
      <c r="DC362" s="112"/>
    </row>
    <row r="363" spans="95:107" ht="15.75" customHeight="1" x14ac:dyDescent="0.2">
      <c r="CQ363" s="111"/>
      <c r="DC363" s="112"/>
    </row>
    <row r="364" spans="95:107" ht="15.75" customHeight="1" x14ac:dyDescent="0.2">
      <c r="CQ364" s="111"/>
      <c r="DC364" s="112"/>
    </row>
    <row r="365" spans="95:107" ht="15.75" customHeight="1" x14ac:dyDescent="0.2">
      <c r="CQ365" s="111"/>
      <c r="DC365" s="112"/>
    </row>
    <row r="366" spans="95:107" ht="15.75" customHeight="1" x14ac:dyDescent="0.2">
      <c r="CQ366" s="111"/>
      <c r="DC366" s="112"/>
    </row>
    <row r="367" spans="95:107" ht="15.75" customHeight="1" x14ac:dyDescent="0.2">
      <c r="CQ367" s="111"/>
      <c r="DC367" s="112"/>
    </row>
    <row r="368" spans="95:107" ht="15.75" customHeight="1" x14ac:dyDescent="0.2">
      <c r="CQ368" s="111"/>
      <c r="DC368" s="112"/>
    </row>
    <row r="369" spans="95:107" ht="15.75" customHeight="1" x14ac:dyDescent="0.2">
      <c r="CQ369" s="111"/>
      <c r="DC369" s="112"/>
    </row>
    <row r="370" spans="95:107" ht="15.75" customHeight="1" x14ac:dyDescent="0.2">
      <c r="CQ370" s="111"/>
      <c r="DC370" s="112"/>
    </row>
    <row r="371" spans="95:107" ht="15.75" customHeight="1" x14ac:dyDescent="0.2">
      <c r="CQ371" s="111"/>
      <c r="DC371" s="112"/>
    </row>
    <row r="372" spans="95:107" ht="15.75" customHeight="1" x14ac:dyDescent="0.2">
      <c r="CQ372" s="111"/>
      <c r="DC372" s="112"/>
    </row>
    <row r="373" spans="95:107" ht="15.75" customHeight="1" x14ac:dyDescent="0.2">
      <c r="CQ373" s="111"/>
      <c r="DC373" s="112"/>
    </row>
    <row r="374" spans="95:107" ht="15.75" customHeight="1" x14ac:dyDescent="0.2">
      <c r="CQ374" s="111"/>
      <c r="DC374" s="112"/>
    </row>
    <row r="375" spans="95:107" ht="15.75" customHeight="1" x14ac:dyDescent="0.2">
      <c r="CQ375" s="111"/>
      <c r="DC375" s="112"/>
    </row>
    <row r="376" spans="95:107" ht="15.75" customHeight="1" x14ac:dyDescent="0.2">
      <c r="CQ376" s="111"/>
      <c r="DC376" s="112"/>
    </row>
    <row r="377" spans="95:107" ht="15.75" customHeight="1" x14ac:dyDescent="0.2">
      <c r="CQ377" s="111"/>
      <c r="DC377" s="112"/>
    </row>
    <row r="378" spans="95:107" ht="15.75" customHeight="1" x14ac:dyDescent="0.2">
      <c r="CQ378" s="111"/>
      <c r="DC378" s="112"/>
    </row>
    <row r="379" spans="95:107" ht="15.75" customHeight="1" x14ac:dyDescent="0.2">
      <c r="CQ379" s="111"/>
      <c r="DC379" s="112"/>
    </row>
    <row r="380" spans="95:107" ht="15.75" customHeight="1" x14ac:dyDescent="0.2">
      <c r="CQ380" s="111"/>
      <c r="DC380" s="112"/>
    </row>
    <row r="381" spans="95:107" ht="15.75" customHeight="1" x14ac:dyDescent="0.2">
      <c r="CQ381" s="111"/>
      <c r="DC381" s="112"/>
    </row>
    <row r="382" spans="95:107" ht="15.75" customHeight="1" x14ac:dyDescent="0.2">
      <c r="CQ382" s="111"/>
      <c r="DC382" s="112"/>
    </row>
    <row r="383" spans="95:107" ht="15.75" customHeight="1" x14ac:dyDescent="0.2">
      <c r="CQ383" s="111"/>
      <c r="DC383" s="112"/>
    </row>
    <row r="384" spans="95:107" ht="15.75" customHeight="1" x14ac:dyDescent="0.2">
      <c r="CQ384" s="111"/>
      <c r="DC384" s="112"/>
    </row>
    <row r="385" spans="95:107" ht="15.75" customHeight="1" x14ac:dyDescent="0.2">
      <c r="CQ385" s="111"/>
      <c r="DC385" s="112"/>
    </row>
    <row r="386" spans="95:107" ht="15.75" customHeight="1" x14ac:dyDescent="0.2">
      <c r="CQ386" s="111"/>
      <c r="DC386" s="112"/>
    </row>
    <row r="387" spans="95:107" ht="15.75" customHeight="1" x14ac:dyDescent="0.2">
      <c r="CQ387" s="111"/>
      <c r="DC387" s="112"/>
    </row>
    <row r="388" spans="95:107" ht="15.75" customHeight="1" x14ac:dyDescent="0.2">
      <c r="CQ388" s="111"/>
      <c r="DC388" s="112"/>
    </row>
    <row r="389" spans="95:107" ht="15.75" customHeight="1" x14ac:dyDescent="0.2">
      <c r="CQ389" s="111"/>
      <c r="DC389" s="112"/>
    </row>
    <row r="390" spans="95:107" ht="15.75" customHeight="1" x14ac:dyDescent="0.2">
      <c r="CQ390" s="111"/>
      <c r="DC390" s="112"/>
    </row>
    <row r="391" spans="95:107" ht="15.75" customHeight="1" x14ac:dyDescent="0.2">
      <c r="CQ391" s="111"/>
      <c r="DC391" s="112"/>
    </row>
    <row r="392" spans="95:107" ht="15.75" customHeight="1" x14ac:dyDescent="0.2">
      <c r="CQ392" s="111"/>
      <c r="DC392" s="112"/>
    </row>
    <row r="393" spans="95:107" ht="15.75" customHeight="1" x14ac:dyDescent="0.2">
      <c r="CQ393" s="111"/>
      <c r="DC393" s="112"/>
    </row>
    <row r="394" spans="95:107" ht="15.75" customHeight="1" x14ac:dyDescent="0.2">
      <c r="CQ394" s="111"/>
      <c r="DC394" s="112"/>
    </row>
    <row r="395" spans="95:107" ht="15.75" customHeight="1" x14ac:dyDescent="0.2">
      <c r="CQ395" s="111"/>
      <c r="DC395" s="112"/>
    </row>
    <row r="396" spans="95:107" ht="15.75" customHeight="1" x14ac:dyDescent="0.2">
      <c r="CQ396" s="111"/>
      <c r="DC396" s="112"/>
    </row>
    <row r="397" spans="95:107" ht="15.75" customHeight="1" x14ac:dyDescent="0.2">
      <c r="CQ397" s="111"/>
      <c r="DC397" s="112"/>
    </row>
    <row r="398" spans="95:107" ht="15.75" customHeight="1" x14ac:dyDescent="0.2">
      <c r="CQ398" s="111"/>
      <c r="DC398" s="112"/>
    </row>
    <row r="399" spans="95:107" ht="15.75" customHeight="1" x14ac:dyDescent="0.2">
      <c r="CQ399" s="111"/>
      <c r="DC399" s="112"/>
    </row>
    <row r="400" spans="95:107" ht="15.75" customHeight="1" x14ac:dyDescent="0.2">
      <c r="CQ400" s="111"/>
      <c r="DC400" s="112"/>
    </row>
    <row r="401" spans="95:107" ht="15.75" customHeight="1" x14ac:dyDescent="0.2">
      <c r="CQ401" s="111"/>
      <c r="DC401" s="112"/>
    </row>
    <row r="402" spans="95:107" ht="15.75" customHeight="1" x14ac:dyDescent="0.2">
      <c r="CQ402" s="111"/>
      <c r="DC402" s="112"/>
    </row>
    <row r="403" spans="95:107" ht="15.75" customHeight="1" x14ac:dyDescent="0.2">
      <c r="CQ403" s="111"/>
      <c r="DC403" s="112"/>
    </row>
    <row r="404" spans="95:107" ht="15.75" customHeight="1" x14ac:dyDescent="0.2">
      <c r="CQ404" s="111"/>
      <c r="DC404" s="112"/>
    </row>
    <row r="405" spans="95:107" ht="15.75" customHeight="1" x14ac:dyDescent="0.2">
      <c r="CQ405" s="111"/>
      <c r="DC405" s="112"/>
    </row>
    <row r="406" spans="95:107" ht="15.75" customHeight="1" x14ac:dyDescent="0.2">
      <c r="CQ406" s="111"/>
      <c r="DC406" s="112"/>
    </row>
    <row r="407" spans="95:107" ht="15.75" customHeight="1" x14ac:dyDescent="0.2">
      <c r="CQ407" s="111"/>
      <c r="DC407" s="112"/>
    </row>
    <row r="408" spans="95:107" ht="15.75" customHeight="1" x14ac:dyDescent="0.2">
      <c r="CQ408" s="111"/>
      <c r="DC408" s="112"/>
    </row>
    <row r="409" spans="95:107" ht="15.75" customHeight="1" x14ac:dyDescent="0.2">
      <c r="CQ409" s="111"/>
      <c r="DC409" s="112"/>
    </row>
    <row r="410" spans="95:107" ht="15.75" customHeight="1" x14ac:dyDescent="0.2">
      <c r="CQ410" s="111"/>
      <c r="DC410" s="112"/>
    </row>
    <row r="411" spans="95:107" ht="15.75" customHeight="1" x14ac:dyDescent="0.2">
      <c r="CQ411" s="111"/>
      <c r="DC411" s="112"/>
    </row>
    <row r="412" spans="95:107" ht="15.75" customHeight="1" x14ac:dyDescent="0.2">
      <c r="CQ412" s="111"/>
      <c r="DC412" s="112"/>
    </row>
    <row r="413" spans="95:107" ht="15.75" customHeight="1" x14ac:dyDescent="0.2">
      <c r="CQ413" s="111"/>
      <c r="DC413" s="112"/>
    </row>
    <row r="414" spans="95:107" ht="15.75" customHeight="1" x14ac:dyDescent="0.2">
      <c r="CQ414" s="111"/>
      <c r="DC414" s="112"/>
    </row>
    <row r="415" spans="95:107" ht="15.75" customHeight="1" x14ac:dyDescent="0.2">
      <c r="CQ415" s="111"/>
      <c r="DC415" s="112"/>
    </row>
    <row r="416" spans="95:107" ht="15.75" customHeight="1" x14ac:dyDescent="0.2">
      <c r="CQ416" s="111"/>
      <c r="DC416" s="112"/>
    </row>
    <row r="417" spans="95:107" ht="15.75" customHeight="1" x14ac:dyDescent="0.2">
      <c r="CQ417" s="111"/>
      <c r="DC417" s="112"/>
    </row>
    <row r="418" spans="95:107" ht="15.75" customHeight="1" x14ac:dyDescent="0.2">
      <c r="CQ418" s="111"/>
      <c r="DC418" s="112"/>
    </row>
    <row r="419" spans="95:107" ht="15.75" customHeight="1" x14ac:dyDescent="0.2">
      <c r="CQ419" s="111"/>
      <c r="DC419" s="112"/>
    </row>
    <row r="420" spans="95:107" ht="15.75" customHeight="1" x14ac:dyDescent="0.2">
      <c r="CQ420" s="111"/>
      <c r="DC420" s="112"/>
    </row>
    <row r="421" spans="95:107" ht="15.75" customHeight="1" x14ac:dyDescent="0.2">
      <c r="CQ421" s="111"/>
      <c r="DC421" s="112"/>
    </row>
    <row r="422" spans="95:107" ht="15.75" customHeight="1" x14ac:dyDescent="0.2">
      <c r="CQ422" s="111"/>
      <c r="DC422" s="112"/>
    </row>
    <row r="423" spans="95:107" ht="15.75" customHeight="1" x14ac:dyDescent="0.2">
      <c r="CQ423" s="111"/>
      <c r="DC423" s="112"/>
    </row>
    <row r="424" spans="95:107" ht="15.75" customHeight="1" x14ac:dyDescent="0.2">
      <c r="CQ424" s="111"/>
      <c r="DC424" s="112"/>
    </row>
    <row r="425" spans="95:107" ht="15.75" customHeight="1" x14ac:dyDescent="0.2">
      <c r="CQ425" s="111"/>
      <c r="DC425" s="112"/>
    </row>
    <row r="426" spans="95:107" ht="15.75" customHeight="1" x14ac:dyDescent="0.2">
      <c r="CQ426" s="111"/>
      <c r="DC426" s="112"/>
    </row>
    <row r="427" spans="95:107" ht="15.75" customHeight="1" x14ac:dyDescent="0.2">
      <c r="CQ427" s="111"/>
      <c r="DC427" s="112"/>
    </row>
    <row r="428" spans="95:107" ht="15.75" customHeight="1" x14ac:dyDescent="0.2">
      <c r="CQ428" s="111"/>
      <c r="DC428" s="112"/>
    </row>
    <row r="429" spans="95:107" ht="15.75" customHeight="1" x14ac:dyDescent="0.2">
      <c r="CQ429" s="111"/>
      <c r="DC429" s="112"/>
    </row>
    <row r="430" spans="95:107" ht="15.75" customHeight="1" x14ac:dyDescent="0.2">
      <c r="CQ430" s="111"/>
      <c r="DC430" s="112"/>
    </row>
    <row r="431" spans="95:107" ht="15.75" customHeight="1" x14ac:dyDescent="0.2">
      <c r="CQ431" s="111"/>
      <c r="DC431" s="112"/>
    </row>
    <row r="432" spans="95:107" ht="15.75" customHeight="1" x14ac:dyDescent="0.2">
      <c r="CQ432" s="111"/>
      <c r="DC432" s="112"/>
    </row>
    <row r="433" spans="95:107" ht="15.75" customHeight="1" x14ac:dyDescent="0.2">
      <c r="CQ433" s="111"/>
      <c r="DC433" s="112"/>
    </row>
    <row r="434" spans="95:107" ht="15.75" customHeight="1" x14ac:dyDescent="0.2">
      <c r="CQ434" s="111"/>
      <c r="DC434" s="112"/>
    </row>
    <row r="435" spans="95:107" ht="15.75" customHeight="1" x14ac:dyDescent="0.2">
      <c r="CQ435" s="111"/>
      <c r="DC435" s="112"/>
    </row>
    <row r="436" spans="95:107" ht="15.75" customHeight="1" x14ac:dyDescent="0.2">
      <c r="CQ436" s="111"/>
      <c r="DC436" s="112"/>
    </row>
    <row r="437" spans="95:107" ht="15.75" customHeight="1" x14ac:dyDescent="0.2">
      <c r="CQ437" s="111"/>
      <c r="DC437" s="112"/>
    </row>
    <row r="438" spans="95:107" ht="15.75" customHeight="1" x14ac:dyDescent="0.2">
      <c r="CQ438" s="111"/>
      <c r="DC438" s="112"/>
    </row>
    <row r="439" spans="95:107" ht="15.75" customHeight="1" x14ac:dyDescent="0.2">
      <c r="CQ439" s="111"/>
      <c r="DC439" s="112"/>
    </row>
    <row r="440" spans="95:107" ht="15.75" customHeight="1" x14ac:dyDescent="0.2">
      <c r="CQ440" s="111"/>
      <c r="DC440" s="112"/>
    </row>
    <row r="441" spans="95:107" ht="15.75" customHeight="1" x14ac:dyDescent="0.2">
      <c r="CQ441" s="111"/>
      <c r="DC441" s="112"/>
    </row>
    <row r="442" spans="95:107" ht="15.75" customHeight="1" x14ac:dyDescent="0.2">
      <c r="CQ442" s="111"/>
      <c r="DC442" s="112"/>
    </row>
    <row r="443" spans="95:107" ht="15.75" customHeight="1" x14ac:dyDescent="0.2">
      <c r="CQ443" s="111"/>
      <c r="DC443" s="112"/>
    </row>
    <row r="444" spans="95:107" ht="15.75" customHeight="1" x14ac:dyDescent="0.2">
      <c r="CQ444" s="111"/>
      <c r="DC444" s="112"/>
    </row>
    <row r="445" spans="95:107" ht="15.75" customHeight="1" x14ac:dyDescent="0.2">
      <c r="CQ445" s="111"/>
      <c r="DC445" s="112"/>
    </row>
    <row r="446" spans="95:107" ht="15.75" customHeight="1" x14ac:dyDescent="0.2">
      <c r="CQ446" s="111"/>
      <c r="DC446" s="112"/>
    </row>
    <row r="447" spans="95:107" ht="15.75" customHeight="1" x14ac:dyDescent="0.2">
      <c r="CQ447" s="111"/>
      <c r="DC447" s="112"/>
    </row>
    <row r="448" spans="95:107" ht="15.75" customHeight="1" x14ac:dyDescent="0.2">
      <c r="CQ448" s="111"/>
      <c r="DC448" s="112"/>
    </row>
    <row r="449" spans="95:107" ht="15.75" customHeight="1" x14ac:dyDescent="0.2">
      <c r="CQ449" s="111"/>
      <c r="DC449" s="112"/>
    </row>
    <row r="450" spans="95:107" ht="15.75" customHeight="1" x14ac:dyDescent="0.2">
      <c r="CQ450" s="111"/>
      <c r="DC450" s="112"/>
    </row>
    <row r="451" spans="95:107" ht="15.75" customHeight="1" x14ac:dyDescent="0.2">
      <c r="CQ451" s="111"/>
      <c r="DC451" s="112"/>
    </row>
    <row r="452" spans="95:107" ht="15.75" customHeight="1" x14ac:dyDescent="0.2">
      <c r="CQ452" s="111"/>
      <c r="DC452" s="112"/>
    </row>
    <row r="453" spans="95:107" ht="15.75" customHeight="1" x14ac:dyDescent="0.2">
      <c r="CQ453" s="111"/>
      <c r="DC453" s="112"/>
    </row>
    <row r="454" spans="95:107" ht="15.75" customHeight="1" x14ac:dyDescent="0.2">
      <c r="CQ454" s="111"/>
      <c r="DC454" s="112"/>
    </row>
    <row r="455" spans="95:107" ht="15.75" customHeight="1" x14ac:dyDescent="0.2">
      <c r="CQ455" s="111"/>
      <c r="DC455" s="112"/>
    </row>
    <row r="456" spans="95:107" ht="15.75" customHeight="1" x14ac:dyDescent="0.2">
      <c r="CQ456" s="111"/>
      <c r="DC456" s="112"/>
    </row>
    <row r="457" spans="95:107" ht="15.75" customHeight="1" x14ac:dyDescent="0.2">
      <c r="CQ457" s="111"/>
      <c r="DC457" s="112"/>
    </row>
    <row r="458" spans="95:107" ht="15.75" customHeight="1" x14ac:dyDescent="0.2">
      <c r="CQ458" s="111"/>
      <c r="DC458" s="112"/>
    </row>
    <row r="459" spans="95:107" ht="15.75" customHeight="1" x14ac:dyDescent="0.2">
      <c r="CQ459" s="111"/>
      <c r="DC459" s="112"/>
    </row>
    <row r="460" spans="95:107" ht="15.75" customHeight="1" x14ac:dyDescent="0.2">
      <c r="CQ460" s="111"/>
      <c r="DC460" s="112"/>
    </row>
    <row r="461" spans="95:107" ht="15.75" customHeight="1" x14ac:dyDescent="0.2">
      <c r="CQ461" s="111"/>
      <c r="DC461" s="112"/>
    </row>
    <row r="462" spans="95:107" ht="15.75" customHeight="1" x14ac:dyDescent="0.2">
      <c r="CQ462" s="111"/>
      <c r="DC462" s="112"/>
    </row>
    <row r="463" spans="95:107" ht="15.75" customHeight="1" x14ac:dyDescent="0.2">
      <c r="CQ463" s="111"/>
      <c r="DC463" s="112"/>
    </row>
    <row r="464" spans="95:107" ht="15.75" customHeight="1" x14ac:dyDescent="0.2">
      <c r="CQ464" s="111"/>
      <c r="DC464" s="112"/>
    </row>
    <row r="465" spans="95:107" ht="15.75" customHeight="1" x14ac:dyDescent="0.2">
      <c r="CQ465" s="111"/>
      <c r="DC465" s="112"/>
    </row>
    <row r="466" spans="95:107" ht="15.75" customHeight="1" x14ac:dyDescent="0.2">
      <c r="CQ466" s="111"/>
      <c r="DC466" s="112"/>
    </row>
    <row r="467" spans="95:107" ht="15.75" customHeight="1" x14ac:dyDescent="0.2">
      <c r="CQ467" s="111"/>
      <c r="DC467" s="112"/>
    </row>
    <row r="468" spans="95:107" ht="15.75" customHeight="1" x14ac:dyDescent="0.2">
      <c r="CQ468" s="111"/>
      <c r="DC468" s="112"/>
    </row>
    <row r="469" spans="95:107" ht="15.75" customHeight="1" x14ac:dyDescent="0.2">
      <c r="CQ469" s="111"/>
      <c r="DC469" s="112"/>
    </row>
    <row r="470" spans="95:107" ht="15.75" customHeight="1" x14ac:dyDescent="0.2">
      <c r="CQ470" s="111"/>
      <c r="DC470" s="112"/>
    </row>
    <row r="471" spans="95:107" ht="15.75" customHeight="1" x14ac:dyDescent="0.2">
      <c r="CQ471" s="111"/>
      <c r="DC471" s="112"/>
    </row>
    <row r="472" spans="95:107" ht="15.75" customHeight="1" x14ac:dyDescent="0.2">
      <c r="CQ472" s="111"/>
      <c r="DC472" s="112"/>
    </row>
    <row r="473" spans="95:107" ht="15.75" customHeight="1" x14ac:dyDescent="0.2">
      <c r="CQ473" s="111"/>
      <c r="DC473" s="112"/>
    </row>
    <row r="474" spans="95:107" ht="15.75" customHeight="1" x14ac:dyDescent="0.2">
      <c r="CQ474" s="111"/>
      <c r="DC474" s="112"/>
    </row>
    <row r="475" spans="95:107" ht="15.75" customHeight="1" x14ac:dyDescent="0.2">
      <c r="CQ475" s="111"/>
      <c r="DC475" s="112"/>
    </row>
    <row r="476" spans="95:107" ht="15.75" customHeight="1" x14ac:dyDescent="0.2">
      <c r="CQ476" s="111"/>
      <c r="DC476" s="112"/>
    </row>
    <row r="477" spans="95:107" ht="15.75" customHeight="1" x14ac:dyDescent="0.2">
      <c r="CQ477" s="111"/>
      <c r="DC477" s="112"/>
    </row>
    <row r="478" spans="95:107" ht="15.75" customHeight="1" x14ac:dyDescent="0.2">
      <c r="CQ478" s="111"/>
      <c r="DC478" s="112"/>
    </row>
    <row r="479" spans="95:107" ht="15.75" customHeight="1" x14ac:dyDescent="0.2">
      <c r="CQ479" s="111"/>
      <c r="DC479" s="112"/>
    </row>
    <row r="480" spans="95:107" ht="15.75" customHeight="1" x14ac:dyDescent="0.2">
      <c r="CQ480" s="111"/>
      <c r="DC480" s="112"/>
    </row>
    <row r="481" spans="95:107" ht="15.75" customHeight="1" x14ac:dyDescent="0.2">
      <c r="CQ481" s="111"/>
      <c r="DC481" s="112"/>
    </row>
    <row r="482" spans="95:107" ht="15.75" customHeight="1" x14ac:dyDescent="0.2">
      <c r="CQ482" s="111"/>
      <c r="DC482" s="112"/>
    </row>
    <row r="483" spans="95:107" ht="15.75" customHeight="1" x14ac:dyDescent="0.2">
      <c r="CQ483" s="111"/>
      <c r="DC483" s="112"/>
    </row>
    <row r="484" spans="95:107" ht="15.75" customHeight="1" x14ac:dyDescent="0.2">
      <c r="CQ484" s="111"/>
      <c r="DC484" s="112"/>
    </row>
    <row r="485" spans="95:107" ht="15.75" customHeight="1" x14ac:dyDescent="0.2">
      <c r="CQ485" s="111"/>
      <c r="DC485" s="112"/>
    </row>
    <row r="486" spans="95:107" ht="15.75" customHeight="1" x14ac:dyDescent="0.2">
      <c r="CQ486" s="111"/>
      <c r="DC486" s="112"/>
    </row>
    <row r="487" spans="95:107" ht="15.75" customHeight="1" x14ac:dyDescent="0.2">
      <c r="CQ487" s="111"/>
      <c r="DC487" s="112"/>
    </row>
    <row r="488" spans="95:107" ht="15.75" customHeight="1" x14ac:dyDescent="0.2">
      <c r="CQ488" s="111"/>
      <c r="DC488" s="112"/>
    </row>
    <row r="489" spans="95:107" ht="15.75" customHeight="1" x14ac:dyDescent="0.2">
      <c r="CQ489" s="111"/>
      <c r="DC489" s="112"/>
    </row>
    <row r="490" spans="95:107" ht="15.75" customHeight="1" x14ac:dyDescent="0.2">
      <c r="CQ490" s="111"/>
      <c r="DC490" s="112"/>
    </row>
    <row r="491" spans="95:107" ht="15.75" customHeight="1" x14ac:dyDescent="0.2">
      <c r="CQ491" s="111"/>
      <c r="DC491" s="112"/>
    </row>
    <row r="492" spans="95:107" ht="15.75" customHeight="1" x14ac:dyDescent="0.2">
      <c r="CQ492" s="111"/>
      <c r="DC492" s="112"/>
    </row>
    <row r="493" spans="95:107" ht="15.75" customHeight="1" x14ac:dyDescent="0.2">
      <c r="CQ493" s="111"/>
      <c r="DC493" s="112"/>
    </row>
    <row r="494" spans="95:107" ht="15.75" customHeight="1" x14ac:dyDescent="0.2">
      <c r="CQ494" s="111"/>
      <c r="DC494" s="112"/>
    </row>
    <row r="495" spans="95:107" ht="15.75" customHeight="1" x14ac:dyDescent="0.2">
      <c r="CQ495" s="111"/>
      <c r="DC495" s="112"/>
    </row>
    <row r="496" spans="95:107" ht="15.75" customHeight="1" x14ac:dyDescent="0.2">
      <c r="CQ496" s="111"/>
      <c r="DC496" s="112"/>
    </row>
    <row r="497" spans="95:107" ht="15.75" customHeight="1" x14ac:dyDescent="0.2">
      <c r="CQ497" s="111"/>
      <c r="DC497" s="112"/>
    </row>
    <row r="498" spans="95:107" ht="15.75" customHeight="1" x14ac:dyDescent="0.2">
      <c r="CQ498" s="111"/>
      <c r="DC498" s="112"/>
    </row>
    <row r="499" spans="95:107" ht="15.75" customHeight="1" x14ac:dyDescent="0.2">
      <c r="CQ499" s="111"/>
      <c r="DC499" s="112"/>
    </row>
    <row r="500" spans="95:107" ht="15.75" customHeight="1" x14ac:dyDescent="0.2">
      <c r="CQ500" s="111"/>
      <c r="DC500" s="112"/>
    </row>
    <row r="501" spans="95:107" ht="15.75" customHeight="1" x14ac:dyDescent="0.2">
      <c r="CQ501" s="111"/>
      <c r="DC501" s="112"/>
    </row>
    <row r="502" spans="95:107" ht="15.75" customHeight="1" x14ac:dyDescent="0.2">
      <c r="CQ502" s="111"/>
      <c r="DC502" s="112"/>
    </row>
    <row r="503" spans="95:107" ht="15.75" customHeight="1" x14ac:dyDescent="0.2">
      <c r="CQ503" s="111"/>
      <c r="DC503" s="112"/>
    </row>
    <row r="504" spans="95:107" ht="15.75" customHeight="1" x14ac:dyDescent="0.2">
      <c r="CQ504" s="111"/>
      <c r="DC504" s="112"/>
    </row>
    <row r="505" spans="95:107" ht="15.75" customHeight="1" x14ac:dyDescent="0.2">
      <c r="CQ505" s="111"/>
      <c r="DC505" s="112"/>
    </row>
    <row r="506" spans="95:107" ht="15.75" customHeight="1" x14ac:dyDescent="0.2">
      <c r="CQ506" s="111"/>
      <c r="DC506" s="112"/>
    </row>
    <row r="507" spans="95:107" ht="15.75" customHeight="1" x14ac:dyDescent="0.2">
      <c r="CQ507" s="111"/>
      <c r="DC507" s="112"/>
    </row>
    <row r="508" spans="95:107" ht="15.75" customHeight="1" x14ac:dyDescent="0.2">
      <c r="CQ508" s="111"/>
      <c r="DC508" s="112"/>
    </row>
    <row r="509" spans="95:107" ht="15.75" customHeight="1" x14ac:dyDescent="0.2">
      <c r="CQ509" s="111"/>
      <c r="DC509" s="112"/>
    </row>
    <row r="510" spans="95:107" ht="15.75" customHeight="1" x14ac:dyDescent="0.2">
      <c r="CQ510" s="111"/>
      <c r="DC510" s="112"/>
    </row>
    <row r="511" spans="95:107" ht="15.75" customHeight="1" x14ac:dyDescent="0.2">
      <c r="CQ511" s="111"/>
      <c r="DC511" s="112"/>
    </row>
    <row r="512" spans="95:107" ht="15.75" customHeight="1" x14ac:dyDescent="0.2">
      <c r="CQ512" s="111"/>
      <c r="DC512" s="112"/>
    </row>
    <row r="513" spans="95:107" ht="15.75" customHeight="1" x14ac:dyDescent="0.2">
      <c r="CQ513" s="111"/>
      <c r="DC513" s="112"/>
    </row>
    <row r="514" spans="95:107" ht="15.75" customHeight="1" x14ac:dyDescent="0.2">
      <c r="CQ514" s="111"/>
      <c r="DC514" s="112"/>
    </row>
    <row r="515" spans="95:107" ht="15.75" customHeight="1" x14ac:dyDescent="0.2">
      <c r="CQ515" s="111"/>
      <c r="DC515" s="112"/>
    </row>
    <row r="516" spans="95:107" ht="15.75" customHeight="1" x14ac:dyDescent="0.2">
      <c r="CQ516" s="111"/>
      <c r="DC516" s="112"/>
    </row>
    <row r="517" spans="95:107" ht="15.75" customHeight="1" x14ac:dyDescent="0.2">
      <c r="CQ517" s="111"/>
      <c r="DC517" s="112"/>
    </row>
    <row r="518" spans="95:107" ht="15.75" customHeight="1" x14ac:dyDescent="0.2">
      <c r="CQ518" s="111"/>
      <c r="DC518" s="112"/>
    </row>
    <row r="519" spans="95:107" ht="15.75" customHeight="1" x14ac:dyDescent="0.2">
      <c r="CQ519" s="111"/>
      <c r="DC519" s="112"/>
    </row>
    <row r="520" spans="95:107" ht="15.75" customHeight="1" x14ac:dyDescent="0.2">
      <c r="CQ520" s="111"/>
      <c r="DC520" s="112"/>
    </row>
    <row r="521" spans="95:107" ht="15.75" customHeight="1" x14ac:dyDescent="0.2">
      <c r="CQ521" s="111"/>
      <c r="DC521" s="112"/>
    </row>
    <row r="522" spans="95:107" ht="15.75" customHeight="1" x14ac:dyDescent="0.2">
      <c r="CQ522" s="111"/>
      <c r="DC522" s="112"/>
    </row>
    <row r="523" spans="95:107" ht="15.75" customHeight="1" x14ac:dyDescent="0.2">
      <c r="CQ523" s="111"/>
      <c r="DC523" s="112"/>
    </row>
    <row r="524" spans="95:107" ht="15.75" customHeight="1" x14ac:dyDescent="0.2">
      <c r="CQ524" s="111"/>
      <c r="DC524" s="112"/>
    </row>
    <row r="525" spans="95:107" ht="15.75" customHeight="1" x14ac:dyDescent="0.2">
      <c r="CQ525" s="111"/>
      <c r="DC525" s="112"/>
    </row>
    <row r="526" spans="95:107" ht="15.75" customHeight="1" x14ac:dyDescent="0.2">
      <c r="CQ526" s="111"/>
      <c r="DC526" s="112"/>
    </row>
    <row r="527" spans="95:107" ht="15.75" customHeight="1" x14ac:dyDescent="0.2">
      <c r="CQ527" s="111"/>
      <c r="DC527" s="112"/>
    </row>
    <row r="528" spans="95:107" ht="15.75" customHeight="1" x14ac:dyDescent="0.2">
      <c r="CQ528" s="111"/>
      <c r="DC528" s="112"/>
    </row>
    <row r="529" spans="95:107" ht="15.75" customHeight="1" x14ac:dyDescent="0.2">
      <c r="CQ529" s="111"/>
      <c r="DC529" s="112"/>
    </row>
    <row r="530" spans="95:107" ht="15.75" customHeight="1" x14ac:dyDescent="0.2">
      <c r="CQ530" s="111"/>
      <c r="DC530" s="112"/>
    </row>
    <row r="531" spans="95:107" ht="15.75" customHeight="1" x14ac:dyDescent="0.2">
      <c r="CQ531" s="111"/>
      <c r="DC531" s="112"/>
    </row>
    <row r="532" spans="95:107" ht="15.75" customHeight="1" x14ac:dyDescent="0.2">
      <c r="CQ532" s="111"/>
      <c r="DC532" s="112"/>
    </row>
    <row r="533" spans="95:107" ht="15.75" customHeight="1" x14ac:dyDescent="0.2">
      <c r="CQ533" s="111"/>
      <c r="DC533" s="112"/>
    </row>
    <row r="534" spans="95:107" ht="15.75" customHeight="1" x14ac:dyDescent="0.2">
      <c r="CQ534" s="111"/>
      <c r="DC534" s="112"/>
    </row>
    <row r="535" spans="95:107" ht="15.75" customHeight="1" x14ac:dyDescent="0.2">
      <c r="CQ535" s="111"/>
      <c r="DC535" s="112"/>
    </row>
    <row r="536" spans="95:107" ht="15.75" customHeight="1" x14ac:dyDescent="0.2">
      <c r="CQ536" s="111"/>
      <c r="DC536" s="112"/>
    </row>
    <row r="537" spans="95:107" ht="15.75" customHeight="1" x14ac:dyDescent="0.2">
      <c r="CQ537" s="111"/>
      <c r="DC537" s="112"/>
    </row>
    <row r="538" spans="95:107" ht="15.75" customHeight="1" x14ac:dyDescent="0.2">
      <c r="CQ538" s="111"/>
      <c r="DC538" s="112"/>
    </row>
    <row r="539" spans="95:107" ht="15.75" customHeight="1" x14ac:dyDescent="0.2">
      <c r="CQ539" s="111"/>
      <c r="DC539" s="112"/>
    </row>
    <row r="540" spans="95:107" ht="15.75" customHeight="1" x14ac:dyDescent="0.2">
      <c r="CQ540" s="111"/>
      <c r="DC540" s="112"/>
    </row>
    <row r="541" spans="95:107" ht="15.75" customHeight="1" x14ac:dyDescent="0.2">
      <c r="CQ541" s="111"/>
      <c r="DC541" s="112"/>
    </row>
    <row r="542" spans="95:107" ht="15.75" customHeight="1" x14ac:dyDescent="0.2">
      <c r="CQ542" s="111"/>
      <c r="DC542" s="112"/>
    </row>
    <row r="543" spans="95:107" ht="15.75" customHeight="1" x14ac:dyDescent="0.2">
      <c r="CQ543" s="111"/>
      <c r="DC543" s="112"/>
    </row>
    <row r="544" spans="95:107" ht="15.75" customHeight="1" x14ac:dyDescent="0.2">
      <c r="CQ544" s="111"/>
      <c r="DC544" s="112"/>
    </row>
    <row r="545" spans="95:107" ht="15.75" customHeight="1" x14ac:dyDescent="0.2">
      <c r="CQ545" s="111"/>
      <c r="DC545" s="112"/>
    </row>
    <row r="546" spans="95:107" ht="15.75" customHeight="1" x14ac:dyDescent="0.2">
      <c r="CQ546" s="111"/>
      <c r="DC546" s="112"/>
    </row>
    <row r="547" spans="95:107" ht="15.75" customHeight="1" x14ac:dyDescent="0.2">
      <c r="CQ547" s="111"/>
      <c r="DC547" s="112"/>
    </row>
    <row r="548" spans="95:107" ht="15.75" customHeight="1" x14ac:dyDescent="0.2">
      <c r="CQ548" s="111"/>
      <c r="DC548" s="112"/>
    </row>
    <row r="549" spans="95:107" ht="15.75" customHeight="1" x14ac:dyDescent="0.2">
      <c r="CQ549" s="111"/>
      <c r="DC549" s="112"/>
    </row>
    <row r="550" spans="95:107" ht="15.75" customHeight="1" x14ac:dyDescent="0.2">
      <c r="CQ550" s="111"/>
      <c r="DC550" s="112"/>
    </row>
    <row r="551" spans="95:107" ht="15.75" customHeight="1" x14ac:dyDescent="0.2">
      <c r="CQ551" s="111"/>
      <c r="DC551" s="112"/>
    </row>
    <row r="552" spans="95:107" ht="15.75" customHeight="1" x14ac:dyDescent="0.2">
      <c r="CQ552" s="111"/>
      <c r="DC552" s="112"/>
    </row>
    <row r="553" spans="95:107" ht="15.75" customHeight="1" x14ac:dyDescent="0.2">
      <c r="CQ553" s="111"/>
      <c r="DC553" s="112"/>
    </row>
    <row r="554" spans="95:107" ht="15.75" customHeight="1" x14ac:dyDescent="0.2">
      <c r="CQ554" s="111"/>
      <c r="DC554" s="112"/>
    </row>
    <row r="555" spans="95:107" ht="15.75" customHeight="1" x14ac:dyDescent="0.2">
      <c r="CQ555" s="111"/>
      <c r="DC555" s="112"/>
    </row>
    <row r="556" spans="95:107" ht="15.75" customHeight="1" x14ac:dyDescent="0.2">
      <c r="CQ556" s="111"/>
      <c r="DC556" s="112"/>
    </row>
    <row r="557" spans="95:107" ht="15.75" customHeight="1" x14ac:dyDescent="0.2">
      <c r="CQ557" s="111"/>
      <c r="DC557" s="112"/>
    </row>
    <row r="558" spans="95:107" ht="15.75" customHeight="1" x14ac:dyDescent="0.2">
      <c r="CQ558" s="111"/>
      <c r="DC558" s="112"/>
    </row>
    <row r="559" spans="95:107" ht="15.75" customHeight="1" x14ac:dyDescent="0.2">
      <c r="CQ559" s="111"/>
      <c r="DC559" s="112"/>
    </row>
    <row r="560" spans="95:107" ht="15.75" customHeight="1" x14ac:dyDescent="0.2">
      <c r="CQ560" s="111"/>
      <c r="DC560" s="112"/>
    </row>
    <row r="561" spans="95:107" ht="15.75" customHeight="1" x14ac:dyDescent="0.2">
      <c r="CQ561" s="111"/>
      <c r="DC561" s="112"/>
    </row>
    <row r="562" spans="95:107" ht="15.75" customHeight="1" x14ac:dyDescent="0.2">
      <c r="CQ562" s="111"/>
      <c r="DC562" s="112"/>
    </row>
    <row r="563" spans="95:107" ht="15.75" customHeight="1" x14ac:dyDescent="0.2">
      <c r="CQ563" s="111"/>
      <c r="DC563" s="112"/>
    </row>
    <row r="564" spans="95:107" ht="15.75" customHeight="1" x14ac:dyDescent="0.2">
      <c r="CQ564" s="111"/>
      <c r="DC564" s="112"/>
    </row>
    <row r="565" spans="95:107" ht="15.75" customHeight="1" x14ac:dyDescent="0.2">
      <c r="CQ565" s="111"/>
      <c r="DC565" s="112"/>
    </row>
    <row r="566" spans="95:107" ht="15.75" customHeight="1" x14ac:dyDescent="0.2">
      <c r="CQ566" s="111"/>
      <c r="DC566" s="112"/>
    </row>
    <row r="567" spans="95:107" ht="15.75" customHeight="1" x14ac:dyDescent="0.2">
      <c r="CQ567" s="111"/>
      <c r="DC567" s="112"/>
    </row>
    <row r="568" spans="95:107" ht="15.75" customHeight="1" x14ac:dyDescent="0.2">
      <c r="CQ568" s="111"/>
      <c r="DC568" s="112"/>
    </row>
    <row r="569" spans="95:107" ht="15.75" customHeight="1" x14ac:dyDescent="0.2">
      <c r="CQ569" s="111"/>
      <c r="DC569" s="112"/>
    </row>
    <row r="570" spans="95:107" ht="15.75" customHeight="1" x14ac:dyDescent="0.2">
      <c r="CQ570" s="111"/>
      <c r="DC570" s="112"/>
    </row>
    <row r="571" spans="95:107" ht="15.75" customHeight="1" x14ac:dyDescent="0.2">
      <c r="CQ571" s="111"/>
      <c r="DC571" s="112"/>
    </row>
    <row r="572" spans="95:107" ht="15.75" customHeight="1" x14ac:dyDescent="0.2">
      <c r="CQ572" s="111"/>
      <c r="DC572" s="112"/>
    </row>
    <row r="573" spans="95:107" ht="15.75" customHeight="1" x14ac:dyDescent="0.2">
      <c r="CQ573" s="111"/>
      <c r="DC573" s="112"/>
    </row>
    <row r="574" spans="95:107" ht="15.75" customHeight="1" x14ac:dyDescent="0.2">
      <c r="CQ574" s="111"/>
      <c r="DC574" s="112"/>
    </row>
    <row r="575" spans="95:107" ht="15.75" customHeight="1" x14ac:dyDescent="0.2">
      <c r="CQ575" s="111"/>
      <c r="DC575" s="112"/>
    </row>
    <row r="576" spans="95:107" ht="15.75" customHeight="1" x14ac:dyDescent="0.2">
      <c r="CQ576" s="111"/>
      <c r="DC576" s="112"/>
    </row>
    <row r="577" spans="95:107" ht="15.75" customHeight="1" x14ac:dyDescent="0.2">
      <c r="CQ577" s="111"/>
      <c r="DC577" s="112"/>
    </row>
    <row r="578" spans="95:107" ht="15.75" customHeight="1" x14ac:dyDescent="0.2">
      <c r="CQ578" s="111"/>
      <c r="DC578" s="112"/>
    </row>
    <row r="579" spans="95:107" ht="15.75" customHeight="1" x14ac:dyDescent="0.2">
      <c r="CQ579" s="111"/>
      <c r="DC579" s="112"/>
    </row>
    <row r="580" spans="95:107" ht="15.75" customHeight="1" x14ac:dyDescent="0.2">
      <c r="CQ580" s="111"/>
      <c r="DC580" s="112"/>
    </row>
    <row r="581" spans="95:107" ht="15.75" customHeight="1" x14ac:dyDescent="0.2">
      <c r="CQ581" s="111"/>
      <c r="DC581" s="112"/>
    </row>
    <row r="582" spans="95:107" ht="15.75" customHeight="1" x14ac:dyDescent="0.2">
      <c r="CQ582" s="111"/>
      <c r="DC582" s="112"/>
    </row>
    <row r="583" spans="95:107" ht="15.75" customHeight="1" x14ac:dyDescent="0.2">
      <c r="CQ583" s="111"/>
      <c r="DC583" s="112"/>
    </row>
    <row r="584" spans="95:107" ht="15.75" customHeight="1" x14ac:dyDescent="0.2">
      <c r="CQ584" s="111"/>
      <c r="DC584" s="112"/>
    </row>
    <row r="585" spans="95:107" ht="15.75" customHeight="1" x14ac:dyDescent="0.2">
      <c r="CQ585" s="111"/>
      <c r="DC585" s="112"/>
    </row>
    <row r="586" spans="95:107" ht="15.75" customHeight="1" x14ac:dyDescent="0.2">
      <c r="CQ586" s="111"/>
      <c r="DC586" s="112"/>
    </row>
    <row r="587" spans="95:107" ht="15.75" customHeight="1" x14ac:dyDescent="0.2">
      <c r="CQ587" s="111"/>
      <c r="DC587" s="112"/>
    </row>
    <row r="588" spans="95:107" ht="15.75" customHeight="1" x14ac:dyDescent="0.2">
      <c r="CQ588" s="111"/>
      <c r="DC588" s="112"/>
    </row>
    <row r="589" spans="95:107" ht="15.75" customHeight="1" x14ac:dyDescent="0.2">
      <c r="CQ589" s="111"/>
      <c r="DC589" s="112"/>
    </row>
    <row r="590" spans="95:107" ht="15.75" customHeight="1" x14ac:dyDescent="0.2">
      <c r="CQ590" s="111"/>
      <c r="DC590" s="112"/>
    </row>
    <row r="591" spans="95:107" ht="15.75" customHeight="1" x14ac:dyDescent="0.2">
      <c r="CQ591" s="111"/>
      <c r="DC591" s="112"/>
    </row>
    <row r="592" spans="95:107" ht="15.75" customHeight="1" x14ac:dyDescent="0.2">
      <c r="CQ592" s="111"/>
      <c r="DC592" s="112"/>
    </row>
    <row r="593" spans="95:107" ht="15.75" customHeight="1" x14ac:dyDescent="0.2">
      <c r="CQ593" s="111"/>
      <c r="DC593" s="112"/>
    </row>
    <row r="594" spans="95:107" ht="15.75" customHeight="1" x14ac:dyDescent="0.2">
      <c r="CQ594" s="111"/>
      <c r="DC594" s="112"/>
    </row>
    <row r="595" spans="95:107" ht="15.75" customHeight="1" x14ac:dyDescent="0.2">
      <c r="CQ595" s="111"/>
      <c r="DC595" s="112"/>
    </row>
    <row r="596" spans="95:107" ht="15.75" customHeight="1" x14ac:dyDescent="0.2">
      <c r="CQ596" s="111"/>
      <c r="DC596" s="112"/>
    </row>
    <row r="597" spans="95:107" ht="15.75" customHeight="1" x14ac:dyDescent="0.2">
      <c r="CQ597" s="111"/>
      <c r="DC597" s="112"/>
    </row>
    <row r="598" spans="95:107" ht="15.75" customHeight="1" x14ac:dyDescent="0.2">
      <c r="CQ598" s="111"/>
      <c r="DC598" s="112"/>
    </row>
    <row r="599" spans="95:107" ht="15.75" customHeight="1" x14ac:dyDescent="0.2">
      <c r="CQ599" s="111"/>
      <c r="DC599" s="112"/>
    </row>
    <row r="600" spans="95:107" ht="15.75" customHeight="1" x14ac:dyDescent="0.2">
      <c r="CQ600" s="111"/>
      <c r="DC600" s="112"/>
    </row>
    <row r="601" spans="95:107" ht="15.75" customHeight="1" x14ac:dyDescent="0.2">
      <c r="CQ601" s="111"/>
      <c r="DC601" s="112"/>
    </row>
    <row r="602" spans="95:107" ht="15.75" customHeight="1" x14ac:dyDescent="0.2">
      <c r="CQ602" s="111"/>
      <c r="DC602" s="112"/>
    </row>
    <row r="603" spans="95:107" ht="15.75" customHeight="1" x14ac:dyDescent="0.2">
      <c r="CQ603" s="111"/>
      <c r="DC603" s="112"/>
    </row>
    <row r="604" spans="95:107" ht="15.75" customHeight="1" x14ac:dyDescent="0.2">
      <c r="CQ604" s="111"/>
      <c r="DC604" s="112"/>
    </row>
    <row r="605" spans="95:107" ht="15.75" customHeight="1" x14ac:dyDescent="0.2">
      <c r="CQ605" s="111"/>
      <c r="DC605" s="112"/>
    </row>
    <row r="606" spans="95:107" ht="15.75" customHeight="1" x14ac:dyDescent="0.2">
      <c r="CQ606" s="111"/>
      <c r="DC606" s="112"/>
    </row>
    <row r="607" spans="95:107" ht="15.75" customHeight="1" x14ac:dyDescent="0.2">
      <c r="CQ607" s="111"/>
      <c r="DC607" s="112"/>
    </row>
    <row r="608" spans="95:107" ht="15.75" customHeight="1" x14ac:dyDescent="0.2">
      <c r="CQ608" s="111"/>
      <c r="DC608" s="112"/>
    </row>
    <row r="609" spans="95:107" ht="15.75" customHeight="1" x14ac:dyDescent="0.2">
      <c r="CQ609" s="111"/>
      <c r="DC609" s="112"/>
    </row>
    <row r="610" spans="95:107" ht="15.75" customHeight="1" x14ac:dyDescent="0.2">
      <c r="CQ610" s="111"/>
      <c r="DC610" s="112"/>
    </row>
    <row r="611" spans="95:107" ht="15.75" customHeight="1" x14ac:dyDescent="0.2">
      <c r="CQ611" s="111"/>
      <c r="DC611" s="112"/>
    </row>
    <row r="612" spans="95:107" ht="15.75" customHeight="1" x14ac:dyDescent="0.2">
      <c r="CQ612" s="111"/>
      <c r="DC612" s="112"/>
    </row>
    <row r="613" spans="95:107" ht="15.75" customHeight="1" x14ac:dyDescent="0.2">
      <c r="CQ613" s="111"/>
      <c r="DC613" s="112"/>
    </row>
    <row r="614" spans="95:107" ht="15.75" customHeight="1" x14ac:dyDescent="0.2">
      <c r="CQ614" s="111"/>
      <c r="DC614" s="112"/>
    </row>
    <row r="615" spans="95:107" ht="15.75" customHeight="1" x14ac:dyDescent="0.2">
      <c r="CQ615" s="111"/>
      <c r="DC615" s="112"/>
    </row>
    <row r="616" spans="95:107" ht="15.75" customHeight="1" x14ac:dyDescent="0.2">
      <c r="CQ616" s="111"/>
      <c r="DC616" s="112"/>
    </row>
    <row r="617" spans="95:107" ht="15.75" customHeight="1" x14ac:dyDescent="0.2">
      <c r="CQ617" s="111"/>
      <c r="DC617" s="112"/>
    </row>
    <row r="618" spans="95:107" ht="15.75" customHeight="1" x14ac:dyDescent="0.2">
      <c r="CQ618" s="111"/>
      <c r="DC618" s="112"/>
    </row>
    <row r="619" spans="95:107" ht="15.75" customHeight="1" x14ac:dyDescent="0.2">
      <c r="CQ619" s="111"/>
      <c r="DC619" s="112"/>
    </row>
    <row r="620" spans="95:107" ht="15.75" customHeight="1" x14ac:dyDescent="0.2">
      <c r="CQ620" s="111"/>
      <c r="DC620" s="112"/>
    </row>
    <row r="621" spans="95:107" ht="15.75" customHeight="1" x14ac:dyDescent="0.2">
      <c r="CQ621" s="111"/>
      <c r="DC621" s="112"/>
    </row>
    <row r="622" spans="95:107" ht="15.75" customHeight="1" x14ac:dyDescent="0.2">
      <c r="CQ622" s="111"/>
      <c r="DC622" s="112"/>
    </row>
    <row r="623" spans="95:107" ht="15.75" customHeight="1" x14ac:dyDescent="0.2">
      <c r="CQ623" s="111"/>
      <c r="DC623" s="112"/>
    </row>
    <row r="624" spans="95:107" ht="15.75" customHeight="1" x14ac:dyDescent="0.2">
      <c r="CQ624" s="111"/>
      <c r="DC624" s="112"/>
    </row>
    <row r="625" spans="95:107" ht="15.75" customHeight="1" x14ac:dyDescent="0.2">
      <c r="CQ625" s="111"/>
      <c r="DC625" s="112"/>
    </row>
    <row r="626" spans="95:107" ht="15.75" customHeight="1" x14ac:dyDescent="0.2">
      <c r="CQ626" s="111"/>
      <c r="DC626" s="112"/>
    </row>
    <row r="627" spans="95:107" ht="15.75" customHeight="1" x14ac:dyDescent="0.2">
      <c r="CQ627" s="111"/>
      <c r="DC627" s="112"/>
    </row>
    <row r="628" spans="95:107" ht="15.75" customHeight="1" x14ac:dyDescent="0.2">
      <c r="CQ628" s="111"/>
      <c r="DC628" s="112"/>
    </row>
    <row r="629" spans="95:107" ht="15.75" customHeight="1" x14ac:dyDescent="0.2">
      <c r="CQ629" s="111"/>
      <c r="DC629" s="112"/>
    </row>
    <row r="630" spans="95:107" ht="15.75" customHeight="1" x14ac:dyDescent="0.2">
      <c r="CQ630" s="111"/>
      <c r="DC630" s="112"/>
    </row>
    <row r="631" spans="95:107" ht="15.75" customHeight="1" x14ac:dyDescent="0.2">
      <c r="CQ631" s="111"/>
      <c r="DC631" s="112"/>
    </row>
    <row r="632" spans="95:107" ht="15.75" customHeight="1" x14ac:dyDescent="0.2">
      <c r="CQ632" s="111"/>
      <c r="DC632" s="112"/>
    </row>
    <row r="633" spans="95:107" ht="15.75" customHeight="1" x14ac:dyDescent="0.2">
      <c r="CQ633" s="111"/>
      <c r="DC633" s="112"/>
    </row>
    <row r="634" spans="95:107" ht="15.75" customHeight="1" x14ac:dyDescent="0.2">
      <c r="CQ634" s="111"/>
      <c r="DC634" s="112"/>
    </row>
    <row r="635" spans="95:107" ht="15.75" customHeight="1" x14ac:dyDescent="0.2">
      <c r="CQ635" s="111"/>
      <c r="DC635" s="112"/>
    </row>
    <row r="636" spans="95:107" ht="15.75" customHeight="1" x14ac:dyDescent="0.2">
      <c r="CQ636" s="111"/>
      <c r="DC636" s="112"/>
    </row>
    <row r="637" spans="95:107" ht="15.75" customHeight="1" x14ac:dyDescent="0.2">
      <c r="CQ637" s="111"/>
      <c r="DC637" s="112"/>
    </row>
    <row r="638" spans="95:107" ht="15.75" customHeight="1" x14ac:dyDescent="0.2">
      <c r="CQ638" s="111"/>
      <c r="DC638" s="112"/>
    </row>
    <row r="639" spans="95:107" ht="15.75" customHeight="1" x14ac:dyDescent="0.2">
      <c r="CQ639" s="111"/>
      <c r="DC639" s="112"/>
    </row>
    <row r="640" spans="95:107" ht="15.75" customHeight="1" x14ac:dyDescent="0.2">
      <c r="CQ640" s="111"/>
      <c r="DC640" s="112"/>
    </row>
    <row r="641" spans="95:107" ht="15.75" customHeight="1" x14ac:dyDescent="0.2">
      <c r="CQ641" s="111"/>
      <c r="DC641" s="112"/>
    </row>
    <row r="642" spans="95:107" ht="15.75" customHeight="1" x14ac:dyDescent="0.2">
      <c r="CQ642" s="111"/>
      <c r="DC642" s="112"/>
    </row>
    <row r="643" spans="95:107" ht="15.75" customHeight="1" x14ac:dyDescent="0.2">
      <c r="CQ643" s="111"/>
      <c r="DC643" s="112"/>
    </row>
    <row r="644" spans="95:107" ht="15.75" customHeight="1" x14ac:dyDescent="0.2">
      <c r="CQ644" s="111"/>
      <c r="DC644" s="112"/>
    </row>
    <row r="645" spans="95:107" ht="15.75" customHeight="1" x14ac:dyDescent="0.2">
      <c r="CQ645" s="111"/>
      <c r="DC645" s="112"/>
    </row>
    <row r="646" spans="95:107" ht="15.75" customHeight="1" x14ac:dyDescent="0.2">
      <c r="CQ646" s="111"/>
      <c r="DC646" s="112"/>
    </row>
    <row r="647" spans="95:107" ht="15.75" customHeight="1" x14ac:dyDescent="0.2">
      <c r="CQ647" s="111"/>
      <c r="DC647" s="112"/>
    </row>
    <row r="648" spans="95:107" ht="15.75" customHeight="1" x14ac:dyDescent="0.2">
      <c r="CQ648" s="111"/>
      <c r="DC648" s="112"/>
    </row>
    <row r="649" spans="95:107" ht="15.75" customHeight="1" x14ac:dyDescent="0.2">
      <c r="CQ649" s="111"/>
      <c r="DC649" s="112"/>
    </row>
    <row r="650" spans="95:107" ht="15.75" customHeight="1" x14ac:dyDescent="0.2">
      <c r="CQ650" s="111"/>
      <c r="DC650" s="112"/>
    </row>
    <row r="651" spans="95:107" ht="15.75" customHeight="1" x14ac:dyDescent="0.2">
      <c r="CQ651" s="111"/>
      <c r="DC651" s="112"/>
    </row>
    <row r="652" spans="95:107" ht="15.75" customHeight="1" x14ac:dyDescent="0.2">
      <c r="CQ652" s="111"/>
      <c r="DC652" s="112"/>
    </row>
    <row r="653" spans="95:107" ht="15.75" customHeight="1" x14ac:dyDescent="0.2">
      <c r="CQ653" s="111"/>
      <c r="DC653" s="112"/>
    </row>
    <row r="654" spans="95:107" ht="15.75" customHeight="1" x14ac:dyDescent="0.2">
      <c r="CQ654" s="111"/>
      <c r="DC654" s="112"/>
    </row>
    <row r="655" spans="95:107" ht="15.75" customHeight="1" x14ac:dyDescent="0.2">
      <c r="CQ655" s="111"/>
      <c r="DC655" s="112"/>
    </row>
    <row r="656" spans="95:107" ht="15.75" customHeight="1" x14ac:dyDescent="0.2">
      <c r="CQ656" s="111"/>
      <c r="DC656" s="112"/>
    </row>
    <row r="657" spans="95:107" ht="15.75" customHeight="1" x14ac:dyDescent="0.2">
      <c r="CQ657" s="111"/>
      <c r="DC657" s="112"/>
    </row>
    <row r="658" spans="95:107" ht="15.75" customHeight="1" x14ac:dyDescent="0.2">
      <c r="CQ658" s="111"/>
      <c r="DC658" s="112"/>
    </row>
    <row r="659" spans="95:107" ht="15.75" customHeight="1" x14ac:dyDescent="0.2">
      <c r="CQ659" s="111"/>
      <c r="DC659" s="112"/>
    </row>
    <row r="660" spans="95:107" ht="15.75" customHeight="1" x14ac:dyDescent="0.2">
      <c r="CQ660" s="111"/>
      <c r="DC660" s="112"/>
    </row>
    <row r="661" spans="95:107" ht="15.75" customHeight="1" x14ac:dyDescent="0.2">
      <c r="CQ661" s="111"/>
      <c r="DC661" s="112"/>
    </row>
    <row r="662" spans="95:107" ht="15.75" customHeight="1" x14ac:dyDescent="0.2">
      <c r="CQ662" s="111"/>
      <c r="DC662" s="112"/>
    </row>
    <row r="663" spans="95:107" ht="15.75" customHeight="1" x14ac:dyDescent="0.2">
      <c r="CQ663" s="111"/>
      <c r="DC663" s="112"/>
    </row>
    <row r="664" spans="95:107" ht="15.75" customHeight="1" x14ac:dyDescent="0.2">
      <c r="CQ664" s="111"/>
      <c r="DC664" s="112"/>
    </row>
    <row r="665" spans="95:107" ht="15.75" customHeight="1" x14ac:dyDescent="0.2">
      <c r="CQ665" s="111"/>
      <c r="DC665" s="112"/>
    </row>
    <row r="666" spans="95:107" ht="15.75" customHeight="1" x14ac:dyDescent="0.2">
      <c r="CQ666" s="111"/>
      <c r="DC666" s="112"/>
    </row>
    <row r="667" spans="95:107" ht="15.75" customHeight="1" x14ac:dyDescent="0.2">
      <c r="CQ667" s="111"/>
      <c r="DC667" s="112"/>
    </row>
    <row r="668" spans="95:107" ht="15.75" customHeight="1" x14ac:dyDescent="0.2">
      <c r="CQ668" s="111"/>
      <c r="DC668" s="112"/>
    </row>
    <row r="669" spans="95:107" ht="15.75" customHeight="1" x14ac:dyDescent="0.2">
      <c r="CQ669" s="111"/>
      <c r="DC669" s="112"/>
    </row>
    <row r="670" spans="95:107" ht="15.75" customHeight="1" x14ac:dyDescent="0.2">
      <c r="CQ670" s="111"/>
      <c r="DC670" s="112"/>
    </row>
    <row r="671" spans="95:107" ht="15.75" customHeight="1" x14ac:dyDescent="0.2">
      <c r="CQ671" s="111"/>
      <c r="DC671" s="112"/>
    </row>
    <row r="672" spans="95:107" ht="15.75" customHeight="1" x14ac:dyDescent="0.2">
      <c r="CQ672" s="111"/>
      <c r="DC672" s="112"/>
    </row>
    <row r="673" spans="95:107" ht="15.75" customHeight="1" x14ac:dyDescent="0.2">
      <c r="CQ673" s="111"/>
      <c r="DC673" s="112"/>
    </row>
    <row r="674" spans="95:107" ht="15.75" customHeight="1" x14ac:dyDescent="0.2">
      <c r="CQ674" s="111"/>
      <c r="DC674" s="112"/>
    </row>
    <row r="675" spans="95:107" ht="15.75" customHeight="1" x14ac:dyDescent="0.2">
      <c r="CQ675" s="111"/>
      <c r="DC675" s="112"/>
    </row>
    <row r="676" spans="95:107" ht="15.75" customHeight="1" x14ac:dyDescent="0.2">
      <c r="CQ676" s="111"/>
      <c r="DC676" s="112"/>
    </row>
    <row r="677" spans="95:107" ht="15.75" customHeight="1" x14ac:dyDescent="0.2">
      <c r="CQ677" s="111"/>
      <c r="DC677" s="112"/>
    </row>
    <row r="678" spans="95:107" ht="15.75" customHeight="1" x14ac:dyDescent="0.2">
      <c r="CQ678" s="111"/>
      <c r="DC678" s="112"/>
    </row>
    <row r="679" spans="95:107" ht="15.75" customHeight="1" x14ac:dyDescent="0.2">
      <c r="CQ679" s="111"/>
      <c r="DC679" s="112"/>
    </row>
    <row r="680" spans="95:107" ht="15.75" customHeight="1" x14ac:dyDescent="0.2">
      <c r="CQ680" s="111"/>
      <c r="DC680" s="112"/>
    </row>
    <row r="681" spans="95:107" ht="15.75" customHeight="1" x14ac:dyDescent="0.2">
      <c r="CQ681" s="111"/>
      <c r="DC681" s="112"/>
    </row>
    <row r="682" spans="95:107" ht="15.75" customHeight="1" x14ac:dyDescent="0.2">
      <c r="CQ682" s="111"/>
      <c r="DC682" s="112"/>
    </row>
    <row r="683" spans="95:107" ht="15.75" customHeight="1" x14ac:dyDescent="0.2">
      <c r="CQ683" s="111"/>
      <c r="DC683" s="112"/>
    </row>
    <row r="684" spans="95:107" ht="15.75" customHeight="1" x14ac:dyDescent="0.2">
      <c r="CQ684" s="111"/>
      <c r="DC684" s="112"/>
    </row>
    <row r="685" spans="95:107" ht="15.75" customHeight="1" x14ac:dyDescent="0.2">
      <c r="CQ685" s="111"/>
      <c r="DC685" s="112"/>
    </row>
    <row r="686" spans="95:107" ht="15.75" customHeight="1" x14ac:dyDescent="0.2">
      <c r="CQ686" s="111"/>
      <c r="DC686" s="112"/>
    </row>
    <row r="687" spans="95:107" ht="15.75" customHeight="1" x14ac:dyDescent="0.2">
      <c r="CQ687" s="111"/>
      <c r="DC687" s="112"/>
    </row>
    <row r="688" spans="95:107" ht="15.75" customHeight="1" x14ac:dyDescent="0.2">
      <c r="CQ688" s="111"/>
      <c r="DC688" s="112"/>
    </row>
    <row r="689" spans="95:107" ht="15.75" customHeight="1" x14ac:dyDescent="0.2">
      <c r="CQ689" s="111"/>
      <c r="DC689" s="112"/>
    </row>
    <row r="690" spans="95:107" ht="15.75" customHeight="1" x14ac:dyDescent="0.2">
      <c r="CQ690" s="111"/>
      <c r="DC690" s="112"/>
    </row>
    <row r="691" spans="95:107" ht="15.75" customHeight="1" x14ac:dyDescent="0.2">
      <c r="CQ691" s="111"/>
      <c r="DC691" s="112"/>
    </row>
    <row r="692" spans="95:107" ht="15.75" customHeight="1" x14ac:dyDescent="0.2">
      <c r="CQ692" s="111"/>
      <c r="DC692" s="112"/>
    </row>
    <row r="693" spans="95:107" ht="15.75" customHeight="1" x14ac:dyDescent="0.2">
      <c r="CQ693" s="111"/>
      <c r="DC693" s="112"/>
    </row>
    <row r="694" spans="95:107" ht="15.75" customHeight="1" x14ac:dyDescent="0.2">
      <c r="CQ694" s="111"/>
      <c r="DC694" s="112"/>
    </row>
    <row r="695" spans="95:107" ht="15.75" customHeight="1" x14ac:dyDescent="0.2">
      <c r="CQ695" s="111"/>
      <c r="DC695" s="112"/>
    </row>
    <row r="696" spans="95:107" ht="15.75" customHeight="1" x14ac:dyDescent="0.2">
      <c r="CQ696" s="111"/>
      <c r="DC696" s="112"/>
    </row>
    <row r="697" spans="95:107" ht="15.75" customHeight="1" x14ac:dyDescent="0.2">
      <c r="CQ697" s="111"/>
      <c r="DC697" s="112"/>
    </row>
    <row r="698" spans="95:107" ht="15.75" customHeight="1" x14ac:dyDescent="0.2">
      <c r="CQ698" s="111"/>
      <c r="DC698" s="112"/>
    </row>
    <row r="699" spans="95:107" ht="15.75" customHeight="1" x14ac:dyDescent="0.2">
      <c r="CQ699" s="111"/>
      <c r="DC699" s="112"/>
    </row>
    <row r="700" spans="95:107" ht="15.75" customHeight="1" x14ac:dyDescent="0.2">
      <c r="CQ700" s="111"/>
      <c r="DC700" s="112"/>
    </row>
    <row r="701" spans="95:107" ht="15.75" customHeight="1" x14ac:dyDescent="0.2">
      <c r="CQ701" s="111"/>
      <c r="DC701" s="112"/>
    </row>
    <row r="702" spans="95:107" ht="15.75" customHeight="1" x14ac:dyDescent="0.2">
      <c r="CQ702" s="111"/>
      <c r="DC702" s="112"/>
    </row>
    <row r="703" spans="95:107" ht="15.75" customHeight="1" x14ac:dyDescent="0.2">
      <c r="CQ703" s="111"/>
      <c r="DC703" s="112"/>
    </row>
    <row r="704" spans="95:107" ht="15.75" customHeight="1" x14ac:dyDescent="0.2">
      <c r="CQ704" s="111"/>
      <c r="DC704" s="112"/>
    </row>
    <row r="705" spans="95:107" ht="15.75" customHeight="1" x14ac:dyDescent="0.2">
      <c r="CQ705" s="111"/>
      <c r="DC705" s="112"/>
    </row>
    <row r="706" spans="95:107" ht="15.75" customHeight="1" x14ac:dyDescent="0.2">
      <c r="CQ706" s="111"/>
      <c r="DC706" s="112"/>
    </row>
    <row r="707" spans="95:107" ht="15.75" customHeight="1" x14ac:dyDescent="0.2">
      <c r="CQ707" s="111"/>
      <c r="DC707" s="112"/>
    </row>
    <row r="708" spans="95:107" ht="15.75" customHeight="1" x14ac:dyDescent="0.2">
      <c r="CQ708" s="111"/>
      <c r="DC708" s="112"/>
    </row>
    <row r="709" spans="95:107" ht="15.75" customHeight="1" x14ac:dyDescent="0.2">
      <c r="CQ709" s="111"/>
      <c r="DC709" s="112"/>
    </row>
    <row r="710" spans="95:107" ht="15.75" customHeight="1" x14ac:dyDescent="0.2">
      <c r="CQ710" s="111"/>
      <c r="DC710" s="112"/>
    </row>
    <row r="711" spans="95:107" ht="15.75" customHeight="1" x14ac:dyDescent="0.2">
      <c r="CQ711" s="111"/>
      <c r="DC711" s="112"/>
    </row>
    <row r="712" spans="95:107" ht="15.75" customHeight="1" x14ac:dyDescent="0.2">
      <c r="CQ712" s="111"/>
      <c r="DC712" s="112"/>
    </row>
    <row r="713" spans="95:107" ht="15.75" customHeight="1" x14ac:dyDescent="0.2">
      <c r="CQ713" s="111"/>
      <c r="DC713" s="112"/>
    </row>
    <row r="714" spans="95:107" ht="15.75" customHeight="1" x14ac:dyDescent="0.2">
      <c r="CQ714" s="111"/>
      <c r="DC714" s="112"/>
    </row>
    <row r="715" spans="95:107" ht="15.75" customHeight="1" x14ac:dyDescent="0.2">
      <c r="CQ715" s="111"/>
      <c r="DC715" s="112"/>
    </row>
    <row r="716" spans="95:107" ht="15.75" customHeight="1" x14ac:dyDescent="0.2">
      <c r="CQ716" s="111"/>
      <c r="DC716" s="112"/>
    </row>
    <row r="717" spans="95:107" ht="15.75" customHeight="1" x14ac:dyDescent="0.2">
      <c r="CQ717" s="111"/>
      <c r="DC717" s="112"/>
    </row>
    <row r="718" spans="95:107" ht="15.75" customHeight="1" x14ac:dyDescent="0.2">
      <c r="CQ718" s="111"/>
      <c r="DC718" s="112"/>
    </row>
    <row r="719" spans="95:107" ht="15.75" customHeight="1" x14ac:dyDescent="0.2">
      <c r="CQ719" s="111"/>
      <c r="DC719" s="112"/>
    </row>
    <row r="720" spans="95:107" ht="15.75" customHeight="1" x14ac:dyDescent="0.2">
      <c r="CQ720" s="111"/>
      <c r="DC720" s="112"/>
    </row>
    <row r="721" spans="95:107" ht="15.75" customHeight="1" x14ac:dyDescent="0.2">
      <c r="CQ721" s="111"/>
      <c r="DC721" s="112"/>
    </row>
    <row r="722" spans="95:107" ht="15.75" customHeight="1" x14ac:dyDescent="0.2">
      <c r="CQ722" s="111"/>
      <c r="DC722" s="112"/>
    </row>
    <row r="723" spans="95:107" ht="15.75" customHeight="1" x14ac:dyDescent="0.2">
      <c r="CQ723" s="111"/>
      <c r="DC723" s="112"/>
    </row>
    <row r="724" spans="95:107" ht="15.75" customHeight="1" x14ac:dyDescent="0.2">
      <c r="CQ724" s="111"/>
      <c r="DC724" s="112"/>
    </row>
    <row r="725" spans="95:107" ht="15.75" customHeight="1" x14ac:dyDescent="0.2">
      <c r="CQ725" s="111"/>
      <c r="DC725" s="112"/>
    </row>
    <row r="726" spans="95:107" ht="15.75" customHeight="1" x14ac:dyDescent="0.2">
      <c r="CQ726" s="111"/>
      <c r="DC726" s="112"/>
    </row>
    <row r="727" spans="95:107" ht="15.75" customHeight="1" x14ac:dyDescent="0.2">
      <c r="CQ727" s="111"/>
      <c r="DC727" s="112"/>
    </row>
    <row r="728" spans="95:107" ht="15.75" customHeight="1" x14ac:dyDescent="0.2">
      <c r="CQ728" s="111"/>
      <c r="DC728" s="112"/>
    </row>
    <row r="729" spans="95:107" ht="15.75" customHeight="1" x14ac:dyDescent="0.2">
      <c r="CQ729" s="111"/>
      <c r="DC729" s="112"/>
    </row>
    <row r="730" spans="95:107" ht="15.75" customHeight="1" x14ac:dyDescent="0.2">
      <c r="CQ730" s="111"/>
      <c r="DC730" s="112"/>
    </row>
    <row r="731" spans="95:107" ht="15.75" customHeight="1" x14ac:dyDescent="0.2">
      <c r="CQ731" s="111"/>
      <c r="DC731" s="112"/>
    </row>
    <row r="732" spans="95:107" ht="15.75" customHeight="1" x14ac:dyDescent="0.2">
      <c r="CQ732" s="111"/>
      <c r="DC732" s="112"/>
    </row>
    <row r="733" spans="95:107" ht="15.75" customHeight="1" x14ac:dyDescent="0.2">
      <c r="CQ733" s="111"/>
      <c r="DC733" s="112"/>
    </row>
    <row r="734" spans="95:107" ht="15.75" customHeight="1" x14ac:dyDescent="0.2">
      <c r="CQ734" s="111"/>
      <c r="DC734" s="112"/>
    </row>
    <row r="735" spans="95:107" ht="15.75" customHeight="1" x14ac:dyDescent="0.2">
      <c r="CQ735" s="111"/>
      <c r="DC735" s="112"/>
    </row>
    <row r="736" spans="95:107" ht="15.75" customHeight="1" x14ac:dyDescent="0.2">
      <c r="CQ736" s="111"/>
      <c r="DC736" s="112"/>
    </row>
    <row r="737" spans="95:107" ht="15.75" customHeight="1" x14ac:dyDescent="0.2">
      <c r="CQ737" s="111"/>
      <c r="DC737" s="112"/>
    </row>
    <row r="738" spans="95:107" ht="15.75" customHeight="1" x14ac:dyDescent="0.2">
      <c r="CQ738" s="111"/>
      <c r="DC738" s="112"/>
    </row>
    <row r="739" spans="95:107" ht="15.75" customHeight="1" x14ac:dyDescent="0.2">
      <c r="CQ739" s="111"/>
      <c r="DC739" s="112"/>
    </row>
    <row r="740" spans="95:107" ht="15.75" customHeight="1" x14ac:dyDescent="0.2">
      <c r="CQ740" s="111"/>
      <c r="DC740" s="112"/>
    </row>
    <row r="741" spans="95:107" ht="15.75" customHeight="1" x14ac:dyDescent="0.2">
      <c r="CQ741" s="111"/>
      <c r="DC741" s="112"/>
    </row>
    <row r="742" spans="95:107" ht="15.75" customHeight="1" x14ac:dyDescent="0.2">
      <c r="CQ742" s="111"/>
      <c r="DC742" s="112"/>
    </row>
    <row r="743" spans="95:107" ht="15.75" customHeight="1" x14ac:dyDescent="0.2">
      <c r="CQ743" s="111"/>
      <c r="DC743" s="112"/>
    </row>
    <row r="744" spans="95:107" ht="15.75" customHeight="1" x14ac:dyDescent="0.2">
      <c r="CQ744" s="111"/>
      <c r="DC744" s="112"/>
    </row>
    <row r="745" spans="95:107" ht="15.75" customHeight="1" x14ac:dyDescent="0.2">
      <c r="CQ745" s="111"/>
      <c r="DC745" s="112"/>
    </row>
    <row r="746" spans="95:107" ht="15.75" customHeight="1" x14ac:dyDescent="0.2">
      <c r="CQ746" s="111"/>
      <c r="DC746" s="112"/>
    </row>
    <row r="747" spans="95:107" ht="15.75" customHeight="1" x14ac:dyDescent="0.2">
      <c r="CQ747" s="111"/>
      <c r="DC747" s="112"/>
    </row>
    <row r="748" spans="95:107" ht="15.75" customHeight="1" x14ac:dyDescent="0.2">
      <c r="CQ748" s="111"/>
      <c r="DC748" s="112"/>
    </row>
    <row r="749" spans="95:107" ht="15.75" customHeight="1" x14ac:dyDescent="0.2">
      <c r="CQ749" s="111"/>
      <c r="DC749" s="112"/>
    </row>
    <row r="750" spans="95:107" ht="15.75" customHeight="1" x14ac:dyDescent="0.2">
      <c r="CQ750" s="111"/>
      <c r="DC750" s="112"/>
    </row>
    <row r="751" spans="95:107" ht="15.75" customHeight="1" x14ac:dyDescent="0.2">
      <c r="CQ751" s="111"/>
      <c r="DC751" s="112"/>
    </row>
    <row r="752" spans="95:107" ht="15.75" customHeight="1" x14ac:dyDescent="0.2">
      <c r="CQ752" s="111"/>
      <c r="DC752" s="112"/>
    </row>
    <row r="753" spans="95:107" ht="15.75" customHeight="1" x14ac:dyDescent="0.2">
      <c r="CQ753" s="111"/>
      <c r="DC753" s="112"/>
    </row>
    <row r="754" spans="95:107" ht="15.75" customHeight="1" x14ac:dyDescent="0.2">
      <c r="CQ754" s="111"/>
      <c r="DC754" s="112"/>
    </row>
    <row r="755" spans="95:107" ht="15.75" customHeight="1" x14ac:dyDescent="0.2">
      <c r="CQ755" s="111"/>
      <c r="DC755" s="112"/>
    </row>
    <row r="756" spans="95:107" ht="15.75" customHeight="1" x14ac:dyDescent="0.2">
      <c r="CQ756" s="111"/>
      <c r="DC756" s="112"/>
    </row>
    <row r="757" spans="95:107" ht="15.75" customHeight="1" x14ac:dyDescent="0.2">
      <c r="CQ757" s="111"/>
      <c r="DC757" s="112"/>
    </row>
    <row r="758" spans="95:107" ht="15.75" customHeight="1" x14ac:dyDescent="0.2">
      <c r="CQ758" s="111"/>
      <c r="DC758" s="112"/>
    </row>
    <row r="759" spans="95:107" ht="15.75" customHeight="1" x14ac:dyDescent="0.2">
      <c r="CQ759" s="111"/>
      <c r="DC759" s="112"/>
    </row>
    <row r="760" spans="95:107" ht="15.75" customHeight="1" x14ac:dyDescent="0.2">
      <c r="CQ760" s="111"/>
      <c r="DC760" s="112"/>
    </row>
    <row r="761" spans="95:107" ht="15.75" customHeight="1" x14ac:dyDescent="0.2">
      <c r="CQ761" s="111"/>
      <c r="DC761" s="112"/>
    </row>
    <row r="762" spans="95:107" ht="15.75" customHeight="1" x14ac:dyDescent="0.2">
      <c r="CQ762" s="111"/>
      <c r="DC762" s="112"/>
    </row>
    <row r="763" spans="95:107" ht="15.75" customHeight="1" x14ac:dyDescent="0.2">
      <c r="CQ763" s="111"/>
      <c r="DC763" s="112"/>
    </row>
    <row r="764" spans="95:107" ht="15.75" customHeight="1" x14ac:dyDescent="0.2">
      <c r="CQ764" s="111"/>
      <c r="DC764" s="112"/>
    </row>
    <row r="765" spans="95:107" ht="15.75" customHeight="1" x14ac:dyDescent="0.2">
      <c r="CQ765" s="111"/>
      <c r="DC765" s="112"/>
    </row>
    <row r="766" spans="95:107" ht="15.75" customHeight="1" x14ac:dyDescent="0.2">
      <c r="CQ766" s="111"/>
      <c r="DC766" s="112"/>
    </row>
    <row r="767" spans="95:107" ht="15.75" customHeight="1" x14ac:dyDescent="0.2">
      <c r="CQ767" s="111"/>
      <c r="DC767" s="112"/>
    </row>
    <row r="768" spans="95:107" ht="15.75" customHeight="1" x14ac:dyDescent="0.2">
      <c r="CQ768" s="111"/>
      <c r="DC768" s="112"/>
    </row>
    <row r="769" spans="95:107" ht="15.75" customHeight="1" x14ac:dyDescent="0.2">
      <c r="CQ769" s="111"/>
      <c r="DC769" s="112"/>
    </row>
    <row r="770" spans="95:107" ht="15.75" customHeight="1" x14ac:dyDescent="0.2">
      <c r="CQ770" s="111"/>
      <c r="DC770" s="112"/>
    </row>
    <row r="771" spans="95:107" ht="15.75" customHeight="1" x14ac:dyDescent="0.2">
      <c r="CQ771" s="111"/>
      <c r="DC771" s="112"/>
    </row>
    <row r="772" spans="95:107" ht="15.75" customHeight="1" x14ac:dyDescent="0.2">
      <c r="CQ772" s="111"/>
      <c r="DC772" s="112"/>
    </row>
    <row r="773" spans="95:107" ht="15.75" customHeight="1" x14ac:dyDescent="0.2">
      <c r="CQ773" s="111"/>
      <c r="DC773" s="112"/>
    </row>
    <row r="774" spans="95:107" ht="15.75" customHeight="1" x14ac:dyDescent="0.2">
      <c r="CQ774" s="111"/>
      <c r="DC774" s="112"/>
    </row>
    <row r="775" spans="95:107" ht="15.75" customHeight="1" x14ac:dyDescent="0.2">
      <c r="CQ775" s="111"/>
      <c r="DC775" s="112"/>
    </row>
    <row r="776" spans="95:107" ht="15.75" customHeight="1" x14ac:dyDescent="0.2">
      <c r="CQ776" s="111"/>
      <c r="DC776" s="112"/>
    </row>
    <row r="777" spans="95:107" ht="15.75" customHeight="1" x14ac:dyDescent="0.2">
      <c r="CQ777" s="111"/>
      <c r="DC777" s="112"/>
    </row>
    <row r="778" spans="95:107" ht="15.75" customHeight="1" x14ac:dyDescent="0.2">
      <c r="CQ778" s="111"/>
      <c r="DC778" s="112"/>
    </row>
    <row r="779" spans="95:107" ht="15.75" customHeight="1" x14ac:dyDescent="0.2">
      <c r="CQ779" s="111"/>
      <c r="DC779" s="112"/>
    </row>
    <row r="780" spans="95:107" ht="15.75" customHeight="1" x14ac:dyDescent="0.2">
      <c r="CQ780" s="111"/>
      <c r="DC780" s="112"/>
    </row>
    <row r="781" spans="95:107" ht="15.75" customHeight="1" x14ac:dyDescent="0.2">
      <c r="CQ781" s="111"/>
      <c r="DC781" s="112"/>
    </row>
    <row r="782" spans="95:107" ht="15.75" customHeight="1" x14ac:dyDescent="0.2">
      <c r="CQ782" s="111"/>
      <c r="DC782" s="112"/>
    </row>
    <row r="783" spans="95:107" ht="15.75" customHeight="1" x14ac:dyDescent="0.2">
      <c r="CQ783" s="111"/>
      <c r="DC783" s="112"/>
    </row>
    <row r="784" spans="95:107" ht="15.75" customHeight="1" x14ac:dyDescent="0.2">
      <c r="CQ784" s="111"/>
      <c r="DC784" s="112"/>
    </row>
    <row r="785" spans="95:107" ht="15.75" customHeight="1" x14ac:dyDescent="0.2">
      <c r="CQ785" s="111"/>
      <c r="DC785" s="112"/>
    </row>
    <row r="786" spans="95:107" ht="15.75" customHeight="1" x14ac:dyDescent="0.2">
      <c r="CQ786" s="111"/>
      <c r="DC786" s="112"/>
    </row>
    <row r="787" spans="95:107" ht="15.75" customHeight="1" x14ac:dyDescent="0.2">
      <c r="CQ787" s="111"/>
      <c r="DC787" s="112"/>
    </row>
    <row r="788" spans="95:107" ht="15.75" customHeight="1" x14ac:dyDescent="0.2">
      <c r="CQ788" s="111"/>
      <c r="DC788" s="112"/>
    </row>
    <row r="789" spans="95:107" ht="15.75" customHeight="1" x14ac:dyDescent="0.2">
      <c r="CQ789" s="111"/>
      <c r="DC789" s="112"/>
    </row>
    <row r="790" spans="95:107" ht="15.75" customHeight="1" x14ac:dyDescent="0.2">
      <c r="CQ790" s="111"/>
      <c r="DC790" s="112"/>
    </row>
    <row r="791" spans="95:107" ht="15.75" customHeight="1" x14ac:dyDescent="0.2">
      <c r="CQ791" s="111"/>
      <c r="DC791" s="112"/>
    </row>
    <row r="792" spans="95:107" ht="15.75" customHeight="1" x14ac:dyDescent="0.2">
      <c r="CQ792" s="111"/>
      <c r="DC792" s="112"/>
    </row>
    <row r="793" spans="95:107" ht="15.75" customHeight="1" x14ac:dyDescent="0.2">
      <c r="CQ793" s="111"/>
      <c r="DC793" s="112"/>
    </row>
    <row r="794" spans="95:107" ht="15.75" customHeight="1" x14ac:dyDescent="0.2">
      <c r="CQ794" s="111"/>
      <c r="DC794" s="112"/>
    </row>
    <row r="795" spans="95:107" ht="15.75" customHeight="1" x14ac:dyDescent="0.2">
      <c r="CQ795" s="111"/>
      <c r="DC795" s="112"/>
    </row>
    <row r="796" spans="95:107" ht="15.75" customHeight="1" x14ac:dyDescent="0.2">
      <c r="CQ796" s="111"/>
      <c r="DC796" s="112"/>
    </row>
    <row r="797" spans="95:107" ht="15.75" customHeight="1" x14ac:dyDescent="0.2">
      <c r="CQ797" s="111"/>
      <c r="DC797" s="112"/>
    </row>
    <row r="798" spans="95:107" ht="15.75" customHeight="1" x14ac:dyDescent="0.2">
      <c r="CQ798" s="111"/>
      <c r="DC798" s="112"/>
    </row>
    <row r="799" spans="95:107" ht="15.75" customHeight="1" x14ac:dyDescent="0.2">
      <c r="CQ799" s="111"/>
      <c r="DC799" s="112"/>
    </row>
    <row r="800" spans="95:107" ht="15.75" customHeight="1" x14ac:dyDescent="0.2">
      <c r="CQ800" s="111"/>
      <c r="DC800" s="112"/>
    </row>
    <row r="801" spans="95:107" ht="15.75" customHeight="1" x14ac:dyDescent="0.2">
      <c r="CQ801" s="111"/>
      <c r="DC801" s="112"/>
    </row>
    <row r="802" spans="95:107" ht="15.75" customHeight="1" x14ac:dyDescent="0.2">
      <c r="CQ802" s="111"/>
      <c r="DC802" s="112"/>
    </row>
    <row r="803" spans="95:107" ht="15.75" customHeight="1" x14ac:dyDescent="0.2">
      <c r="CQ803" s="111"/>
      <c r="DC803" s="112"/>
    </row>
    <row r="804" spans="95:107" ht="15.75" customHeight="1" x14ac:dyDescent="0.2">
      <c r="CQ804" s="111"/>
      <c r="DC804" s="112"/>
    </row>
    <row r="805" spans="95:107" ht="15.75" customHeight="1" x14ac:dyDescent="0.2">
      <c r="CQ805" s="111"/>
      <c r="DC805" s="112"/>
    </row>
    <row r="806" spans="95:107" ht="15.75" customHeight="1" x14ac:dyDescent="0.2">
      <c r="CQ806" s="111"/>
      <c r="DC806" s="112"/>
    </row>
    <row r="807" spans="95:107" ht="15.75" customHeight="1" x14ac:dyDescent="0.2">
      <c r="CQ807" s="111"/>
      <c r="DC807" s="112"/>
    </row>
    <row r="808" spans="95:107" ht="15.75" customHeight="1" x14ac:dyDescent="0.2">
      <c r="CQ808" s="111"/>
      <c r="DC808" s="112"/>
    </row>
    <row r="809" spans="95:107" ht="15.75" customHeight="1" x14ac:dyDescent="0.2">
      <c r="CQ809" s="111"/>
      <c r="DC809" s="112"/>
    </row>
    <row r="810" spans="95:107" ht="15.75" customHeight="1" x14ac:dyDescent="0.2">
      <c r="CQ810" s="111"/>
      <c r="DC810" s="112"/>
    </row>
    <row r="811" spans="95:107" ht="15.75" customHeight="1" x14ac:dyDescent="0.2">
      <c r="CQ811" s="111"/>
      <c r="DC811" s="112"/>
    </row>
    <row r="812" spans="95:107" ht="15.75" customHeight="1" x14ac:dyDescent="0.2">
      <c r="CQ812" s="111"/>
      <c r="DC812" s="112"/>
    </row>
    <row r="813" spans="95:107" ht="15.75" customHeight="1" x14ac:dyDescent="0.2">
      <c r="CQ813" s="111"/>
      <c r="DC813" s="112"/>
    </row>
    <row r="814" spans="95:107" ht="15.75" customHeight="1" x14ac:dyDescent="0.2">
      <c r="CQ814" s="111"/>
      <c r="DC814" s="112"/>
    </row>
    <row r="815" spans="95:107" ht="15.75" customHeight="1" x14ac:dyDescent="0.2">
      <c r="CQ815" s="111"/>
      <c r="DC815" s="112"/>
    </row>
    <row r="816" spans="95:107" ht="15.75" customHeight="1" x14ac:dyDescent="0.2">
      <c r="CQ816" s="111"/>
      <c r="DC816" s="112"/>
    </row>
    <row r="817" spans="95:107" ht="15.75" customHeight="1" x14ac:dyDescent="0.2">
      <c r="CQ817" s="111"/>
      <c r="DC817" s="112"/>
    </row>
    <row r="818" spans="95:107" ht="15.75" customHeight="1" x14ac:dyDescent="0.2">
      <c r="CQ818" s="111"/>
      <c r="DC818" s="112"/>
    </row>
    <row r="819" spans="95:107" ht="15.75" customHeight="1" x14ac:dyDescent="0.2">
      <c r="CQ819" s="111"/>
      <c r="DC819" s="112"/>
    </row>
    <row r="820" spans="95:107" ht="15.75" customHeight="1" x14ac:dyDescent="0.2">
      <c r="CQ820" s="111"/>
      <c r="DC820" s="112"/>
    </row>
    <row r="821" spans="95:107" ht="15.75" customHeight="1" x14ac:dyDescent="0.2">
      <c r="CQ821" s="111"/>
      <c r="DC821" s="112"/>
    </row>
    <row r="822" spans="95:107" ht="15.75" customHeight="1" x14ac:dyDescent="0.2">
      <c r="CQ822" s="111"/>
      <c r="DC822" s="112"/>
    </row>
    <row r="823" spans="95:107" ht="15.75" customHeight="1" x14ac:dyDescent="0.2">
      <c r="CQ823" s="111"/>
      <c r="DC823" s="112"/>
    </row>
    <row r="824" spans="95:107" ht="15.75" customHeight="1" x14ac:dyDescent="0.2">
      <c r="CQ824" s="111"/>
      <c r="DC824" s="112"/>
    </row>
    <row r="825" spans="95:107" ht="15.75" customHeight="1" x14ac:dyDescent="0.2">
      <c r="CQ825" s="111"/>
      <c r="DC825" s="112"/>
    </row>
    <row r="826" spans="95:107" ht="15.75" customHeight="1" x14ac:dyDescent="0.2">
      <c r="CQ826" s="111"/>
      <c r="DC826" s="112"/>
    </row>
    <row r="827" spans="95:107" ht="15.75" customHeight="1" x14ac:dyDescent="0.2">
      <c r="CQ827" s="111"/>
      <c r="DC827" s="112"/>
    </row>
    <row r="828" spans="95:107" ht="15.75" customHeight="1" x14ac:dyDescent="0.2">
      <c r="CQ828" s="111"/>
      <c r="DC828" s="112"/>
    </row>
    <row r="829" spans="95:107" ht="15.75" customHeight="1" x14ac:dyDescent="0.2">
      <c r="CQ829" s="111"/>
      <c r="DC829" s="112"/>
    </row>
    <row r="830" spans="95:107" ht="15.75" customHeight="1" x14ac:dyDescent="0.2">
      <c r="CQ830" s="111"/>
      <c r="DC830" s="112"/>
    </row>
    <row r="831" spans="95:107" ht="15.75" customHeight="1" x14ac:dyDescent="0.2">
      <c r="CQ831" s="111"/>
      <c r="DC831" s="112"/>
    </row>
    <row r="832" spans="95:107" ht="15.75" customHeight="1" x14ac:dyDescent="0.2">
      <c r="CQ832" s="111"/>
      <c r="DC832" s="112"/>
    </row>
    <row r="833" spans="95:107" ht="15.75" customHeight="1" x14ac:dyDescent="0.2">
      <c r="CQ833" s="111"/>
      <c r="DC833" s="112"/>
    </row>
    <row r="834" spans="95:107" ht="15.75" customHeight="1" x14ac:dyDescent="0.2">
      <c r="CQ834" s="111"/>
      <c r="DC834" s="112"/>
    </row>
    <row r="835" spans="95:107" ht="15.75" customHeight="1" x14ac:dyDescent="0.2">
      <c r="CQ835" s="111"/>
      <c r="DC835" s="112"/>
    </row>
    <row r="836" spans="95:107" ht="15.75" customHeight="1" x14ac:dyDescent="0.2">
      <c r="CQ836" s="111"/>
      <c r="DC836" s="112"/>
    </row>
    <row r="837" spans="95:107" ht="15.75" customHeight="1" x14ac:dyDescent="0.2">
      <c r="CQ837" s="111"/>
      <c r="DC837" s="112"/>
    </row>
    <row r="838" spans="95:107" ht="15.75" customHeight="1" x14ac:dyDescent="0.2">
      <c r="CQ838" s="111"/>
      <c r="DC838" s="112"/>
    </row>
    <row r="839" spans="95:107" ht="15.75" customHeight="1" x14ac:dyDescent="0.2">
      <c r="CQ839" s="111"/>
      <c r="DC839" s="112"/>
    </row>
    <row r="840" spans="95:107" ht="15.75" customHeight="1" x14ac:dyDescent="0.2">
      <c r="CQ840" s="111"/>
      <c r="DC840" s="112"/>
    </row>
    <row r="841" spans="95:107" ht="15.75" customHeight="1" x14ac:dyDescent="0.2">
      <c r="CQ841" s="111"/>
      <c r="DC841" s="112"/>
    </row>
    <row r="842" spans="95:107" ht="15.75" customHeight="1" x14ac:dyDescent="0.2">
      <c r="CQ842" s="111"/>
      <c r="DC842" s="112"/>
    </row>
    <row r="843" spans="95:107" ht="15.75" customHeight="1" x14ac:dyDescent="0.2">
      <c r="CQ843" s="111"/>
      <c r="DC843" s="112"/>
    </row>
    <row r="844" spans="95:107" ht="15.75" customHeight="1" x14ac:dyDescent="0.2">
      <c r="CQ844" s="111"/>
      <c r="DC844" s="112"/>
    </row>
    <row r="845" spans="95:107" ht="15.75" customHeight="1" x14ac:dyDescent="0.2">
      <c r="CQ845" s="111"/>
      <c r="DC845" s="112"/>
    </row>
    <row r="846" spans="95:107" ht="15.75" customHeight="1" x14ac:dyDescent="0.2">
      <c r="CQ846" s="111"/>
      <c r="DC846" s="112"/>
    </row>
    <row r="847" spans="95:107" ht="15.75" customHeight="1" x14ac:dyDescent="0.2">
      <c r="CQ847" s="111"/>
      <c r="DC847" s="112"/>
    </row>
    <row r="848" spans="95:107" ht="15.75" customHeight="1" x14ac:dyDescent="0.2">
      <c r="CQ848" s="111"/>
      <c r="DC848" s="112"/>
    </row>
    <row r="849" spans="95:107" ht="15.75" customHeight="1" x14ac:dyDescent="0.2">
      <c r="CQ849" s="111"/>
      <c r="DC849" s="112"/>
    </row>
    <row r="850" spans="95:107" ht="15.75" customHeight="1" x14ac:dyDescent="0.2">
      <c r="CQ850" s="111"/>
      <c r="DC850" s="112"/>
    </row>
    <row r="851" spans="95:107" ht="15.75" customHeight="1" x14ac:dyDescent="0.2">
      <c r="CQ851" s="111"/>
      <c r="DC851" s="112"/>
    </row>
    <row r="852" spans="95:107" ht="15.75" customHeight="1" x14ac:dyDescent="0.2">
      <c r="CQ852" s="111"/>
      <c r="DC852" s="112"/>
    </row>
    <row r="853" spans="95:107" ht="15.75" customHeight="1" x14ac:dyDescent="0.2">
      <c r="CQ853" s="111"/>
      <c r="DC853" s="112"/>
    </row>
    <row r="854" spans="95:107" ht="15.75" customHeight="1" x14ac:dyDescent="0.2">
      <c r="CQ854" s="111"/>
      <c r="DC854" s="112"/>
    </row>
    <row r="855" spans="95:107" ht="15.75" customHeight="1" x14ac:dyDescent="0.2">
      <c r="CQ855" s="111"/>
      <c r="DC855" s="112"/>
    </row>
    <row r="856" spans="95:107" ht="15.75" customHeight="1" x14ac:dyDescent="0.2">
      <c r="CQ856" s="111"/>
      <c r="DC856" s="112"/>
    </row>
    <row r="857" spans="95:107" ht="15.75" customHeight="1" x14ac:dyDescent="0.2">
      <c r="CQ857" s="111"/>
      <c r="DC857" s="112"/>
    </row>
    <row r="858" spans="95:107" ht="15.75" customHeight="1" x14ac:dyDescent="0.2">
      <c r="CQ858" s="111"/>
      <c r="DC858" s="112"/>
    </row>
    <row r="859" spans="95:107" ht="15.75" customHeight="1" x14ac:dyDescent="0.2">
      <c r="CQ859" s="111"/>
      <c r="DC859" s="112"/>
    </row>
    <row r="860" spans="95:107" ht="15.75" customHeight="1" x14ac:dyDescent="0.2">
      <c r="CQ860" s="111"/>
      <c r="DC860" s="112"/>
    </row>
    <row r="861" spans="95:107" ht="15.75" customHeight="1" x14ac:dyDescent="0.2">
      <c r="CQ861" s="111"/>
      <c r="DC861" s="112"/>
    </row>
    <row r="862" spans="95:107" ht="15.75" customHeight="1" x14ac:dyDescent="0.2">
      <c r="CQ862" s="111"/>
      <c r="DC862" s="112"/>
    </row>
    <row r="863" spans="95:107" ht="15.75" customHeight="1" x14ac:dyDescent="0.2">
      <c r="CQ863" s="111"/>
      <c r="DC863" s="112"/>
    </row>
    <row r="864" spans="95:107" ht="15.75" customHeight="1" x14ac:dyDescent="0.2">
      <c r="CQ864" s="111"/>
      <c r="DC864" s="112"/>
    </row>
    <row r="865" spans="95:107" ht="15.75" customHeight="1" x14ac:dyDescent="0.2">
      <c r="CQ865" s="111"/>
      <c r="DC865" s="112"/>
    </row>
    <row r="866" spans="95:107" ht="15.75" customHeight="1" x14ac:dyDescent="0.2">
      <c r="CQ866" s="111"/>
      <c r="DC866" s="112"/>
    </row>
    <row r="867" spans="95:107" ht="15.75" customHeight="1" x14ac:dyDescent="0.2">
      <c r="CQ867" s="111"/>
      <c r="DC867" s="112"/>
    </row>
    <row r="868" spans="95:107" ht="15.75" customHeight="1" x14ac:dyDescent="0.2">
      <c r="CQ868" s="111"/>
      <c r="DC868" s="112"/>
    </row>
    <row r="869" spans="95:107" ht="15.75" customHeight="1" x14ac:dyDescent="0.2">
      <c r="CQ869" s="111"/>
      <c r="DC869" s="112"/>
    </row>
    <row r="870" spans="95:107" ht="15.75" customHeight="1" x14ac:dyDescent="0.2">
      <c r="CQ870" s="111"/>
      <c r="DC870" s="112"/>
    </row>
    <row r="871" spans="95:107" ht="15.75" customHeight="1" x14ac:dyDescent="0.2">
      <c r="CQ871" s="111"/>
      <c r="DC871" s="112"/>
    </row>
    <row r="872" spans="95:107" ht="15.75" customHeight="1" x14ac:dyDescent="0.2">
      <c r="CQ872" s="111"/>
      <c r="DC872" s="112"/>
    </row>
    <row r="873" spans="95:107" ht="15.75" customHeight="1" x14ac:dyDescent="0.2">
      <c r="CQ873" s="111"/>
      <c r="DC873" s="112"/>
    </row>
    <row r="874" spans="95:107" ht="15.75" customHeight="1" x14ac:dyDescent="0.2">
      <c r="CQ874" s="111"/>
      <c r="DC874" s="112"/>
    </row>
    <row r="875" spans="95:107" ht="15.75" customHeight="1" x14ac:dyDescent="0.2">
      <c r="CQ875" s="111"/>
      <c r="DC875" s="112"/>
    </row>
    <row r="876" spans="95:107" ht="15.75" customHeight="1" x14ac:dyDescent="0.2">
      <c r="CQ876" s="111"/>
      <c r="DC876" s="112"/>
    </row>
    <row r="877" spans="95:107" ht="15.75" customHeight="1" x14ac:dyDescent="0.2">
      <c r="CQ877" s="111"/>
      <c r="DC877" s="112"/>
    </row>
    <row r="878" spans="95:107" ht="15.75" customHeight="1" x14ac:dyDescent="0.2">
      <c r="CQ878" s="111"/>
      <c r="DC878" s="112"/>
    </row>
    <row r="879" spans="95:107" ht="15.75" customHeight="1" x14ac:dyDescent="0.2">
      <c r="CQ879" s="111"/>
      <c r="DC879" s="112"/>
    </row>
    <row r="880" spans="95:107" ht="15.75" customHeight="1" x14ac:dyDescent="0.2">
      <c r="CQ880" s="111"/>
      <c r="DC880" s="112"/>
    </row>
    <row r="881" spans="95:107" ht="15.75" customHeight="1" x14ac:dyDescent="0.2">
      <c r="CQ881" s="111"/>
      <c r="DC881" s="112"/>
    </row>
    <row r="882" spans="95:107" ht="15.75" customHeight="1" x14ac:dyDescent="0.2">
      <c r="CQ882" s="111"/>
      <c r="DC882" s="112"/>
    </row>
    <row r="883" spans="95:107" ht="15.75" customHeight="1" x14ac:dyDescent="0.2">
      <c r="CQ883" s="111"/>
      <c r="DC883" s="112"/>
    </row>
    <row r="884" spans="95:107" ht="15.75" customHeight="1" x14ac:dyDescent="0.2">
      <c r="CQ884" s="111"/>
      <c r="DC884" s="112"/>
    </row>
    <row r="885" spans="95:107" ht="15.75" customHeight="1" x14ac:dyDescent="0.2">
      <c r="CQ885" s="111"/>
      <c r="DC885" s="112"/>
    </row>
    <row r="886" spans="95:107" ht="15.75" customHeight="1" x14ac:dyDescent="0.2">
      <c r="CQ886" s="111"/>
      <c r="DC886" s="112"/>
    </row>
    <row r="887" spans="95:107" ht="15.75" customHeight="1" x14ac:dyDescent="0.2">
      <c r="CQ887" s="111"/>
      <c r="DC887" s="112"/>
    </row>
    <row r="888" spans="95:107" ht="15.75" customHeight="1" x14ac:dyDescent="0.2">
      <c r="CQ888" s="111"/>
      <c r="DC888" s="112"/>
    </row>
    <row r="889" spans="95:107" ht="15.75" customHeight="1" x14ac:dyDescent="0.2">
      <c r="CQ889" s="111"/>
      <c r="DC889" s="112"/>
    </row>
    <row r="890" spans="95:107" ht="15.75" customHeight="1" x14ac:dyDescent="0.2">
      <c r="CQ890" s="111"/>
      <c r="DC890" s="112"/>
    </row>
    <row r="891" spans="95:107" ht="15.75" customHeight="1" x14ac:dyDescent="0.2">
      <c r="CQ891" s="111"/>
      <c r="DC891" s="112"/>
    </row>
    <row r="892" spans="95:107" ht="15.75" customHeight="1" x14ac:dyDescent="0.2">
      <c r="CQ892" s="111"/>
      <c r="DC892" s="112"/>
    </row>
    <row r="893" spans="95:107" ht="15.75" customHeight="1" x14ac:dyDescent="0.2">
      <c r="CQ893" s="111"/>
      <c r="DC893" s="112"/>
    </row>
    <row r="894" spans="95:107" ht="15.75" customHeight="1" x14ac:dyDescent="0.2">
      <c r="CQ894" s="111"/>
      <c r="DC894" s="112"/>
    </row>
    <row r="895" spans="95:107" ht="15.75" customHeight="1" x14ac:dyDescent="0.2">
      <c r="CQ895" s="111"/>
      <c r="DC895" s="112"/>
    </row>
    <row r="896" spans="95:107" ht="15.75" customHeight="1" x14ac:dyDescent="0.2">
      <c r="CQ896" s="111"/>
      <c r="DC896" s="112"/>
    </row>
    <row r="897" spans="95:107" ht="15.75" customHeight="1" x14ac:dyDescent="0.2">
      <c r="CQ897" s="111"/>
      <c r="DC897" s="112"/>
    </row>
    <row r="898" spans="95:107" ht="15.75" customHeight="1" x14ac:dyDescent="0.2">
      <c r="CQ898" s="111"/>
      <c r="DC898" s="112"/>
    </row>
    <row r="899" spans="95:107" ht="15.75" customHeight="1" x14ac:dyDescent="0.2">
      <c r="CQ899" s="111"/>
      <c r="DC899" s="112"/>
    </row>
    <row r="900" spans="95:107" ht="15.75" customHeight="1" x14ac:dyDescent="0.2">
      <c r="CQ900" s="111"/>
      <c r="DC900" s="112"/>
    </row>
    <row r="901" spans="95:107" ht="15.75" customHeight="1" x14ac:dyDescent="0.2">
      <c r="CQ901" s="111"/>
      <c r="DC901" s="112"/>
    </row>
    <row r="902" spans="95:107" ht="15.75" customHeight="1" x14ac:dyDescent="0.2">
      <c r="CQ902" s="111"/>
      <c r="DC902" s="112"/>
    </row>
    <row r="903" spans="95:107" ht="15.75" customHeight="1" x14ac:dyDescent="0.2">
      <c r="CQ903" s="111"/>
      <c r="DC903" s="112"/>
    </row>
    <row r="904" spans="95:107" ht="15.75" customHeight="1" x14ac:dyDescent="0.2">
      <c r="CQ904" s="111"/>
      <c r="DC904" s="112"/>
    </row>
    <row r="905" spans="95:107" ht="15.75" customHeight="1" x14ac:dyDescent="0.2">
      <c r="CQ905" s="111"/>
      <c r="DC905" s="112"/>
    </row>
    <row r="906" spans="95:107" ht="15.75" customHeight="1" x14ac:dyDescent="0.2">
      <c r="CQ906" s="111"/>
      <c r="DC906" s="112"/>
    </row>
    <row r="907" spans="95:107" ht="15.75" customHeight="1" x14ac:dyDescent="0.2">
      <c r="CQ907" s="111"/>
      <c r="DC907" s="112"/>
    </row>
    <row r="908" spans="95:107" ht="15.75" customHeight="1" x14ac:dyDescent="0.2">
      <c r="CQ908" s="111"/>
      <c r="DC908" s="112"/>
    </row>
    <row r="909" spans="95:107" ht="15.75" customHeight="1" x14ac:dyDescent="0.2">
      <c r="CQ909" s="111"/>
      <c r="DC909" s="112"/>
    </row>
    <row r="910" spans="95:107" ht="15.75" customHeight="1" x14ac:dyDescent="0.2">
      <c r="CQ910" s="111"/>
      <c r="DC910" s="112"/>
    </row>
    <row r="911" spans="95:107" ht="15.75" customHeight="1" x14ac:dyDescent="0.2">
      <c r="CQ911" s="111"/>
      <c r="DC911" s="112"/>
    </row>
    <row r="912" spans="95:107" ht="15.75" customHeight="1" x14ac:dyDescent="0.2">
      <c r="CQ912" s="111"/>
      <c r="DC912" s="112"/>
    </row>
    <row r="913" spans="95:107" ht="15.75" customHeight="1" x14ac:dyDescent="0.2">
      <c r="CQ913" s="111"/>
      <c r="DC913" s="112"/>
    </row>
    <row r="914" spans="95:107" ht="15.75" customHeight="1" x14ac:dyDescent="0.2">
      <c r="CQ914" s="111"/>
      <c r="DC914" s="112"/>
    </row>
    <row r="915" spans="95:107" ht="15.75" customHeight="1" x14ac:dyDescent="0.2">
      <c r="CQ915" s="111"/>
      <c r="DC915" s="112"/>
    </row>
    <row r="916" spans="95:107" ht="15.75" customHeight="1" x14ac:dyDescent="0.2">
      <c r="CQ916" s="111"/>
      <c r="DC916" s="112"/>
    </row>
    <row r="917" spans="95:107" ht="15.75" customHeight="1" x14ac:dyDescent="0.2">
      <c r="CQ917" s="111"/>
      <c r="DC917" s="112"/>
    </row>
    <row r="918" spans="95:107" ht="15.75" customHeight="1" x14ac:dyDescent="0.2">
      <c r="CQ918" s="111"/>
      <c r="DC918" s="112"/>
    </row>
    <row r="919" spans="95:107" ht="15.75" customHeight="1" x14ac:dyDescent="0.2">
      <c r="CQ919" s="111"/>
      <c r="DC919" s="112"/>
    </row>
    <row r="920" spans="95:107" ht="15.75" customHeight="1" x14ac:dyDescent="0.2">
      <c r="CQ920" s="111"/>
      <c r="DC920" s="112"/>
    </row>
    <row r="921" spans="95:107" ht="15.75" customHeight="1" x14ac:dyDescent="0.2">
      <c r="CQ921" s="111"/>
      <c r="DC921" s="112"/>
    </row>
    <row r="922" spans="95:107" ht="15.75" customHeight="1" x14ac:dyDescent="0.2">
      <c r="CQ922" s="111"/>
      <c r="DC922" s="112"/>
    </row>
    <row r="923" spans="95:107" ht="15.75" customHeight="1" x14ac:dyDescent="0.2">
      <c r="CQ923" s="111"/>
      <c r="DC923" s="112"/>
    </row>
    <row r="924" spans="95:107" ht="15.75" customHeight="1" x14ac:dyDescent="0.2">
      <c r="CQ924" s="111"/>
      <c r="DC924" s="112"/>
    </row>
    <row r="925" spans="95:107" ht="15.75" customHeight="1" x14ac:dyDescent="0.2">
      <c r="CQ925" s="111"/>
      <c r="DC925" s="112"/>
    </row>
    <row r="926" spans="95:107" ht="15.75" customHeight="1" x14ac:dyDescent="0.2">
      <c r="CQ926" s="111"/>
      <c r="DC926" s="112"/>
    </row>
    <row r="927" spans="95:107" ht="15.75" customHeight="1" x14ac:dyDescent="0.2">
      <c r="CQ927" s="111"/>
      <c r="DC927" s="112"/>
    </row>
    <row r="928" spans="95:107" ht="15.75" customHeight="1" x14ac:dyDescent="0.2">
      <c r="CQ928" s="111"/>
      <c r="DC928" s="112"/>
    </row>
    <row r="929" spans="95:107" ht="15.75" customHeight="1" x14ac:dyDescent="0.2">
      <c r="CQ929" s="111"/>
      <c r="DC929" s="112"/>
    </row>
    <row r="930" spans="95:107" ht="15.75" customHeight="1" x14ac:dyDescent="0.2">
      <c r="CQ930" s="111"/>
      <c r="DC930" s="112"/>
    </row>
    <row r="931" spans="95:107" ht="15.75" customHeight="1" x14ac:dyDescent="0.2">
      <c r="CQ931" s="111"/>
      <c r="DC931" s="112"/>
    </row>
    <row r="932" spans="95:107" ht="15.75" customHeight="1" x14ac:dyDescent="0.2">
      <c r="CQ932" s="111"/>
      <c r="DC932" s="112"/>
    </row>
    <row r="933" spans="95:107" ht="15.75" customHeight="1" x14ac:dyDescent="0.2">
      <c r="CQ933" s="111"/>
      <c r="DC933" s="112"/>
    </row>
    <row r="934" spans="95:107" ht="15.75" customHeight="1" x14ac:dyDescent="0.2">
      <c r="CQ934" s="111"/>
      <c r="DC934" s="112"/>
    </row>
    <row r="935" spans="95:107" ht="15.75" customHeight="1" x14ac:dyDescent="0.2">
      <c r="CQ935" s="111"/>
      <c r="DC935" s="112"/>
    </row>
    <row r="936" spans="95:107" ht="15.75" customHeight="1" x14ac:dyDescent="0.2">
      <c r="CQ936" s="111"/>
      <c r="DC936" s="112"/>
    </row>
    <row r="937" spans="95:107" ht="15.75" customHeight="1" x14ac:dyDescent="0.2">
      <c r="CQ937" s="111"/>
      <c r="DC937" s="112"/>
    </row>
    <row r="938" spans="95:107" ht="15.75" customHeight="1" x14ac:dyDescent="0.2">
      <c r="CQ938" s="111"/>
      <c r="DC938" s="112"/>
    </row>
    <row r="939" spans="95:107" ht="15.75" customHeight="1" x14ac:dyDescent="0.2">
      <c r="CQ939" s="111"/>
      <c r="DC939" s="112"/>
    </row>
    <row r="940" spans="95:107" ht="15.75" customHeight="1" x14ac:dyDescent="0.2">
      <c r="CQ940" s="111"/>
      <c r="DC940" s="112"/>
    </row>
    <row r="941" spans="95:107" ht="15.75" customHeight="1" x14ac:dyDescent="0.2">
      <c r="CQ941" s="111"/>
      <c r="DC941" s="112"/>
    </row>
    <row r="942" spans="95:107" ht="15.75" customHeight="1" x14ac:dyDescent="0.2">
      <c r="CQ942" s="111"/>
      <c r="DC942" s="112"/>
    </row>
    <row r="943" spans="95:107" ht="15.75" customHeight="1" x14ac:dyDescent="0.2">
      <c r="CQ943" s="111"/>
      <c r="DC943" s="112"/>
    </row>
    <row r="944" spans="95:107" ht="15.75" customHeight="1" x14ac:dyDescent="0.2">
      <c r="CQ944" s="111"/>
      <c r="DC944" s="112"/>
    </row>
    <row r="945" spans="95:107" ht="15.75" customHeight="1" x14ac:dyDescent="0.2">
      <c r="CQ945" s="111"/>
      <c r="DC945" s="112"/>
    </row>
    <row r="946" spans="95:107" ht="15.75" customHeight="1" x14ac:dyDescent="0.2">
      <c r="CQ946" s="111"/>
      <c r="DC946" s="112"/>
    </row>
    <row r="947" spans="95:107" ht="15.75" customHeight="1" x14ac:dyDescent="0.2">
      <c r="CQ947" s="111"/>
      <c r="DC947" s="112"/>
    </row>
    <row r="948" spans="95:107" ht="15.75" customHeight="1" x14ac:dyDescent="0.2">
      <c r="CQ948" s="111"/>
      <c r="DC948" s="112"/>
    </row>
    <row r="949" spans="95:107" ht="15.75" customHeight="1" x14ac:dyDescent="0.2">
      <c r="CQ949" s="111"/>
      <c r="DC949" s="112"/>
    </row>
    <row r="950" spans="95:107" ht="15.75" customHeight="1" x14ac:dyDescent="0.2">
      <c r="CQ950" s="111"/>
      <c r="DC950" s="112"/>
    </row>
    <row r="951" spans="95:107" ht="15.75" customHeight="1" x14ac:dyDescent="0.2">
      <c r="CQ951" s="111"/>
      <c r="DC951" s="112"/>
    </row>
    <row r="952" spans="95:107" ht="15.75" customHeight="1" x14ac:dyDescent="0.2">
      <c r="CQ952" s="111"/>
      <c r="DC952" s="112"/>
    </row>
    <row r="953" spans="95:107" ht="15.75" customHeight="1" x14ac:dyDescent="0.2">
      <c r="CQ953" s="111"/>
      <c r="DC953" s="112"/>
    </row>
    <row r="954" spans="95:107" ht="15.75" customHeight="1" x14ac:dyDescent="0.2">
      <c r="CQ954" s="111"/>
      <c r="DC954" s="112"/>
    </row>
    <row r="955" spans="95:107" ht="15.75" customHeight="1" x14ac:dyDescent="0.2">
      <c r="CQ955" s="111"/>
      <c r="DC955" s="112"/>
    </row>
    <row r="956" spans="95:107" ht="15.75" customHeight="1" x14ac:dyDescent="0.2">
      <c r="CQ956" s="111"/>
      <c r="DC956" s="112"/>
    </row>
    <row r="957" spans="95:107" ht="15.75" customHeight="1" x14ac:dyDescent="0.2">
      <c r="CQ957" s="111"/>
      <c r="DC957" s="112"/>
    </row>
    <row r="958" spans="95:107" ht="15.75" customHeight="1" x14ac:dyDescent="0.2">
      <c r="CQ958" s="111"/>
      <c r="DC958" s="112"/>
    </row>
    <row r="959" spans="95:107" ht="15.75" customHeight="1" x14ac:dyDescent="0.2">
      <c r="CQ959" s="111"/>
      <c r="DC959" s="112"/>
    </row>
    <row r="960" spans="95:107" ht="15.75" customHeight="1" x14ac:dyDescent="0.2">
      <c r="CQ960" s="111"/>
      <c r="DC960" s="112"/>
    </row>
    <row r="961" spans="95:107" ht="15.75" customHeight="1" x14ac:dyDescent="0.2">
      <c r="CQ961" s="111"/>
      <c r="DC961" s="112"/>
    </row>
    <row r="962" spans="95:107" ht="15.75" customHeight="1" x14ac:dyDescent="0.2">
      <c r="CQ962" s="111"/>
      <c r="DC962" s="112"/>
    </row>
    <row r="963" spans="95:107" ht="15.75" customHeight="1" x14ac:dyDescent="0.2">
      <c r="CQ963" s="111"/>
      <c r="DC963" s="112"/>
    </row>
    <row r="964" spans="95:107" ht="15.75" customHeight="1" x14ac:dyDescent="0.2">
      <c r="CQ964" s="111"/>
      <c r="DC964" s="112"/>
    </row>
    <row r="965" spans="95:107" ht="15.75" customHeight="1" x14ac:dyDescent="0.2">
      <c r="CQ965" s="111"/>
      <c r="DC965" s="112"/>
    </row>
    <row r="966" spans="95:107" ht="15.75" customHeight="1" x14ac:dyDescent="0.2">
      <c r="CQ966" s="111"/>
      <c r="DC966" s="112"/>
    </row>
    <row r="967" spans="95:107" ht="15.75" customHeight="1" x14ac:dyDescent="0.2">
      <c r="CQ967" s="111"/>
      <c r="DC967" s="112"/>
    </row>
    <row r="968" spans="95:107" ht="15.75" customHeight="1" x14ac:dyDescent="0.2">
      <c r="CQ968" s="111"/>
      <c r="DC968" s="112"/>
    </row>
    <row r="969" spans="95:107" ht="15.75" customHeight="1" x14ac:dyDescent="0.2">
      <c r="CQ969" s="111"/>
      <c r="DC969" s="112"/>
    </row>
    <row r="970" spans="95:107" ht="15.75" customHeight="1" x14ac:dyDescent="0.2">
      <c r="CQ970" s="111"/>
      <c r="DC970" s="112"/>
    </row>
    <row r="971" spans="95:107" ht="15.75" customHeight="1" x14ac:dyDescent="0.2">
      <c r="CQ971" s="111"/>
      <c r="DC971" s="112"/>
    </row>
    <row r="972" spans="95:107" ht="15.75" customHeight="1" x14ac:dyDescent="0.2">
      <c r="CQ972" s="111"/>
      <c r="DC972" s="112"/>
    </row>
    <row r="973" spans="95:107" ht="15.75" customHeight="1" x14ac:dyDescent="0.2">
      <c r="CQ973" s="111"/>
      <c r="DC973" s="112"/>
    </row>
    <row r="974" spans="95:107" ht="15.75" customHeight="1" x14ac:dyDescent="0.2">
      <c r="CQ974" s="111"/>
      <c r="DC974" s="112"/>
    </row>
    <row r="975" spans="95:107" ht="15.75" customHeight="1" x14ac:dyDescent="0.2">
      <c r="CQ975" s="111"/>
      <c r="DC975" s="112"/>
    </row>
    <row r="976" spans="95:107" ht="15.75" customHeight="1" x14ac:dyDescent="0.2">
      <c r="CQ976" s="111"/>
      <c r="DC976" s="112"/>
    </row>
    <row r="977" spans="95:107" ht="15.75" customHeight="1" x14ac:dyDescent="0.2">
      <c r="CQ977" s="111"/>
      <c r="DC977" s="112"/>
    </row>
    <row r="978" spans="95:107" ht="15.75" customHeight="1" x14ac:dyDescent="0.2">
      <c r="CQ978" s="111"/>
      <c r="DC978" s="112"/>
    </row>
    <row r="979" spans="95:107" ht="15.75" customHeight="1" x14ac:dyDescent="0.2">
      <c r="CQ979" s="111"/>
      <c r="DC979" s="112"/>
    </row>
    <row r="980" spans="95:107" ht="15.75" customHeight="1" x14ac:dyDescent="0.2">
      <c r="CQ980" s="111"/>
      <c r="DC980" s="112"/>
    </row>
    <row r="981" spans="95:107" ht="15.75" customHeight="1" x14ac:dyDescent="0.2">
      <c r="CQ981" s="111"/>
      <c r="DC981" s="112"/>
    </row>
    <row r="982" spans="95:107" ht="15.75" customHeight="1" x14ac:dyDescent="0.2">
      <c r="CQ982" s="111"/>
      <c r="DC982" s="112"/>
    </row>
    <row r="983" spans="95:107" ht="15.75" customHeight="1" x14ac:dyDescent="0.2">
      <c r="CQ983" s="111"/>
      <c r="DC983" s="112"/>
    </row>
    <row r="984" spans="95:107" ht="15.75" customHeight="1" x14ac:dyDescent="0.2">
      <c r="CQ984" s="111"/>
      <c r="DC984" s="112"/>
    </row>
    <row r="985" spans="95:107" ht="15.75" customHeight="1" x14ac:dyDescent="0.2">
      <c r="CQ985" s="111"/>
      <c r="DC985" s="112"/>
    </row>
    <row r="986" spans="95:107" ht="15.75" customHeight="1" x14ac:dyDescent="0.2">
      <c r="CQ986" s="111"/>
      <c r="DC986" s="112"/>
    </row>
    <row r="987" spans="95:107" ht="15.75" customHeight="1" x14ac:dyDescent="0.2">
      <c r="CQ987" s="111"/>
      <c r="DC987" s="112"/>
    </row>
    <row r="988" spans="95:107" ht="15.75" customHeight="1" x14ac:dyDescent="0.2">
      <c r="CQ988" s="111"/>
      <c r="DC988" s="112"/>
    </row>
    <row r="989" spans="95:107" ht="15.75" customHeight="1" x14ac:dyDescent="0.2">
      <c r="CQ989" s="111"/>
      <c r="DC989" s="112"/>
    </row>
    <row r="990" spans="95:107" ht="15.75" customHeight="1" x14ac:dyDescent="0.2">
      <c r="CQ990" s="111"/>
      <c r="DC990" s="112"/>
    </row>
    <row r="991" spans="95:107" ht="15.75" customHeight="1" x14ac:dyDescent="0.2">
      <c r="CQ991" s="111"/>
      <c r="DC991" s="112"/>
    </row>
    <row r="992" spans="95:107" ht="15.75" customHeight="1" x14ac:dyDescent="0.2">
      <c r="CQ992" s="111"/>
      <c r="DC992" s="112"/>
    </row>
    <row r="993" spans="95:107" ht="15.75" customHeight="1" x14ac:dyDescent="0.2">
      <c r="CQ993" s="111"/>
      <c r="DC993" s="112"/>
    </row>
    <row r="994" spans="95:107" ht="15.75" customHeight="1" x14ac:dyDescent="0.2">
      <c r="CQ994" s="111"/>
      <c r="DC994" s="112"/>
    </row>
    <row r="995" spans="95:107" ht="15.75" customHeight="1" x14ac:dyDescent="0.2">
      <c r="CQ995" s="111"/>
      <c r="DC995" s="112"/>
    </row>
    <row r="996" spans="95:107" ht="15.75" customHeight="1" x14ac:dyDescent="0.2">
      <c r="CQ996" s="111"/>
      <c r="DC996" s="112"/>
    </row>
    <row r="997" spans="95:107" ht="15.75" customHeight="1" x14ac:dyDescent="0.2">
      <c r="CQ997" s="111"/>
      <c r="DC997" s="112"/>
    </row>
    <row r="998" spans="95:107" ht="15.75" customHeight="1" x14ac:dyDescent="0.2">
      <c r="CQ998" s="111"/>
      <c r="DC998" s="112"/>
    </row>
    <row r="999" spans="95:107" ht="15.75" customHeight="1" x14ac:dyDescent="0.2">
      <c r="CQ999" s="111"/>
      <c r="DC999" s="112"/>
    </row>
    <row r="1000" spans="95:107" ht="15.75" customHeight="1" x14ac:dyDescent="0.2">
      <c r="CQ1000" s="111"/>
      <c r="DC1000" s="112"/>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K1000"/>
  <sheetViews>
    <sheetView workbookViewId="0"/>
  </sheetViews>
  <sheetFormatPr baseColWidth="10" defaultColWidth="12.6640625" defaultRowHeight="15" customHeight="1" x14ac:dyDescent="0.2"/>
  <cols>
    <col min="1" max="1" width="50.83203125" customWidth="1"/>
    <col min="2" max="9" width="10" customWidth="1"/>
    <col min="10" max="10" width="11.6640625" customWidth="1"/>
    <col min="11" max="11" width="9.6640625" customWidth="1"/>
    <col min="12" max="26" width="10.6640625" customWidth="1"/>
  </cols>
  <sheetData>
    <row r="1" spans="1:11" ht="16" x14ac:dyDescent="0.2">
      <c r="A1" s="78" t="s">
        <v>278</v>
      </c>
      <c r="B1" s="79">
        <v>44713</v>
      </c>
      <c r="C1" s="79">
        <v>44805</v>
      </c>
      <c r="D1" s="79">
        <v>44896</v>
      </c>
      <c r="E1" s="79">
        <v>44986</v>
      </c>
      <c r="F1" s="79">
        <v>45078</v>
      </c>
      <c r="G1" s="79">
        <v>45170</v>
      </c>
      <c r="H1" s="79">
        <v>45261</v>
      </c>
      <c r="I1" s="79">
        <v>45352</v>
      </c>
      <c r="J1" s="79">
        <v>45444</v>
      </c>
      <c r="K1" s="79">
        <v>45536</v>
      </c>
    </row>
    <row r="2" spans="1:11" ht="16" x14ac:dyDescent="0.2">
      <c r="A2" s="81" t="s">
        <v>279</v>
      </c>
      <c r="B2" s="82">
        <v>3031</v>
      </c>
      <c r="C2" s="82">
        <v>5147</v>
      </c>
      <c r="D2" s="82">
        <v>7230</v>
      </c>
      <c r="E2" s="82">
        <v>2199</v>
      </c>
      <c r="F2" s="82">
        <v>2974</v>
      </c>
      <c r="G2" s="82">
        <v>4870</v>
      </c>
      <c r="H2" s="82">
        <v>7076</v>
      </c>
      <c r="I2" s="82">
        <v>2519</v>
      </c>
      <c r="J2" s="82">
        <v>5696</v>
      </c>
      <c r="K2" s="82">
        <v>8874</v>
      </c>
    </row>
    <row r="3" spans="1:11" ht="16" x14ac:dyDescent="0.2">
      <c r="A3" s="81" t="s">
        <v>280</v>
      </c>
      <c r="B3" s="82">
        <v>-112</v>
      </c>
      <c r="C3" s="82">
        <v>-247</v>
      </c>
      <c r="D3" s="82">
        <v>-322</v>
      </c>
      <c r="E3" s="82">
        <v>-111</v>
      </c>
      <c r="F3" s="82">
        <v>-194</v>
      </c>
      <c r="G3" s="82">
        <v>-346</v>
      </c>
      <c r="H3" s="82">
        <v>-515</v>
      </c>
      <c r="I3" s="82">
        <v>-612</v>
      </c>
      <c r="J3" s="82">
        <v>-1574</v>
      </c>
      <c r="K3" s="82">
        <v>-2635</v>
      </c>
    </row>
    <row r="4" spans="1:11" ht="16" x14ac:dyDescent="0.2">
      <c r="A4" s="87" t="s">
        <v>282</v>
      </c>
      <c r="B4" s="88">
        <f t="shared" ref="B4:K4" si="0">SUM(B2:B3)</f>
        <v>2919</v>
      </c>
      <c r="C4" s="88">
        <f t="shared" si="0"/>
        <v>4900</v>
      </c>
      <c r="D4" s="88">
        <f t="shared" si="0"/>
        <v>6908</v>
      </c>
      <c r="E4" s="88">
        <f t="shared" si="0"/>
        <v>2088</v>
      </c>
      <c r="F4" s="88">
        <f t="shared" si="0"/>
        <v>2780</v>
      </c>
      <c r="G4" s="88">
        <f t="shared" si="0"/>
        <v>4524</v>
      </c>
      <c r="H4" s="88">
        <f t="shared" si="0"/>
        <v>6561</v>
      </c>
      <c r="I4" s="88">
        <f t="shared" si="0"/>
        <v>1907</v>
      </c>
      <c r="J4" s="88">
        <f t="shared" si="0"/>
        <v>4122</v>
      </c>
      <c r="K4" s="88">
        <f t="shared" si="0"/>
        <v>6239</v>
      </c>
    </row>
    <row r="5" spans="1:11" ht="16" x14ac:dyDescent="0.2">
      <c r="A5" s="81" t="s">
        <v>283</v>
      </c>
      <c r="B5" s="82">
        <v>357</v>
      </c>
      <c r="C5" s="82">
        <v>656</v>
      </c>
      <c r="D5" s="82">
        <v>880</v>
      </c>
      <c r="E5" s="82">
        <v>262</v>
      </c>
      <c r="F5" s="82">
        <v>699</v>
      </c>
      <c r="G5" s="82">
        <v>874</v>
      </c>
      <c r="H5" s="82">
        <v>1256</v>
      </c>
      <c r="I5" s="82">
        <v>386</v>
      </c>
      <c r="J5" s="82">
        <v>761</v>
      </c>
      <c r="K5" s="82">
        <v>1093</v>
      </c>
    </row>
    <row r="6" spans="1:11" ht="16" x14ac:dyDescent="0.2">
      <c r="A6" s="81" t="s">
        <v>284</v>
      </c>
      <c r="B6" s="82">
        <v>1</v>
      </c>
      <c r="C6" s="82">
        <v>231</v>
      </c>
      <c r="D6" s="82">
        <v>263</v>
      </c>
      <c r="E6" s="82">
        <v>19</v>
      </c>
      <c r="F6" s="82">
        <v>538</v>
      </c>
      <c r="G6" s="82">
        <v>1252</v>
      </c>
      <c r="H6" s="82">
        <v>1282</v>
      </c>
      <c r="I6" s="82">
        <v>1</v>
      </c>
      <c r="J6" s="82">
        <v>1</v>
      </c>
      <c r="K6" s="82">
        <v>1</v>
      </c>
    </row>
    <row r="7" spans="1:11" ht="16" x14ac:dyDescent="0.2">
      <c r="A7" s="81" t="s">
        <v>285</v>
      </c>
      <c r="B7" s="82">
        <v>-144</v>
      </c>
      <c r="C7" s="82">
        <v>-245</v>
      </c>
      <c r="D7" s="82">
        <v>-245</v>
      </c>
      <c r="E7" s="82">
        <v>0</v>
      </c>
      <c r="F7" s="82">
        <v>0</v>
      </c>
      <c r="G7" s="82">
        <v>0</v>
      </c>
      <c r="H7" s="82">
        <v>0</v>
      </c>
      <c r="I7" s="82">
        <v>0</v>
      </c>
      <c r="J7" s="82">
        <v>0</v>
      </c>
      <c r="K7" s="82">
        <v>0</v>
      </c>
    </row>
    <row r="8" spans="1:11" ht="16" x14ac:dyDescent="0.2">
      <c r="A8" s="87" t="s">
        <v>286</v>
      </c>
      <c r="B8" s="88">
        <f t="shared" ref="B8:K8" si="1">SUM(B5:B7)+B4</f>
        <v>3133</v>
      </c>
      <c r="C8" s="88">
        <f t="shared" si="1"/>
        <v>5542</v>
      </c>
      <c r="D8" s="88">
        <f t="shared" si="1"/>
        <v>7806</v>
      </c>
      <c r="E8" s="88">
        <f t="shared" si="1"/>
        <v>2369</v>
      </c>
      <c r="F8" s="88">
        <f t="shared" si="1"/>
        <v>4017</v>
      </c>
      <c r="G8" s="88">
        <f t="shared" si="1"/>
        <v>6650</v>
      </c>
      <c r="H8" s="88">
        <f t="shared" si="1"/>
        <v>9099</v>
      </c>
      <c r="I8" s="88">
        <f t="shared" si="1"/>
        <v>2294</v>
      </c>
      <c r="J8" s="88">
        <f t="shared" si="1"/>
        <v>4884</v>
      </c>
      <c r="K8" s="88">
        <f t="shared" si="1"/>
        <v>7333</v>
      </c>
    </row>
    <row r="9" spans="1:11" ht="16" x14ac:dyDescent="0.2">
      <c r="A9" s="81" t="s">
        <v>287</v>
      </c>
      <c r="B9" s="82">
        <v>1886</v>
      </c>
      <c r="C9" s="82">
        <v>1882</v>
      </c>
      <c r="D9" s="82">
        <v>1597</v>
      </c>
      <c r="E9" s="82">
        <v>-401</v>
      </c>
      <c r="F9" s="82">
        <v>-512</v>
      </c>
      <c r="G9" s="82">
        <v>-565</v>
      </c>
      <c r="H9" s="82">
        <v>-602</v>
      </c>
      <c r="I9" s="82">
        <v>67</v>
      </c>
      <c r="J9" s="82">
        <v>65</v>
      </c>
      <c r="K9" s="82">
        <v>171</v>
      </c>
    </row>
    <row r="10" spans="1:11" ht="16" x14ac:dyDescent="0.2">
      <c r="A10" s="81" t="s">
        <v>288</v>
      </c>
      <c r="B10" s="82">
        <v>-4616</v>
      </c>
      <c r="C10" s="82">
        <v>-7689</v>
      </c>
      <c r="D10" s="82">
        <v>-13731</v>
      </c>
      <c r="E10" s="82">
        <v>-3446</v>
      </c>
      <c r="F10" s="82">
        <v>-7176</v>
      </c>
      <c r="G10" s="82">
        <v>-11329</v>
      </c>
      <c r="H10" s="82">
        <v>-15660</v>
      </c>
      <c r="I10" s="82">
        <v>-4272</v>
      </c>
      <c r="J10" s="82">
        <v>-8109</v>
      </c>
      <c r="K10" s="82">
        <v>-12211</v>
      </c>
    </row>
    <row r="11" spans="1:11" ht="16" x14ac:dyDescent="0.2">
      <c r="A11" s="81" t="s">
        <v>289</v>
      </c>
      <c r="B11" s="82">
        <v>434</v>
      </c>
      <c r="C11" s="82">
        <v>378</v>
      </c>
      <c r="D11" s="82">
        <v>449</v>
      </c>
      <c r="E11" s="82">
        <v>0</v>
      </c>
      <c r="F11" s="82">
        <v>-154</v>
      </c>
      <c r="G11" s="82">
        <v>-174</v>
      </c>
      <c r="H11" s="82">
        <v>-332</v>
      </c>
      <c r="I11" s="82">
        <v>0</v>
      </c>
      <c r="J11" s="82">
        <v>0</v>
      </c>
      <c r="K11" s="82">
        <v>0</v>
      </c>
    </row>
    <row r="12" spans="1:11" ht="16" x14ac:dyDescent="0.2">
      <c r="A12" s="87" t="s">
        <v>290</v>
      </c>
      <c r="B12" s="88">
        <f t="shared" ref="B12:K12" si="2">SUM(B9:B11)+B8</f>
        <v>837</v>
      </c>
      <c r="C12" s="88">
        <f t="shared" si="2"/>
        <v>113</v>
      </c>
      <c r="D12" s="88">
        <f t="shared" si="2"/>
        <v>-3879</v>
      </c>
      <c r="E12" s="88">
        <f t="shared" si="2"/>
        <v>-1478</v>
      </c>
      <c r="F12" s="88">
        <f t="shared" si="2"/>
        <v>-3825</v>
      </c>
      <c r="G12" s="88">
        <f t="shared" si="2"/>
        <v>-5418</v>
      </c>
      <c r="H12" s="88">
        <f t="shared" si="2"/>
        <v>-7495</v>
      </c>
      <c r="I12" s="88">
        <f t="shared" si="2"/>
        <v>-1911</v>
      </c>
      <c r="J12" s="88">
        <f t="shared" si="2"/>
        <v>-3160</v>
      </c>
      <c r="K12" s="88">
        <f t="shared" si="2"/>
        <v>-4707</v>
      </c>
    </row>
    <row r="14" spans="1:11" ht="16" x14ac:dyDescent="0.2">
      <c r="A14" s="78" t="s">
        <v>292</v>
      </c>
      <c r="B14" s="79">
        <v>44713</v>
      </c>
      <c r="C14" s="79">
        <v>44805</v>
      </c>
      <c r="D14" s="79">
        <v>44896</v>
      </c>
      <c r="E14" s="79">
        <v>44986</v>
      </c>
      <c r="F14" s="79">
        <v>45078</v>
      </c>
      <c r="G14" s="79">
        <v>45170</v>
      </c>
      <c r="H14" s="79">
        <v>45261</v>
      </c>
      <c r="I14" s="79">
        <v>45352</v>
      </c>
      <c r="J14" s="79">
        <v>45444</v>
      </c>
      <c r="K14" s="79">
        <v>45536</v>
      </c>
    </row>
    <row r="15" spans="1:11" ht="16" x14ac:dyDescent="0.2">
      <c r="A15" s="92" t="s">
        <v>293</v>
      </c>
      <c r="B15" s="82">
        <v>2339</v>
      </c>
      <c r="C15" s="82">
        <v>3307</v>
      </c>
      <c r="D15" s="82">
        <v>5406</v>
      </c>
      <c r="E15" s="82">
        <v>4330</v>
      </c>
      <c r="F15" s="82">
        <v>4512</v>
      </c>
      <c r="G15" s="82">
        <v>4995</v>
      </c>
      <c r="H15" s="82">
        <v>6718</v>
      </c>
      <c r="I15" s="82">
        <v>5575</v>
      </c>
      <c r="J15" s="82">
        <v>5215</v>
      </c>
      <c r="K15" s="82">
        <v>6889</v>
      </c>
    </row>
    <row r="16" spans="1:11" ht="16" x14ac:dyDescent="0.2">
      <c r="A16" s="92" t="s">
        <v>294</v>
      </c>
      <c r="B16" s="82">
        <v>4458</v>
      </c>
      <c r="C16" s="82">
        <v>5356</v>
      </c>
      <c r="D16" s="82">
        <v>4906</v>
      </c>
      <c r="E16" s="82">
        <v>7587</v>
      </c>
      <c r="F16" s="82">
        <v>7267</v>
      </c>
      <c r="G16" s="82">
        <v>6142</v>
      </c>
      <c r="H16" s="82">
        <v>6825</v>
      </c>
      <c r="I16" s="82">
        <v>8451</v>
      </c>
      <c r="J16" s="82">
        <v>9034</v>
      </c>
      <c r="K16" s="82">
        <v>8643</v>
      </c>
    </row>
    <row r="17" spans="1:11" ht="16" x14ac:dyDescent="0.2">
      <c r="A17" s="92" t="s">
        <v>295</v>
      </c>
      <c r="B17" s="82">
        <v>6524</v>
      </c>
      <c r="C17" s="82">
        <v>8079</v>
      </c>
      <c r="D17" s="82">
        <v>10063</v>
      </c>
      <c r="E17" s="82">
        <v>11779</v>
      </c>
      <c r="F17" s="82">
        <v>11608</v>
      </c>
      <c r="G17" s="82">
        <v>10980</v>
      </c>
      <c r="H17" s="82">
        <v>13791</v>
      </c>
      <c r="I17" s="82">
        <v>13851</v>
      </c>
      <c r="J17" s="82">
        <v>13566</v>
      </c>
      <c r="K17" s="82">
        <v>15240</v>
      </c>
    </row>
    <row r="18" spans="1:11" ht="16" x14ac:dyDescent="0.2">
      <c r="A18" s="92" t="s">
        <v>296</v>
      </c>
      <c r="B18" s="82">
        <v>97373</v>
      </c>
      <c r="C18" s="82">
        <v>100058</v>
      </c>
      <c r="D18" s="82">
        <v>111072</v>
      </c>
      <c r="E18" s="82">
        <v>116535</v>
      </c>
      <c r="F18" s="82">
        <v>119344</v>
      </c>
      <c r="G18" s="82">
        <v>130759</v>
      </c>
      <c r="H18" s="82">
        <v>136571</v>
      </c>
      <c r="I18" s="82">
        <v>152097</v>
      </c>
      <c r="J18" s="82">
        <v>152920</v>
      </c>
      <c r="K18" s="82">
        <v>160492</v>
      </c>
    </row>
    <row r="19" spans="1:11" ht="16" x14ac:dyDescent="0.2">
      <c r="A19" s="92" t="s">
        <v>298</v>
      </c>
      <c r="B19" s="82">
        <v>117285</v>
      </c>
      <c r="C19" s="82">
        <v>125400</v>
      </c>
      <c r="D19" s="82">
        <v>134270</v>
      </c>
      <c r="E19" s="82">
        <v>151502</v>
      </c>
      <c r="F19" s="82">
        <v>166160</v>
      </c>
      <c r="G19" s="82">
        <v>186115</v>
      </c>
      <c r="H19" s="82">
        <v>203482</v>
      </c>
      <c r="I19" s="82">
        <v>198647</v>
      </c>
      <c r="J19" s="82">
        <v>208366</v>
      </c>
      <c r="K19" s="82">
        <v>216152</v>
      </c>
    </row>
    <row r="20" spans="1:11" ht="16" x14ac:dyDescent="0.2">
      <c r="A20" s="93" t="s">
        <v>299</v>
      </c>
      <c r="B20" s="88">
        <f t="shared" ref="B20:K20" si="3">SUM(B15:B19)</f>
        <v>227979</v>
      </c>
      <c r="C20" s="88">
        <f t="shared" si="3"/>
        <v>242200</v>
      </c>
      <c r="D20" s="88">
        <f t="shared" si="3"/>
        <v>265717</v>
      </c>
      <c r="E20" s="88">
        <f t="shared" si="3"/>
        <v>291733</v>
      </c>
      <c r="F20" s="88">
        <f t="shared" si="3"/>
        <v>308891</v>
      </c>
      <c r="G20" s="88">
        <f t="shared" si="3"/>
        <v>338991</v>
      </c>
      <c r="H20" s="88">
        <f t="shared" si="3"/>
        <v>367387</v>
      </c>
      <c r="I20" s="88">
        <f t="shared" si="3"/>
        <v>378621</v>
      </c>
      <c r="J20" s="88">
        <f t="shared" si="3"/>
        <v>389101</v>
      </c>
      <c r="K20" s="88">
        <f t="shared" si="3"/>
        <v>407416</v>
      </c>
    </row>
    <row r="21" spans="1:11" ht="15.75" customHeight="1" x14ac:dyDescent="0.2"/>
    <row r="22" spans="1:11" ht="15.75" customHeight="1" x14ac:dyDescent="0.2">
      <c r="A22" s="78" t="s">
        <v>300</v>
      </c>
      <c r="B22" s="79">
        <v>44713</v>
      </c>
      <c r="C22" s="79">
        <v>44805</v>
      </c>
      <c r="D22" s="79">
        <v>44896</v>
      </c>
      <c r="E22" s="79">
        <v>44986</v>
      </c>
      <c r="F22" s="79">
        <v>45078</v>
      </c>
      <c r="G22" s="79">
        <v>45170</v>
      </c>
      <c r="H22" s="79">
        <v>45261</v>
      </c>
      <c r="I22" s="79">
        <v>45352</v>
      </c>
      <c r="J22" s="79">
        <v>45444</v>
      </c>
      <c r="K22" s="79">
        <v>45536</v>
      </c>
    </row>
    <row r="23" spans="1:11" ht="15.75" customHeight="1" x14ac:dyDescent="0.2">
      <c r="A23" s="92" t="s">
        <v>301</v>
      </c>
      <c r="B23" s="82">
        <v>544</v>
      </c>
      <c r="C23" s="82">
        <v>6371</v>
      </c>
      <c r="D23" s="82">
        <v>1962</v>
      </c>
      <c r="E23" s="82">
        <v>3241</v>
      </c>
      <c r="F23" s="82">
        <v>2397</v>
      </c>
      <c r="G23" s="82">
        <v>3151</v>
      </c>
      <c r="H23" s="82">
        <v>945</v>
      </c>
      <c r="I23" s="82">
        <v>113</v>
      </c>
      <c r="J23" s="82">
        <v>634</v>
      </c>
      <c r="K23" s="82">
        <v>458</v>
      </c>
    </row>
    <row r="24" spans="1:11" ht="15.75" customHeight="1" x14ac:dyDescent="0.2">
      <c r="A24" s="92" t="s">
        <v>383</v>
      </c>
      <c r="B24" s="82">
        <v>6209</v>
      </c>
      <c r="C24" s="82">
        <v>6678</v>
      </c>
      <c r="D24" s="82">
        <v>6905</v>
      </c>
      <c r="E24" s="82">
        <v>6430</v>
      </c>
      <c r="F24" s="82">
        <v>6187</v>
      </c>
      <c r="G24" s="82">
        <v>1298</v>
      </c>
      <c r="H24" s="82">
        <v>1996</v>
      </c>
      <c r="I24" s="82">
        <v>1476</v>
      </c>
      <c r="J24" s="82">
        <v>1516</v>
      </c>
      <c r="K24" s="82">
        <v>6208</v>
      </c>
    </row>
    <row r="25" spans="1:11" ht="15.75" customHeight="1" x14ac:dyDescent="0.2">
      <c r="A25" s="92" t="s">
        <v>303</v>
      </c>
      <c r="B25" s="82">
        <v>-1683</v>
      </c>
      <c r="C25" s="82">
        <v>-1495</v>
      </c>
      <c r="D25" s="82">
        <v>-1548</v>
      </c>
      <c r="E25" s="82">
        <v>-1550</v>
      </c>
      <c r="F25" s="82">
        <v>-1221</v>
      </c>
      <c r="G25" s="82">
        <v>-403</v>
      </c>
      <c r="H25" s="82">
        <v>-403</v>
      </c>
      <c r="I25" s="82">
        <v>-403</v>
      </c>
      <c r="J25" s="82">
        <v>-403</v>
      </c>
      <c r="K25" s="82">
        <v>-403</v>
      </c>
    </row>
    <row r="26" spans="1:11" ht="15.75" customHeight="1" x14ac:dyDescent="0.2">
      <c r="A26" s="92" t="s">
        <v>209</v>
      </c>
      <c r="B26" s="82">
        <v>325</v>
      </c>
      <c r="C26" s="82">
        <v>1231</v>
      </c>
      <c r="D26" s="82">
        <v>6980</v>
      </c>
      <c r="E26" s="82">
        <v>7253</v>
      </c>
      <c r="F26" s="82">
        <v>7160</v>
      </c>
      <c r="G26" s="82">
        <v>11824</v>
      </c>
      <c r="H26" s="82">
        <v>11779</v>
      </c>
      <c r="I26" s="82">
        <v>11677</v>
      </c>
      <c r="J26" s="82">
        <v>11821</v>
      </c>
      <c r="K26" s="82">
        <v>11405</v>
      </c>
    </row>
    <row r="27" spans="1:11" ht="15.75" customHeight="1" x14ac:dyDescent="0.2">
      <c r="A27" s="92" t="s">
        <v>211</v>
      </c>
      <c r="B27" s="82">
        <v>1630</v>
      </c>
      <c r="C27" s="82">
        <v>2000</v>
      </c>
      <c r="D27" s="82">
        <v>2472</v>
      </c>
      <c r="E27" s="82">
        <v>1696</v>
      </c>
      <c r="F27" s="82">
        <v>1675</v>
      </c>
      <c r="G27" s="82">
        <v>1529</v>
      </c>
      <c r="H27" s="82">
        <v>1549</v>
      </c>
      <c r="I27" s="82">
        <v>1511</v>
      </c>
      <c r="J27" s="82">
        <v>1460</v>
      </c>
      <c r="K27" s="82">
        <v>1419</v>
      </c>
    </row>
    <row r="28" spans="1:11" ht="15.75" customHeight="1" x14ac:dyDescent="0.2">
      <c r="A28" s="92" t="s">
        <v>213</v>
      </c>
      <c r="B28" s="82">
        <v>132</v>
      </c>
      <c r="C28" s="82">
        <v>114</v>
      </c>
      <c r="D28" s="82">
        <v>96</v>
      </c>
      <c r="E28" s="82">
        <v>109</v>
      </c>
      <c r="F28" s="82">
        <v>180</v>
      </c>
      <c r="G28" s="82">
        <v>174</v>
      </c>
      <c r="H28" s="82">
        <v>207</v>
      </c>
      <c r="I28" s="82">
        <v>208</v>
      </c>
      <c r="J28" s="82">
        <v>210</v>
      </c>
      <c r="K28" s="82">
        <v>208</v>
      </c>
    </row>
    <row r="29" spans="1:11" ht="15.75" customHeight="1" x14ac:dyDescent="0.2">
      <c r="A29" s="92" t="s">
        <v>305</v>
      </c>
      <c r="B29" s="82">
        <v>505</v>
      </c>
      <c r="C29" s="82">
        <v>449</v>
      </c>
      <c r="D29" s="82">
        <v>520</v>
      </c>
      <c r="E29" s="82">
        <v>521</v>
      </c>
      <c r="F29" s="82">
        <v>366</v>
      </c>
      <c r="G29" s="82">
        <v>346</v>
      </c>
      <c r="H29" s="82">
        <v>268</v>
      </c>
      <c r="I29" s="82">
        <v>346</v>
      </c>
      <c r="J29" s="82">
        <v>346</v>
      </c>
      <c r="K29" s="82">
        <v>346</v>
      </c>
    </row>
    <row r="30" spans="1:11" ht="15.75" customHeight="1" x14ac:dyDescent="0.2">
      <c r="A30" s="93" t="s">
        <v>306</v>
      </c>
      <c r="B30" s="88">
        <f t="shared" ref="B30:D30" si="4">SUM(B23:B29)</f>
        <v>7662</v>
      </c>
      <c r="C30" s="88">
        <f t="shared" si="4"/>
        <v>15348</v>
      </c>
      <c r="D30" s="88">
        <f t="shared" si="4"/>
        <v>17387</v>
      </c>
      <c r="E30" s="88">
        <f t="shared" ref="E30:G30" si="5">SUM(E23:E29)+1</f>
        <v>17701</v>
      </c>
      <c r="F30" s="88">
        <f t="shared" si="5"/>
        <v>16745</v>
      </c>
      <c r="G30" s="88">
        <f t="shared" si="5"/>
        <v>17920</v>
      </c>
      <c r="H30" s="88">
        <f>SUM(H23:H29)</f>
        <v>16341</v>
      </c>
      <c r="I30" s="88">
        <f>SUM(I23:I29)+1</f>
        <v>14929</v>
      </c>
      <c r="J30" s="88">
        <f>SUM(J23:J29)</f>
        <v>15584</v>
      </c>
      <c r="K30" s="88">
        <f>SUM(K23:K29)+1</f>
        <v>19642</v>
      </c>
    </row>
    <row r="31" spans="1:11" ht="15.75" customHeight="1" x14ac:dyDescent="0.2">
      <c r="A31" s="92"/>
      <c r="B31" s="82"/>
      <c r="C31" s="82"/>
      <c r="D31" s="82"/>
      <c r="E31" s="82"/>
      <c r="F31" s="82"/>
      <c r="G31" s="82"/>
      <c r="H31" s="82"/>
      <c r="I31" s="82"/>
      <c r="J31" s="82"/>
      <c r="K31" s="82"/>
    </row>
    <row r="32" spans="1:11" ht="15.75" customHeight="1" x14ac:dyDescent="0.2">
      <c r="A32" s="92" t="s">
        <v>307</v>
      </c>
      <c r="B32" s="82">
        <v>1058</v>
      </c>
      <c r="C32" s="82">
        <v>115</v>
      </c>
      <c r="D32" s="82">
        <v>17</v>
      </c>
      <c r="E32" s="82">
        <v>50</v>
      </c>
      <c r="F32" s="82">
        <v>89</v>
      </c>
      <c r="G32" s="82">
        <v>142</v>
      </c>
      <c r="H32" s="82">
        <v>114</v>
      </c>
      <c r="I32" s="82">
        <v>255</v>
      </c>
      <c r="J32" s="82">
        <v>59</v>
      </c>
      <c r="K32" s="82">
        <v>139</v>
      </c>
    </row>
    <row r="33" spans="1:11" ht="15.75" customHeight="1" x14ac:dyDescent="0.2">
      <c r="A33" s="92" t="s">
        <v>308</v>
      </c>
      <c r="B33" s="82">
        <v>1477</v>
      </c>
      <c r="C33" s="82">
        <v>10611</v>
      </c>
      <c r="D33" s="82">
        <v>10405</v>
      </c>
      <c r="E33" s="82">
        <v>9400</v>
      </c>
      <c r="F33" s="82">
        <v>8803</v>
      </c>
      <c r="G33" s="82">
        <v>8206</v>
      </c>
      <c r="H33" s="82">
        <v>7609</v>
      </c>
      <c r="I33" s="82">
        <v>7459</v>
      </c>
      <c r="J33" s="82">
        <v>6862</v>
      </c>
      <c r="K33" s="82">
        <v>11265</v>
      </c>
    </row>
    <row r="34" spans="1:11" ht="15.75" customHeight="1" x14ac:dyDescent="0.2">
      <c r="A34" s="92" t="s">
        <v>309</v>
      </c>
      <c r="B34" s="82">
        <v>95</v>
      </c>
      <c r="C34" s="82">
        <v>155</v>
      </c>
      <c r="D34" s="82">
        <v>497</v>
      </c>
      <c r="E34" s="82">
        <v>450</v>
      </c>
      <c r="F34" s="82">
        <v>316</v>
      </c>
      <c r="G34" s="82">
        <v>461</v>
      </c>
      <c r="H34" s="82">
        <v>348</v>
      </c>
      <c r="I34" s="82">
        <v>633</v>
      </c>
      <c r="J34" s="82">
        <v>1021</v>
      </c>
      <c r="K34" s="82">
        <v>1011</v>
      </c>
    </row>
    <row r="35" spans="1:11" ht="15.75" customHeight="1" x14ac:dyDescent="0.2">
      <c r="A35" s="92" t="s">
        <v>310</v>
      </c>
      <c r="B35" s="82">
        <v>185</v>
      </c>
      <c r="C35" s="82">
        <v>310</v>
      </c>
      <c r="D35" s="82">
        <v>335</v>
      </c>
      <c r="E35" s="82">
        <v>505</v>
      </c>
      <c r="F35" s="82">
        <v>41</v>
      </c>
      <c r="G35" s="82">
        <v>229</v>
      </c>
      <c r="H35" s="82">
        <v>356</v>
      </c>
      <c r="I35" s="82">
        <v>80</v>
      </c>
      <c r="J35" s="82">
        <v>62</v>
      </c>
      <c r="K35" s="82">
        <v>223</v>
      </c>
    </row>
    <row r="36" spans="1:11" ht="15.75" customHeight="1" x14ac:dyDescent="0.2">
      <c r="A36" s="92" t="s">
        <v>311</v>
      </c>
      <c r="B36" s="82">
        <v>0</v>
      </c>
      <c r="C36" s="82">
        <v>0</v>
      </c>
      <c r="D36" s="82">
        <v>0</v>
      </c>
      <c r="E36" s="82">
        <v>0</v>
      </c>
      <c r="F36" s="82">
        <v>0</v>
      </c>
      <c r="G36" s="82">
        <v>0</v>
      </c>
      <c r="H36" s="82">
        <v>0</v>
      </c>
      <c r="I36" s="82">
        <v>0</v>
      </c>
      <c r="J36" s="82">
        <v>2250</v>
      </c>
      <c r="K36" s="82">
        <v>0</v>
      </c>
    </row>
    <row r="37" spans="1:11" ht="15.75" customHeight="1" x14ac:dyDescent="0.2">
      <c r="A37" s="92" t="s">
        <v>312</v>
      </c>
      <c r="B37" s="82">
        <v>44</v>
      </c>
      <c r="C37" s="82">
        <v>120</v>
      </c>
      <c r="D37" s="82">
        <v>88</v>
      </c>
      <c r="E37" s="82">
        <v>44</v>
      </c>
      <c r="F37" s="82">
        <v>92</v>
      </c>
      <c r="G37" s="82">
        <v>71</v>
      </c>
      <c r="H37" s="82">
        <v>164</v>
      </c>
      <c r="I37" s="82">
        <v>270</v>
      </c>
      <c r="J37" s="82">
        <v>211</v>
      </c>
      <c r="K37" s="82">
        <v>294</v>
      </c>
    </row>
    <row r="38" spans="1:11" ht="15.75" customHeight="1" x14ac:dyDescent="0.2">
      <c r="A38" s="92" t="s">
        <v>313</v>
      </c>
      <c r="B38" s="82">
        <v>0</v>
      </c>
      <c r="C38" s="82">
        <v>0</v>
      </c>
      <c r="D38" s="82">
        <v>0</v>
      </c>
      <c r="E38" s="82">
        <v>185</v>
      </c>
      <c r="F38" s="82">
        <v>185</v>
      </c>
      <c r="G38" s="82">
        <v>185</v>
      </c>
      <c r="H38" s="82">
        <v>0</v>
      </c>
      <c r="I38" s="82">
        <v>232</v>
      </c>
      <c r="J38" s="82">
        <v>368</v>
      </c>
      <c r="K38" s="82">
        <v>506</v>
      </c>
    </row>
    <row r="39" spans="1:11" ht="15.75" customHeight="1" x14ac:dyDescent="0.2">
      <c r="A39" s="93" t="s">
        <v>314</v>
      </c>
      <c r="B39" s="88">
        <f>SUM(B32:B38)</f>
        <v>2859</v>
      </c>
      <c r="C39" s="88">
        <f>SUM(C32:C38)+1</f>
        <v>11312</v>
      </c>
      <c r="D39" s="88">
        <f t="shared" ref="D39:E39" si="6">SUM(D32:D38)</f>
        <v>11342</v>
      </c>
      <c r="E39" s="88">
        <f t="shared" si="6"/>
        <v>10634</v>
      </c>
      <c r="F39" s="88">
        <f>SUM(F32:F38)-1</f>
        <v>9525</v>
      </c>
      <c r="G39" s="88">
        <f t="shared" ref="G39:K39" si="7">SUM(G32:G38)</f>
        <v>9294</v>
      </c>
      <c r="H39" s="88">
        <f t="shared" si="7"/>
        <v>8591</v>
      </c>
      <c r="I39" s="88">
        <f t="shared" si="7"/>
        <v>8929</v>
      </c>
      <c r="J39" s="88">
        <f t="shared" si="7"/>
        <v>10833</v>
      </c>
      <c r="K39" s="88">
        <f t="shared" si="7"/>
        <v>13438</v>
      </c>
    </row>
    <row r="40" spans="1:11" ht="15.75" customHeight="1" x14ac:dyDescent="0.2">
      <c r="A40" s="92"/>
      <c r="B40" s="82"/>
      <c r="C40" s="82"/>
      <c r="D40" s="82"/>
      <c r="E40" s="82"/>
      <c r="F40" s="82"/>
      <c r="G40" s="82"/>
      <c r="H40" s="82"/>
      <c r="I40" s="82"/>
      <c r="J40" s="82"/>
      <c r="K40" s="82"/>
    </row>
    <row r="41" spans="1:11" ht="15.75" customHeight="1" x14ac:dyDescent="0.2">
      <c r="A41" s="92" t="s">
        <v>315</v>
      </c>
      <c r="B41" s="82">
        <v>3564</v>
      </c>
      <c r="C41" s="82">
        <v>3564</v>
      </c>
      <c r="D41" s="82">
        <v>3564</v>
      </c>
      <c r="E41" s="82">
        <v>3564</v>
      </c>
      <c r="F41" s="82">
        <v>3564</v>
      </c>
      <c r="G41" s="82">
        <v>3564</v>
      </c>
      <c r="H41" s="82">
        <v>3564</v>
      </c>
      <c r="I41" s="82">
        <v>3564</v>
      </c>
      <c r="J41" s="82">
        <v>3564</v>
      </c>
      <c r="K41" s="82">
        <v>3564</v>
      </c>
    </row>
    <row r="42" spans="1:11" ht="15.75" customHeight="1" x14ac:dyDescent="0.2">
      <c r="A42" s="92" t="s">
        <v>316</v>
      </c>
      <c r="B42" s="82">
        <v>4568</v>
      </c>
      <c r="C42" s="82">
        <v>4568</v>
      </c>
      <c r="D42" s="82">
        <v>10568</v>
      </c>
      <c r="E42" s="82">
        <v>13068</v>
      </c>
      <c r="F42" s="82">
        <v>15568</v>
      </c>
      <c r="G42" s="82">
        <v>18568</v>
      </c>
      <c r="H42" s="82">
        <v>19768</v>
      </c>
      <c r="I42" s="82">
        <v>19768</v>
      </c>
      <c r="J42" s="82">
        <v>19768</v>
      </c>
      <c r="K42" s="82">
        <v>22768</v>
      </c>
    </row>
    <row r="43" spans="1:11" ht="15.75" customHeight="1" x14ac:dyDescent="0.2">
      <c r="A43" s="92" t="s">
        <v>318</v>
      </c>
      <c r="B43" s="82">
        <v>-3329</v>
      </c>
      <c r="C43" s="82">
        <v>-4096</v>
      </c>
      <c r="D43" s="82">
        <v>-8087</v>
      </c>
      <c r="E43" s="82">
        <v>-9565</v>
      </c>
      <c r="F43" s="82">
        <v>-11912</v>
      </c>
      <c r="G43" s="82">
        <v>-13506</v>
      </c>
      <c r="H43" s="82">
        <v>-15582</v>
      </c>
      <c r="I43" s="82">
        <v>-17332</v>
      </c>
      <c r="J43" s="82">
        <v>-18581</v>
      </c>
      <c r="K43" s="82">
        <v>-20128</v>
      </c>
    </row>
    <row r="44" spans="1:11" ht="15.75" customHeight="1" x14ac:dyDescent="0.2">
      <c r="A44" s="93" t="s">
        <v>321</v>
      </c>
      <c r="B44" s="88">
        <f t="shared" ref="B44:K44" si="8">SUM(B41:B43)</f>
        <v>4803</v>
      </c>
      <c r="C44" s="88">
        <f t="shared" si="8"/>
        <v>4036</v>
      </c>
      <c r="D44" s="88">
        <f t="shared" si="8"/>
        <v>6045</v>
      </c>
      <c r="E44" s="88">
        <f t="shared" si="8"/>
        <v>7067</v>
      </c>
      <c r="F44" s="88">
        <f t="shared" si="8"/>
        <v>7220</v>
      </c>
      <c r="G44" s="88">
        <f t="shared" si="8"/>
        <v>8626</v>
      </c>
      <c r="H44" s="88">
        <f t="shared" si="8"/>
        <v>7750</v>
      </c>
      <c r="I44" s="88">
        <f t="shared" si="8"/>
        <v>6000</v>
      </c>
      <c r="J44" s="88">
        <f t="shared" si="8"/>
        <v>4751</v>
      </c>
      <c r="K44" s="88">
        <f t="shared" si="8"/>
        <v>6204</v>
      </c>
    </row>
    <row r="45" spans="1:11" ht="15.75" customHeight="1" x14ac:dyDescent="0.2">
      <c r="A45" s="92"/>
      <c r="B45" s="82"/>
      <c r="C45" s="82"/>
      <c r="D45" s="82"/>
      <c r="E45" s="82"/>
      <c r="F45" s="82"/>
      <c r="G45" s="82"/>
      <c r="H45" s="82"/>
      <c r="I45" s="82"/>
      <c r="J45" s="82"/>
      <c r="K45" s="82"/>
    </row>
    <row r="46" spans="1:11" ht="15.75" customHeight="1" x14ac:dyDescent="0.2">
      <c r="A46" s="93" t="s">
        <v>322</v>
      </c>
      <c r="B46" s="88">
        <f t="shared" ref="B46:K46" si="9">B39+B44-B30</f>
        <v>0</v>
      </c>
      <c r="C46" s="88">
        <f t="shared" si="9"/>
        <v>0</v>
      </c>
      <c r="D46" s="88">
        <f t="shared" si="9"/>
        <v>0</v>
      </c>
      <c r="E46" s="88">
        <f t="shared" si="9"/>
        <v>0</v>
      </c>
      <c r="F46" s="88">
        <f t="shared" si="9"/>
        <v>0</v>
      </c>
      <c r="G46" s="88">
        <f t="shared" si="9"/>
        <v>0</v>
      </c>
      <c r="H46" s="88">
        <f t="shared" si="9"/>
        <v>0</v>
      </c>
      <c r="I46" s="88">
        <f t="shared" si="9"/>
        <v>0</v>
      </c>
      <c r="J46" s="88">
        <f t="shared" si="9"/>
        <v>0</v>
      </c>
      <c r="K46" s="88">
        <f t="shared" si="9"/>
        <v>0</v>
      </c>
    </row>
    <row r="47" spans="1:11" ht="15.75" customHeight="1" x14ac:dyDescent="0.2"/>
    <row r="48" spans="1: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E1000"/>
  <sheetViews>
    <sheetView showGridLines="0" workbookViewId="0"/>
  </sheetViews>
  <sheetFormatPr baseColWidth="10" defaultColWidth="12.6640625" defaultRowHeight="15" customHeight="1" outlineLevelRow="1" x14ac:dyDescent="0.2"/>
  <cols>
    <col min="1" max="1" width="10.6640625" customWidth="1"/>
    <col min="2" max="2" width="66" customWidth="1"/>
    <col min="3" max="3" width="30.1640625" customWidth="1"/>
    <col min="4" max="4" width="55.6640625" customWidth="1"/>
    <col min="5" max="5" width="70" customWidth="1"/>
    <col min="6" max="26" width="10.6640625" customWidth="1"/>
  </cols>
  <sheetData>
    <row r="2" spans="2:5" ht="16" hidden="1" outlineLevel="1" x14ac:dyDescent="0.2">
      <c r="B2" s="128" t="s">
        <v>384</v>
      </c>
    </row>
    <row r="3" spans="2:5" ht="15.75" hidden="1" customHeight="1" outlineLevel="1" x14ac:dyDescent="0.2">
      <c r="B3" s="129" t="s">
        <v>385</v>
      </c>
      <c r="C3" s="129" t="s">
        <v>386</v>
      </c>
      <c r="D3" s="129" t="s">
        <v>387</v>
      </c>
      <c r="E3" s="130" t="s">
        <v>388</v>
      </c>
    </row>
    <row r="4" spans="2:5" ht="36.75" hidden="1" customHeight="1" outlineLevel="1" x14ac:dyDescent="0.2">
      <c r="B4" s="212" t="s">
        <v>389</v>
      </c>
      <c r="C4" s="213"/>
      <c r="D4" s="213"/>
      <c r="E4" s="214"/>
    </row>
    <row r="5" spans="2:5" ht="32" hidden="1" outlineLevel="1" x14ac:dyDescent="0.2">
      <c r="B5" s="131" t="s">
        <v>390</v>
      </c>
      <c r="C5" s="132" t="s">
        <v>391</v>
      </c>
      <c r="D5" s="131" t="s">
        <v>392</v>
      </c>
      <c r="E5" s="133" t="s">
        <v>393</v>
      </c>
    </row>
    <row r="6" spans="2:5" ht="48" hidden="1" outlineLevel="1" x14ac:dyDescent="0.2">
      <c r="B6" s="134" t="s">
        <v>394</v>
      </c>
      <c r="C6" s="135" t="s">
        <v>391</v>
      </c>
      <c r="D6" s="134" t="s">
        <v>395</v>
      </c>
      <c r="E6" s="136"/>
    </row>
    <row r="7" spans="2:5" ht="64" hidden="1" outlineLevel="1" x14ac:dyDescent="0.2">
      <c r="B7" s="131" t="s">
        <v>396</v>
      </c>
      <c r="C7" s="132" t="s">
        <v>391</v>
      </c>
      <c r="D7" s="131" t="s">
        <v>397</v>
      </c>
      <c r="E7" s="133"/>
    </row>
    <row r="8" spans="2:5" ht="48" hidden="1" outlineLevel="1" x14ac:dyDescent="0.2">
      <c r="B8" s="134" t="s">
        <v>398</v>
      </c>
      <c r="C8" s="135" t="s">
        <v>391</v>
      </c>
      <c r="D8" s="134" t="s">
        <v>399</v>
      </c>
      <c r="E8" s="136"/>
    </row>
    <row r="9" spans="2:5" ht="64" hidden="1" outlineLevel="1" x14ac:dyDescent="0.2">
      <c r="B9" s="131" t="s">
        <v>400</v>
      </c>
      <c r="C9" s="132" t="s">
        <v>391</v>
      </c>
      <c r="D9" s="131" t="s">
        <v>401</v>
      </c>
      <c r="E9" s="133"/>
    </row>
    <row r="10" spans="2:5" ht="48" hidden="1" outlineLevel="1" x14ac:dyDescent="0.2">
      <c r="B10" s="134" t="s">
        <v>402</v>
      </c>
      <c r="C10" s="135" t="s">
        <v>391</v>
      </c>
      <c r="D10" s="134" t="s">
        <v>403</v>
      </c>
      <c r="E10" s="136"/>
    </row>
    <row r="11" spans="2:5" ht="60.75" hidden="1" customHeight="1" outlineLevel="1" x14ac:dyDescent="0.2">
      <c r="B11" s="137" t="s">
        <v>404</v>
      </c>
      <c r="C11" s="138" t="s">
        <v>405</v>
      </c>
      <c r="D11" s="139" t="s">
        <v>406</v>
      </c>
      <c r="E11" s="140"/>
    </row>
    <row r="12" spans="2:5" ht="48" hidden="1" outlineLevel="1" x14ac:dyDescent="0.2">
      <c r="B12" s="141" t="s">
        <v>407</v>
      </c>
      <c r="C12" s="142" t="s">
        <v>408</v>
      </c>
      <c r="D12" s="143"/>
      <c r="E12" s="144"/>
    </row>
    <row r="13" spans="2:5" collapsed="1" x14ac:dyDescent="0.2">
      <c r="B13" s="145"/>
      <c r="C13" s="145"/>
      <c r="D13" s="145"/>
      <c r="E13" s="145"/>
    </row>
    <row r="14" spans="2:5" ht="16" x14ac:dyDescent="0.2">
      <c r="B14" s="128" t="s">
        <v>409</v>
      </c>
    </row>
    <row r="15" spans="2:5" ht="15.75" hidden="1" customHeight="1" outlineLevel="1" x14ac:dyDescent="0.2">
      <c r="B15" s="129" t="s">
        <v>385</v>
      </c>
      <c r="C15" s="129" t="s">
        <v>386</v>
      </c>
      <c r="D15" s="129" t="s">
        <v>387</v>
      </c>
      <c r="E15" s="130" t="s">
        <v>388</v>
      </c>
    </row>
    <row r="16" spans="2:5" ht="36.75" hidden="1" customHeight="1" outlineLevel="1" x14ac:dyDescent="0.2">
      <c r="B16" s="212" t="s">
        <v>410</v>
      </c>
      <c r="C16" s="213"/>
      <c r="D16" s="213"/>
      <c r="E16" s="214"/>
    </row>
    <row r="17" spans="2:5" ht="32" hidden="1" outlineLevel="1" x14ac:dyDescent="0.2">
      <c r="B17" s="131" t="s">
        <v>411</v>
      </c>
      <c r="C17" s="132" t="s">
        <v>412</v>
      </c>
      <c r="D17" s="131" t="s">
        <v>413</v>
      </c>
      <c r="E17" s="133"/>
    </row>
    <row r="18" spans="2:5" ht="16" hidden="1" outlineLevel="1" x14ac:dyDescent="0.2">
      <c r="B18" s="134" t="s">
        <v>414</v>
      </c>
      <c r="C18" s="135" t="s">
        <v>412</v>
      </c>
      <c r="D18" s="134"/>
      <c r="E18" s="136"/>
    </row>
    <row r="19" spans="2:5" ht="32" hidden="1" outlineLevel="1" x14ac:dyDescent="0.2">
      <c r="B19" s="131" t="s">
        <v>415</v>
      </c>
      <c r="C19" s="132" t="s">
        <v>416</v>
      </c>
      <c r="D19" s="131"/>
      <c r="E19" s="133"/>
    </row>
    <row r="20" spans="2:5" ht="32" hidden="1" outlineLevel="1" x14ac:dyDescent="0.2">
      <c r="B20" s="134" t="s">
        <v>417</v>
      </c>
      <c r="C20" s="135" t="s">
        <v>418</v>
      </c>
      <c r="D20" s="134" t="s">
        <v>419</v>
      </c>
      <c r="E20" s="136"/>
    </row>
    <row r="21" spans="2:5" ht="15.75" hidden="1" customHeight="1" outlineLevel="1" x14ac:dyDescent="0.2">
      <c r="B21" s="131" t="s">
        <v>420</v>
      </c>
      <c r="C21" s="132" t="s">
        <v>412</v>
      </c>
      <c r="D21" s="131" t="s">
        <v>421</v>
      </c>
      <c r="E21" s="133"/>
    </row>
    <row r="22" spans="2:5" ht="15.75" hidden="1" customHeight="1" outlineLevel="1" x14ac:dyDescent="0.2">
      <c r="B22" s="146" t="s">
        <v>422</v>
      </c>
      <c r="C22" s="135" t="s">
        <v>412</v>
      </c>
      <c r="D22" s="135"/>
      <c r="E22" s="147"/>
    </row>
    <row r="23" spans="2:5" ht="15.75" hidden="1" customHeight="1" outlineLevel="1" x14ac:dyDescent="0.2">
      <c r="B23" s="148"/>
      <c r="C23" s="149"/>
      <c r="D23" s="150" t="s">
        <v>423</v>
      </c>
      <c r="E23" s="151"/>
    </row>
    <row r="24" spans="2:5" ht="15.75" customHeight="1" collapsed="1" x14ac:dyDescent="0.2">
      <c r="B24" s="145"/>
      <c r="C24" s="145"/>
      <c r="D24" s="145"/>
      <c r="E24" s="145"/>
    </row>
    <row r="25" spans="2:5" ht="15.75" customHeight="1" x14ac:dyDescent="0.2">
      <c r="B25" s="128" t="s">
        <v>424</v>
      </c>
    </row>
    <row r="26" spans="2:5" ht="15.75" hidden="1" customHeight="1" outlineLevel="1" x14ac:dyDescent="0.2">
      <c r="B26" s="129" t="s">
        <v>385</v>
      </c>
      <c r="C26" s="129" t="s">
        <v>386</v>
      </c>
      <c r="D26" s="129" t="s">
        <v>387</v>
      </c>
      <c r="E26" s="130" t="s">
        <v>388</v>
      </c>
    </row>
    <row r="27" spans="2:5" ht="36.75" hidden="1" customHeight="1" outlineLevel="1" x14ac:dyDescent="0.2">
      <c r="B27" s="212" t="s">
        <v>425</v>
      </c>
      <c r="C27" s="213"/>
      <c r="D27" s="213"/>
      <c r="E27" s="214"/>
    </row>
    <row r="28" spans="2:5" ht="15.75" hidden="1" customHeight="1" outlineLevel="1" x14ac:dyDescent="0.2">
      <c r="B28" s="131" t="s">
        <v>426</v>
      </c>
      <c r="C28" s="132" t="s">
        <v>427</v>
      </c>
      <c r="D28" s="131" t="s">
        <v>428</v>
      </c>
      <c r="E28" s="133"/>
    </row>
    <row r="29" spans="2:5" ht="15.75" hidden="1" customHeight="1" outlineLevel="1" x14ac:dyDescent="0.2">
      <c r="B29" s="134" t="s">
        <v>429</v>
      </c>
      <c r="C29" s="135" t="s">
        <v>427</v>
      </c>
      <c r="D29" s="134" t="s">
        <v>430</v>
      </c>
      <c r="E29" s="136"/>
    </row>
    <row r="30" spans="2:5" ht="15.75" hidden="1" customHeight="1" outlineLevel="1" x14ac:dyDescent="0.2">
      <c r="B30" s="131" t="s">
        <v>431</v>
      </c>
      <c r="C30" s="132" t="s">
        <v>432</v>
      </c>
      <c r="D30" s="131"/>
      <c r="E30" s="133"/>
    </row>
    <row r="31" spans="2:5" ht="15.75" hidden="1" customHeight="1" outlineLevel="1" x14ac:dyDescent="0.2">
      <c r="B31" s="134" t="s">
        <v>433</v>
      </c>
      <c r="C31" s="135" t="s">
        <v>427</v>
      </c>
      <c r="D31" s="134"/>
      <c r="E31" s="136"/>
    </row>
    <row r="32" spans="2:5" ht="15.75" hidden="1" customHeight="1" outlineLevel="1" x14ac:dyDescent="0.2">
      <c r="B32" s="131" t="s">
        <v>434</v>
      </c>
      <c r="C32" s="132"/>
      <c r="D32" s="131"/>
      <c r="E32" s="133"/>
    </row>
    <row r="33" spans="2:5" ht="15.75" hidden="1" customHeight="1" outlineLevel="1" x14ac:dyDescent="0.2">
      <c r="B33" s="146"/>
      <c r="C33" s="135"/>
      <c r="D33" s="135"/>
      <c r="E33" s="147"/>
    </row>
    <row r="34" spans="2:5" ht="15.75" hidden="1" customHeight="1" outlineLevel="1" x14ac:dyDescent="0.2">
      <c r="B34" s="131"/>
      <c r="C34" s="132"/>
      <c r="D34" s="132"/>
      <c r="E34" s="133"/>
    </row>
    <row r="35" spans="2:5" ht="15.75" hidden="1" customHeight="1" outlineLevel="1" x14ac:dyDescent="0.2">
      <c r="B35" s="134"/>
      <c r="C35" s="135"/>
      <c r="D35" s="135"/>
      <c r="E35" s="136"/>
    </row>
    <row r="36" spans="2:5" ht="15.75" hidden="1" customHeight="1" outlineLevel="1" x14ac:dyDescent="0.2">
      <c r="B36" s="149"/>
      <c r="C36" s="149"/>
      <c r="D36" s="149"/>
      <c r="E36" s="151"/>
    </row>
    <row r="37" spans="2:5" ht="15.75" customHeight="1" collapsed="1" x14ac:dyDescent="0.2">
      <c r="B37" s="145"/>
      <c r="C37" s="145"/>
      <c r="D37" s="145"/>
      <c r="E37" s="145"/>
    </row>
    <row r="38" spans="2:5" ht="15.75" customHeight="1" x14ac:dyDescent="0.2">
      <c r="B38" s="145"/>
      <c r="C38" s="145"/>
      <c r="D38" s="145"/>
      <c r="E38" s="145"/>
    </row>
    <row r="39" spans="2:5" ht="15.75" customHeight="1" x14ac:dyDescent="0.2">
      <c r="B39" s="128" t="s">
        <v>435</v>
      </c>
    </row>
    <row r="40" spans="2:5" ht="15.75" hidden="1" customHeight="1" outlineLevel="1" x14ac:dyDescent="0.2">
      <c r="B40" s="129" t="s">
        <v>385</v>
      </c>
      <c r="C40" s="129" t="s">
        <v>386</v>
      </c>
      <c r="D40" s="129" t="s">
        <v>387</v>
      </c>
      <c r="E40" s="130" t="s">
        <v>388</v>
      </c>
    </row>
    <row r="41" spans="2:5" ht="36.75" hidden="1" customHeight="1" outlineLevel="1" x14ac:dyDescent="0.2">
      <c r="B41" s="212" t="s">
        <v>436</v>
      </c>
      <c r="C41" s="213"/>
      <c r="D41" s="213"/>
      <c r="E41" s="214"/>
    </row>
    <row r="42" spans="2:5" ht="15.75" hidden="1" customHeight="1" outlineLevel="1" x14ac:dyDescent="0.2">
      <c r="B42" s="131" t="s">
        <v>437</v>
      </c>
      <c r="C42" s="132" t="s">
        <v>438</v>
      </c>
      <c r="D42" s="131" t="s">
        <v>439</v>
      </c>
      <c r="E42" s="133" t="s">
        <v>440</v>
      </c>
    </row>
    <row r="43" spans="2:5" ht="15.75" hidden="1" customHeight="1" outlineLevel="1" x14ac:dyDescent="0.2">
      <c r="B43" s="134" t="s">
        <v>441</v>
      </c>
      <c r="C43" s="135" t="s">
        <v>438</v>
      </c>
      <c r="D43" s="134" t="s">
        <v>442</v>
      </c>
      <c r="E43" s="136" t="s">
        <v>443</v>
      </c>
    </row>
    <row r="44" spans="2:5" ht="15.75" hidden="1" customHeight="1" outlineLevel="1" x14ac:dyDescent="0.2">
      <c r="B44" s="131" t="s">
        <v>444</v>
      </c>
      <c r="C44" s="132" t="s">
        <v>445</v>
      </c>
      <c r="D44" s="131" t="s">
        <v>446</v>
      </c>
      <c r="E44" s="133" t="s">
        <v>447</v>
      </c>
    </row>
    <row r="45" spans="2:5" ht="15.75" hidden="1" customHeight="1" outlineLevel="1" x14ac:dyDescent="0.2">
      <c r="B45" s="134" t="s">
        <v>448</v>
      </c>
      <c r="C45" s="135" t="s">
        <v>449</v>
      </c>
      <c r="D45" s="134" t="s">
        <v>450</v>
      </c>
      <c r="E45" s="136"/>
    </row>
    <row r="46" spans="2:5" ht="15.75" hidden="1" customHeight="1" outlineLevel="1" x14ac:dyDescent="0.2">
      <c r="B46" s="131" t="s">
        <v>451</v>
      </c>
      <c r="C46" s="132" t="s">
        <v>449</v>
      </c>
      <c r="D46" s="131" t="s">
        <v>452</v>
      </c>
      <c r="E46" s="133"/>
    </row>
    <row r="47" spans="2:5" ht="15.75" hidden="1" customHeight="1" outlineLevel="1" x14ac:dyDescent="0.2">
      <c r="B47" s="146" t="s">
        <v>453</v>
      </c>
      <c r="C47" s="135" t="s">
        <v>438</v>
      </c>
      <c r="D47" s="135" t="s">
        <v>454</v>
      </c>
      <c r="E47" s="147"/>
    </row>
    <row r="48" spans="2:5" ht="15.75" hidden="1" customHeight="1" outlineLevel="1" x14ac:dyDescent="0.2">
      <c r="B48" s="131" t="s">
        <v>455</v>
      </c>
      <c r="C48" s="132" t="s">
        <v>449</v>
      </c>
      <c r="D48" s="132" t="s">
        <v>456</v>
      </c>
      <c r="E48" s="133"/>
    </row>
    <row r="49" spans="2:5" ht="15.75" hidden="1" customHeight="1" outlineLevel="1" x14ac:dyDescent="0.2">
      <c r="B49" s="134" t="s">
        <v>457</v>
      </c>
      <c r="C49" s="135" t="s">
        <v>449</v>
      </c>
      <c r="D49" s="135" t="s">
        <v>456</v>
      </c>
      <c r="E49" s="136" t="s">
        <v>458</v>
      </c>
    </row>
    <row r="50" spans="2:5" ht="15.75" hidden="1" customHeight="1" outlineLevel="1" x14ac:dyDescent="0.2">
      <c r="B50" s="149" t="s">
        <v>459</v>
      </c>
      <c r="C50" s="149" t="s">
        <v>449</v>
      </c>
      <c r="D50" s="149"/>
      <c r="E50" s="151"/>
    </row>
    <row r="51" spans="2:5" ht="15.75" customHeight="1" collapsed="1" x14ac:dyDescent="0.2"/>
    <row r="52" spans="2:5" ht="15.75" customHeight="1" x14ac:dyDescent="0.2">
      <c r="B52" s="128" t="s">
        <v>460</v>
      </c>
    </row>
    <row r="53" spans="2:5" ht="15.75" hidden="1" customHeight="1" outlineLevel="1" x14ac:dyDescent="0.2">
      <c r="B53" s="129" t="s">
        <v>385</v>
      </c>
      <c r="C53" s="129" t="s">
        <v>386</v>
      </c>
      <c r="D53" s="129" t="s">
        <v>387</v>
      </c>
      <c r="E53" s="130" t="s">
        <v>388</v>
      </c>
    </row>
    <row r="54" spans="2:5" ht="36.75" hidden="1" customHeight="1" outlineLevel="1" x14ac:dyDescent="0.2">
      <c r="B54" s="212" t="s">
        <v>461</v>
      </c>
      <c r="C54" s="213"/>
      <c r="D54" s="213"/>
      <c r="E54" s="214"/>
    </row>
    <row r="55" spans="2:5" ht="15.75" hidden="1" customHeight="1" outlineLevel="1" x14ac:dyDescent="0.2">
      <c r="B55" s="132" t="s">
        <v>462</v>
      </c>
      <c r="C55" s="132" t="s">
        <v>463</v>
      </c>
      <c r="D55" s="132"/>
      <c r="E55" s="133"/>
    </row>
    <row r="56" spans="2:5" ht="15.75" hidden="1" customHeight="1" outlineLevel="1" x14ac:dyDescent="0.2">
      <c r="B56" s="134" t="s">
        <v>464</v>
      </c>
      <c r="C56" s="135" t="s">
        <v>465</v>
      </c>
      <c r="D56" s="135"/>
      <c r="E56" s="136"/>
    </row>
    <row r="57" spans="2:5" ht="15.75" hidden="1" customHeight="1" outlineLevel="1" x14ac:dyDescent="0.2">
      <c r="B57" s="131" t="s">
        <v>466</v>
      </c>
      <c r="C57" s="132"/>
      <c r="D57" s="131"/>
      <c r="E57" s="133"/>
    </row>
    <row r="58" spans="2:5" ht="15.75" hidden="1" customHeight="1" outlineLevel="1" x14ac:dyDescent="0.2">
      <c r="B58" s="134"/>
      <c r="C58" s="135"/>
      <c r="D58" s="134"/>
      <c r="E58" s="136"/>
    </row>
    <row r="59" spans="2:5" ht="15.75" hidden="1" customHeight="1" outlineLevel="1" x14ac:dyDescent="0.2">
      <c r="B59" s="132"/>
      <c r="C59" s="132"/>
      <c r="D59" s="132"/>
      <c r="E59" s="133"/>
    </row>
    <row r="60" spans="2:5" ht="15.75" hidden="1" customHeight="1" outlineLevel="1" x14ac:dyDescent="0.2">
      <c r="B60" s="146"/>
      <c r="C60" s="152"/>
      <c r="D60" s="152"/>
      <c r="E60" s="147"/>
    </row>
    <row r="61" spans="2:5" ht="15.75" hidden="1" customHeight="1" outlineLevel="1" x14ac:dyDescent="0.2">
      <c r="B61" s="148"/>
      <c r="C61" s="151"/>
      <c r="D61" s="149"/>
      <c r="E61" s="151"/>
    </row>
    <row r="62" spans="2:5" ht="15.75" hidden="1" customHeight="1" outlineLevel="1" x14ac:dyDescent="0.2"/>
    <row r="63" spans="2:5" ht="15.75" customHeight="1" collapsed="1" x14ac:dyDescent="0.2"/>
    <row r="64" spans="2:5" ht="15.75" customHeight="1" x14ac:dyDescent="0.2">
      <c r="B64" s="128" t="s">
        <v>467</v>
      </c>
    </row>
    <row r="65" spans="2:5" ht="15.75" hidden="1" customHeight="1" outlineLevel="1" x14ac:dyDescent="0.2">
      <c r="B65" s="129" t="s">
        <v>385</v>
      </c>
      <c r="C65" s="129" t="s">
        <v>386</v>
      </c>
      <c r="D65" s="129" t="s">
        <v>387</v>
      </c>
      <c r="E65" s="130" t="s">
        <v>388</v>
      </c>
    </row>
    <row r="66" spans="2:5" ht="36.75" hidden="1" customHeight="1" outlineLevel="1" x14ac:dyDescent="0.2">
      <c r="B66" s="212" t="s">
        <v>468</v>
      </c>
      <c r="C66" s="213"/>
      <c r="D66" s="213"/>
      <c r="E66" s="214"/>
    </row>
    <row r="67" spans="2:5" ht="15.75" hidden="1" customHeight="1" outlineLevel="1" x14ac:dyDescent="0.2">
      <c r="B67" s="132" t="s">
        <v>469</v>
      </c>
      <c r="C67" s="132" t="s">
        <v>470</v>
      </c>
      <c r="D67" s="132" t="s">
        <v>471</v>
      </c>
      <c r="E67" s="133"/>
    </row>
    <row r="68" spans="2:5" ht="15.75" hidden="1" customHeight="1" outlineLevel="1" x14ac:dyDescent="0.2">
      <c r="B68" s="134" t="s">
        <v>472</v>
      </c>
      <c r="C68" s="135" t="s">
        <v>473</v>
      </c>
      <c r="D68" s="135" t="s">
        <v>474</v>
      </c>
      <c r="E68" s="136"/>
    </row>
    <row r="69" spans="2:5" ht="15.75" hidden="1" customHeight="1" outlineLevel="1" x14ac:dyDescent="0.2">
      <c r="B69" s="131" t="s">
        <v>475</v>
      </c>
      <c r="C69" s="132" t="s">
        <v>476</v>
      </c>
      <c r="D69" s="131" t="s">
        <v>477</v>
      </c>
      <c r="E69" s="133"/>
    </row>
    <row r="70" spans="2:5" ht="15.75" hidden="1" customHeight="1" outlineLevel="1" x14ac:dyDescent="0.2">
      <c r="B70" s="134" t="s">
        <v>478</v>
      </c>
      <c r="C70" s="135" t="s">
        <v>476</v>
      </c>
      <c r="D70" s="134" t="s">
        <v>479</v>
      </c>
      <c r="E70" s="136"/>
    </row>
    <row r="71" spans="2:5" ht="15.75" hidden="1" customHeight="1" outlineLevel="1" x14ac:dyDescent="0.2">
      <c r="B71" s="132" t="s">
        <v>480</v>
      </c>
      <c r="C71" s="132" t="s">
        <v>481</v>
      </c>
      <c r="D71" s="132" t="s">
        <v>482</v>
      </c>
      <c r="E71" s="133"/>
    </row>
    <row r="72" spans="2:5" ht="15.75" hidden="1" customHeight="1" outlineLevel="1" x14ac:dyDescent="0.2">
      <c r="B72" s="146" t="s">
        <v>483</v>
      </c>
      <c r="C72" s="152"/>
      <c r="D72" s="152"/>
      <c r="E72" s="147"/>
    </row>
    <row r="73" spans="2:5" ht="15.75" hidden="1" customHeight="1" outlineLevel="1" x14ac:dyDescent="0.2">
      <c r="B73" s="148" t="s">
        <v>484</v>
      </c>
      <c r="C73" s="151" t="s">
        <v>485</v>
      </c>
      <c r="D73" s="149"/>
      <c r="E73" s="151"/>
    </row>
    <row r="74" spans="2:5" ht="15.75" hidden="1" customHeight="1" outlineLevel="1" x14ac:dyDescent="0.2"/>
    <row r="75" spans="2:5" ht="15.75" customHeight="1" collapsed="1" x14ac:dyDescent="0.2"/>
    <row r="76" spans="2:5" ht="15.75" customHeight="1" x14ac:dyDescent="0.2">
      <c r="B76" s="44"/>
    </row>
    <row r="77" spans="2:5" ht="15.75" customHeight="1" x14ac:dyDescent="0.2">
      <c r="B77" s="128" t="s">
        <v>486</v>
      </c>
    </row>
    <row r="78" spans="2:5" ht="15.75" customHeight="1" outlineLevel="1" x14ac:dyDescent="0.2">
      <c r="B78" s="129" t="s">
        <v>385</v>
      </c>
      <c r="C78" s="129" t="s">
        <v>386</v>
      </c>
      <c r="D78" s="129" t="s">
        <v>387</v>
      </c>
      <c r="E78" s="130" t="s">
        <v>388</v>
      </c>
    </row>
    <row r="79" spans="2:5" ht="15.75" customHeight="1" outlineLevel="1" x14ac:dyDescent="0.2">
      <c r="B79" s="135" t="s">
        <v>487</v>
      </c>
      <c r="C79" s="135" t="s">
        <v>278</v>
      </c>
      <c r="D79" s="135" t="s">
        <v>488</v>
      </c>
      <c r="E79" s="153" t="s">
        <v>489</v>
      </c>
    </row>
    <row r="80" spans="2:5" ht="15.75" customHeight="1" outlineLevel="1" x14ac:dyDescent="0.2">
      <c r="B80" s="132" t="s">
        <v>490</v>
      </c>
      <c r="C80" s="132" t="s">
        <v>136</v>
      </c>
      <c r="D80" s="132" t="s">
        <v>491</v>
      </c>
      <c r="E80" s="154" t="s">
        <v>492</v>
      </c>
    </row>
    <row r="81" spans="2:5" ht="15.75" customHeight="1" outlineLevel="1" x14ac:dyDescent="0.2">
      <c r="B81" s="135" t="s">
        <v>493</v>
      </c>
      <c r="C81" s="135" t="s">
        <v>136</v>
      </c>
      <c r="D81" s="135" t="s">
        <v>494</v>
      </c>
      <c r="E81" s="136"/>
    </row>
    <row r="82" spans="2:5" ht="15.75" customHeight="1" outlineLevel="1" x14ac:dyDescent="0.2">
      <c r="B82" s="132" t="s">
        <v>495</v>
      </c>
      <c r="C82" s="132"/>
      <c r="D82" s="132"/>
      <c r="E82" s="133" t="s">
        <v>496</v>
      </c>
    </row>
    <row r="83" spans="2:5" ht="15.75" customHeight="1" outlineLevel="1" x14ac:dyDescent="0.2">
      <c r="B83" s="134" t="s">
        <v>497</v>
      </c>
      <c r="C83" s="135" t="s">
        <v>498</v>
      </c>
      <c r="D83" s="134" t="s">
        <v>499</v>
      </c>
      <c r="E83" s="153" t="s">
        <v>500</v>
      </c>
    </row>
    <row r="84" spans="2:5" ht="15.75" customHeight="1" outlineLevel="1" x14ac:dyDescent="0.2">
      <c r="B84" s="132"/>
      <c r="C84" s="132"/>
      <c r="D84" s="132"/>
      <c r="E84" s="133"/>
    </row>
    <row r="85" spans="2:5" ht="15.75" customHeight="1" outlineLevel="1" x14ac:dyDescent="0.2">
      <c r="B85" s="152"/>
      <c r="C85" s="152"/>
      <c r="D85" s="152"/>
      <c r="E85" s="147"/>
    </row>
    <row r="86" spans="2:5" ht="15.75" customHeight="1" outlineLevel="1" x14ac:dyDescent="0.2">
      <c r="B86" s="149"/>
      <c r="C86" s="151"/>
      <c r="D86" s="149"/>
      <c r="E86" s="151"/>
    </row>
    <row r="87" spans="2:5" ht="15.75" customHeight="1" x14ac:dyDescent="0.2"/>
    <row r="88" spans="2:5" ht="15.75" customHeight="1" x14ac:dyDescent="0.2"/>
    <row r="89" spans="2:5" ht="15.75" customHeight="1" x14ac:dyDescent="0.2">
      <c r="B89" s="128"/>
    </row>
    <row r="90" spans="2:5" ht="15.75" customHeight="1" x14ac:dyDescent="0.2">
      <c r="B90" s="93"/>
      <c r="C90" s="93"/>
      <c r="D90" s="93"/>
      <c r="E90" s="93"/>
    </row>
    <row r="91" spans="2:5" ht="16.5" customHeight="1" x14ac:dyDescent="0.2">
      <c r="B91" s="155"/>
      <c r="C91" s="155"/>
      <c r="D91" s="155"/>
      <c r="E91" s="155"/>
    </row>
    <row r="92" spans="2:5" ht="15.75" customHeight="1" x14ac:dyDescent="0.2">
      <c r="B92" s="145"/>
      <c r="C92" s="145"/>
      <c r="D92" s="145"/>
      <c r="E92" s="145"/>
    </row>
    <row r="93" spans="2:5" ht="15.75" customHeight="1" x14ac:dyDescent="0.2">
      <c r="B93" s="155"/>
      <c r="C93" s="145"/>
      <c r="D93" s="145"/>
      <c r="E93" s="145"/>
    </row>
    <row r="94" spans="2:5" ht="15.75" customHeight="1" x14ac:dyDescent="0.2">
      <c r="B94" s="155"/>
      <c r="C94" s="145"/>
      <c r="D94" s="155"/>
      <c r="E94" s="145"/>
    </row>
    <row r="95" spans="2:5" ht="15.75" customHeight="1" x14ac:dyDescent="0.2">
      <c r="B95" s="155"/>
      <c r="C95" s="145"/>
      <c r="D95" s="155"/>
      <c r="E95" s="145"/>
    </row>
    <row r="96" spans="2:5" ht="15.75" customHeight="1" x14ac:dyDescent="0.2">
      <c r="B96" s="145"/>
      <c r="C96" s="145"/>
      <c r="D96" s="145"/>
      <c r="E96" s="145"/>
    </row>
    <row r="97" spans="2:5" ht="15.75" customHeight="1" x14ac:dyDescent="0.2">
      <c r="B97" s="156"/>
    </row>
    <row r="98" spans="2:5" ht="15.75" customHeight="1" x14ac:dyDescent="0.2">
      <c r="B98" s="155"/>
      <c r="C98" s="145"/>
      <c r="D98" s="145"/>
      <c r="E98" s="145"/>
    </row>
    <row r="99" spans="2:5" ht="15.75" customHeight="1" x14ac:dyDescent="0.2"/>
    <row r="100" spans="2:5" ht="15.75" customHeight="1" x14ac:dyDescent="0.2"/>
    <row r="101" spans="2:5" ht="15.75" customHeight="1" x14ac:dyDescent="0.2"/>
    <row r="102" spans="2:5" ht="15.75" customHeight="1" x14ac:dyDescent="0.2"/>
    <row r="103" spans="2:5" ht="15.75" customHeight="1" x14ac:dyDescent="0.2"/>
    <row r="104" spans="2:5" ht="15.75" customHeight="1" x14ac:dyDescent="0.2"/>
    <row r="105" spans="2:5" ht="15.75" customHeight="1" x14ac:dyDescent="0.2"/>
    <row r="106" spans="2:5" ht="15.75" customHeight="1" x14ac:dyDescent="0.2"/>
    <row r="107" spans="2:5" ht="15.75" customHeight="1" x14ac:dyDescent="0.2"/>
    <row r="108" spans="2:5" ht="15.75" customHeight="1" x14ac:dyDescent="0.2"/>
    <row r="109" spans="2:5" ht="15.75" customHeight="1" x14ac:dyDescent="0.2"/>
    <row r="110" spans="2:5" ht="15.75" customHeight="1" x14ac:dyDescent="0.2"/>
    <row r="111" spans="2:5" ht="15.75" customHeight="1" x14ac:dyDescent="0.2"/>
    <row r="112" spans="2:5"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B66:E66"/>
    <mergeCell ref="B4:E4"/>
    <mergeCell ref="B16:E16"/>
    <mergeCell ref="B27:E27"/>
    <mergeCell ref="B41:E41"/>
    <mergeCell ref="B54:E5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Ficha Contractual</vt:lpstr>
      <vt:lpstr>Obligaciones</vt:lpstr>
      <vt:lpstr>Supuestos</vt:lpstr>
      <vt:lpstr>Crédito Syscap</vt:lpstr>
      <vt:lpstr>Monitoreo</vt:lpstr>
      <vt:lpstr>Efs Real</vt:lpstr>
      <vt:lpstr>Efs OG</vt:lpstr>
      <vt:lpstr>EFs KDP</vt:lpstr>
      <vt:lpstr>Notas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RICARDO BARRON LOYA</cp:lastModifiedBy>
  <dcterms:created xsi:type="dcterms:W3CDTF">2024-11-08T01:00:45Z</dcterms:created>
  <dcterms:modified xsi:type="dcterms:W3CDTF">2026-05-11T16:48:13Z</dcterms:modified>
</cp:coreProperties>
</file>