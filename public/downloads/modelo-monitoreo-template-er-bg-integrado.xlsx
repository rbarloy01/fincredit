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780" yWindow="1320" windowWidth="19020" windowHeight="15400" tabRatio="600" firstSheet="0" activeTab="1" autoFilterDateGrouping="1"/>
  </bookViews>
  <sheets>
    <sheet xmlns:r="http://schemas.openxmlformats.org/officeDocument/2006/relationships" name="Ficha Contractual" sheetId="1" state="visible" r:id="rId1"/>
    <sheet xmlns:r="http://schemas.openxmlformats.org/officeDocument/2006/relationships" name="Obligaciones" sheetId="2" state="visible" r:id="rId2"/>
    <sheet xmlns:r="http://schemas.openxmlformats.org/officeDocument/2006/relationships" name="Supuestos" sheetId="3" state="visible" r:id="rId3"/>
    <sheet xmlns:r="http://schemas.openxmlformats.org/officeDocument/2006/relationships" name="Crédito Syscap" sheetId="4" state="hidden" r:id="rId4"/>
    <sheet xmlns:r="http://schemas.openxmlformats.org/officeDocument/2006/relationships" name="Monitoreo" sheetId="5" state="visible" r:id="rId5"/>
    <sheet xmlns:r="http://schemas.openxmlformats.org/officeDocument/2006/relationships" name="Efs Real" sheetId="6" state="visible" r:id="rId6"/>
    <sheet xmlns:r="http://schemas.openxmlformats.org/officeDocument/2006/relationships" name="Efs OG" sheetId="7" state="visible" r:id="rId7"/>
    <sheet xmlns:r="http://schemas.openxmlformats.org/officeDocument/2006/relationships" name="EFs KDP" sheetId="8" state="hidden" r:id="rId8"/>
    <sheet xmlns:r="http://schemas.openxmlformats.org/officeDocument/2006/relationships" name="Notas" sheetId="9" state="visible" r:id="rId9"/>
    <sheet xmlns:r="http://schemas.openxmlformats.org/officeDocument/2006/relationships" name="Indicadores IFNB" sheetId="10" state="visible" r:id="rId10"/>
  </sheets>
  <definedNames>
    <definedName name="_xlnm._FilterDatabase" localSheetId="9" hidden="1">'Indicadores IFNB'!$A$4:$F$4</definedName>
  </definedNames>
  <calcPr calcId="171027" fullCalcOnLoad="1"/>
</workbook>
</file>

<file path=xl/styles.xml><?xml version="1.0" encoding="utf-8"?>
<styleSheet xmlns="http://schemas.openxmlformats.org/spreadsheetml/2006/main">
  <numFmts count="14">
    <numFmt numFmtId="164" formatCode="d/m/yyyy"/>
    <numFmt numFmtId="165" formatCode="_-&quot;$&quot;* #,##0_-;-&quot;$&quot;* #,##0_-;_-&quot;$&quot;* &quot;-&quot;??_-;_-@"/>
    <numFmt numFmtId="166" formatCode="_(&quot;$&quot;* #,##0_);_(&quot;$&quot;* (#,##0);_(&quot;$&quot;* &quot;-&quot;??_);_(@_)"/>
    <numFmt numFmtId="167" formatCode="yyyy-mm-dd"/>
    <numFmt numFmtId="168" formatCode="_(&quot;$&quot;* #,##0.00_);_(&quot;$&quot;* (#,##0.00);_(&quot;$&quot;* &quot;-&quot;??_);_(@_)"/>
    <numFmt numFmtId="169" formatCode="[$-409]mmm-yy"/>
    <numFmt numFmtId="170" formatCode="_(* #,##0.0_);_(* (#,##0.0);_(* &quot;-&quot;??_);_(@_)"/>
    <numFmt numFmtId="171" formatCode="0.0"/>
    <numFmt numFmtId="172" formatCode="0.0%"/>
    <numFmt numFmtId="173" formatCode="_(* #,##0.00_);_(* (#,##0.00);_(* &quot;-&quot;??_);_(@_)"/>
    <numFmt numFmtId="174" formatCode="_(&quot;$&quot;* #,##0.0000000000000_);_(&quot;$&quot;* (#,##0.0000000000000);_(&quot;$&quot;* &quot;-&quot;??_);_(@_)"/>
    <numFmt numFmtId="175" formatCode="0.0x"/>
    <numFmt numFmtId="176" formatCode="0.00x"/>
    <numFmt numFmtId="177" formatCode="0.0%;[Red](0.0%);-"/>
  </numFmts>
  <fonts count="51">
    <font>
      <name val="Calibri"/>
      <family val="2"/>
      <color theme="1"/>
      <sz val="11"/>
      <scheme val="minor"/>
    </font>
    <font>
      <name val="Aptos Narrow"/>
      <color rgb="FF0447E6"/>
      <sz val="11"/>
    </font>
    <font>
      <name val="Aptos Narrow"/>
      <sz val="11"/>
    </font>
    <font>
      <name val="Aptos Narrow"/>
      <color theme="1"/>
      <sz val="11"/>
    </font>
    <font>
      <name val="Arial"/>
      <family val="2"/>
      <b val="1"/>
      <color rgb="FFFFFFFF"/>
      <sz val="12"/>
    </font>
    <font>
      <name val="Arial"/>
      <family val="2"/>
      <color rgb="FF12127A"/>
      <sz val="8"/>
    </font>
    <font>
      <name val="Arial"/>
      <family val="2"/>
      <b val="1"/>
      <color rgb="FFFFFFFF"/>
      <sz val="9"/>
    </font>
    <font>
      <name val="Arial"/>
      <family val="2"/>
      <b val="1"/>
      <color theme="1"/>
      <sz val="9"/>
    </font>
    <font>
      <name val="Arial"/>
      <family val="2"/>
      <color theme="1"/>
      <sz val="9"/>
    </font>
    <font>
      <name val="Arial"/>
      <family val="2"/>
      <b val="1"/>
      <color theme="1"/>
      <sz val="8"/>
    </font>
    <font>
      <name val="Arial"/>
      <family val="2"/>
      <b val="1"/>
      <color rgb="FFFFFFFF"/>
      <sz val="8"/>
    </font>
    <font>
      <name val="Arial"/>
      <family val="2"/>
      <i val="1"/>
      <color rgb="FF5A5A5A"/>
      <sz val="8"/>
    </font>
    <font>
      <name val="Arial"/>
      <family val="2"/>
      <color rgb="FF000000"/>
      <sz val="9"/>
    </font>
    <font>
      <name val="Arial"/>
      <family val="2"/>
      <i val="1"/>
      <color theme="1"/>
      <sz val="8"/>
    </font>
    <font>
      <name val="Arial"/>
      <family val="2"/>
      <color theme="1"/>
      <sz val="8"/>
    </font>
    <font>
      <name val="Arial"/>
      <family val="2"/>
      <color rgb="FF0000FF"/>
      <sz val="9"/>
    </font>
    <font>
      <name val="Arial"/>
      <family val="2"/>
      <color rgb="FF0447E6"/>
      <sz val="9"/>
    </font>
    <font>
      <name val="Arial"/>
      <family val="2"/>
      <b val="1"/>
      <color rgb="FF12127A"/>
      <sz val="9"/>
    </font>
    <font>
      <name val="Arial"/>
      <family val="2"/>
      <i val="1"/>
      <color rgb="FF000000"/>
      <sz val="8"/>
    </font>
    <font>
      <name val="Arial"/>
      <family val="2"/>
      <color rgb="FF000000"/>
      <sz val="8"/>
    </font>
    <font>
      <name val="Arial"/>
      <family val="2"/>
      <color rgb="FF1F1F1F"/>
      <sz val="11"/>
    </font>
    <font>
      <name val="Arial"/>
      <family val="2"/>
      <b val="1"/>
      <color rgb="FF1F1F1F"/>
      <sz val="18"/>
    </font>
    <font>
      <name val="Arial"/>
      <family val="2"/>
      <b val="1"/>
      <color rgb="FF1F1F1F"/>
      <sz val="11"/>
    </font>
    <font>
      <name val="Aptos Narrow"/>
      <b val="1"/>
      <color theme="0"/>
      <sz val="11"/>
    </font>
    <font>
      <name val="Aptos Narrow"/>
      <color rgb="FF000000"/>
      <sz val="11"/>
    </font>
    <font>
      <name val="Aptos Narrow"/>
      <b val="1"/>
      <color rgb="FF000000"/>
      <sz val="11"/>
    </font>
    <font>
      <name val="Arial"/>
      <family val="2"/>
      <color theme="1"/>
      <sz val="11"/>
    </font>
    <font>
      <name val="Arial"/>
      <family val="2"/>
      <color rgb="FF000000"/>
      <sz val="11"/>
    </font>
    <font>
      <name val="Aptos Narrow"/>
      <b val="1"/>
      <color theme="0"/>
      <sz val="12"/>
    </font>
    <font>
      <name val="Aptos Narrow"/>
      <color theme="1"/>
      <sz val="12"/>
    </font>
    <font>
      <name val="Arial"/>
      <family val="2"/>
      <color theme="1"/>
      <sz val="12"/>
    </font>
    <font>
      <name val="Aptos Narrow"/>
      <color rgb="FF000000"/>
      <sz val="11"/>
      <scheme val="minor"/>
    </font>
    <font>
      <name val="Aptos Narrow"/>
      <i val="1"/>
      <color rgb="FF0B769F"/>
      <sz val="12"/>
    </font>
    <font>
      <name val="Aptos Narrow"/>
      <b val="1"/>
      <color theme="1"/>
      <sz val="12"/>
    </font>
    <font>
      <name val="Aptos Narrow"/>
      <color theme="0"/>
      <sz val="12"/>
    </font>
    <font>
      <name val="Aptos Narrow"/>
      <i val="1"/>
      <color rgb="FF0B769F"/>
      <sz val="11"/>
    </font>
    <font>
      <name val="Aptos Narrow"/>
      <i val="1"/>
      <color rgb="FF215E99"/>
      <sz val="11"/>
    </font>
    <font>
      <name val="Aptos Narrow"/>
      <i val="1"/>
      <color rgb="FF000000"/>
      <sz val="11"/>
    </font>
    <font>
      <name val="Helvetica Neue"/>
      <family val="2"/>
      <color theme="1"/>
      <sz val="12"/>
    </font>
    <font>
      <name val="Arial"/>
      <b val="1"/>
      <color rgb="FFFFFFFF"/>
      <sz val="14"/>
    </font>
    <font>
      <name val="Arial"/>
      <color rgb="FF155E75"/>
      <sz val="9"/>
    </font>
    <font>
      <name val="Arial"/>
      <b val="1"/>
      <color rgb="FFFFFFFF"/>
      <sz val="9"/>
    </font>
    <font>
      <name val="Arial"/>
      <b val="1"/>
      <color rgb="FF334155"/>
      <sz val="9"/>
    </font>
    <font>
      <name val="Arial"/>
      <color rgb="FF1E293B"/>
      <sz val="9"/>
    </font>
    <font>
      <name val="Arial"/>
      <i val="1"/>
      <color rgb="FF1E293B"/>
      <sz val="9"/>
    </font>
    <font>
      <name val="Arial"/>
      <b val="1"/>
      <color rgb="FFFFFFFF"/>
      <sz val="10"/>
    </font>
    <font>
      <name val="Arial"/>
      <b val="1"/>
      <color rgb="FF0F172A"/>
      <sz val="9"/>
    </font>
    <font>
      <name val="Arial"/>
      <color rgb="FF2563EB"/>
      <sz val="9"/>
      <u val="single"/>
    </font>
    <font>
      <b val="1"/>
      <color rgb="00FFFFFF"/>
    </font>
    <font>
      <b val="1"/>
      <color rgb="00000000"/>
    </font>
    <font>
      <color rgb="00000000"/>
    </font>
  </fonts>
  <fills count="31">
    <fill>
      <patternFill/>
    </fill>
    <fill>
      <patternFill patternType="gray125"/>
    </fill>
    <fill>
      <patternFill patternType="solid">
        <fgColor rgb="FF0447E6"/>
        <bgColor rgb="FF0447E6"/>
      </patternFill>
    </fill>
    <fill>
      <patternFill patternType="solid">
        <fgColor rgb="FFF2F2F2"/>
        <bgColor rgb="FFF2F2F2"/>
      </patternFill>
    </fill>
    <fill>
      <patternFill patternType="solid">
        <fgColor theme="0"/>
        <bgColor theme="0"/>
      </patternFill>
    </fill>
    <fill>
      <patternFill patternType="solid">
        <fgColor rgb="FF1E1ECC"/>
        <bgColor rgb="FF1E1ECC"/>
      </patternFill>
    </fill>
    <fill>
      <patternFill patternType="solid">
        <fgColor rgb="FFEBF3FF"/>
        <bgColor rgb="FFEBF3FF"/>
      </patternFill>
    </fill>
    <fill>
      <patternFill patternType="solid">
        <fgColor rgb="FFFFFFFF"/>
        <bgColor rgb="FFFFFFFF"/>
      </patternFill>
    </fill>
    <fill>
      <patternFill patternType="solid">
        <fgColor rgb="FF18AEE7"/>
        <bgColor rgb="FF18AEE7"/>
      </patternFill>
    </fill>
    <fill>
      <patternFill patternType="solid">
        <fgColor theme="1"/>
        <bgColor theme="1"/>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0E2841"/>
        <bgColor rgb="FF0E2841"/>
      </patternFill>
    </fill>
    <fill>
      <patternFill patternType="solid">
        <fgColor rgb="FFD9F2D0"/>
        <bgColor rgb="FFD9F2D0"/>
      </patternFill>
    </fill>
    <fill>
      <patternFill patternType="solid">
        <fgColor rgb="FF002060"/>
        <bgColor rgb="FF002060"/>
      </patternFill>
    </fill>
    <fill>
      <patternFill patternType="solid">
        <fgColor rgb="FFAEAEAE"/>
        <bgColor rgb="FFAEAEAE"/>
      </patternFill>
    </fill>
    <fill>
      <patternFill patternType="solid">
        <fgColor rgb="FFDCDCDC"/>
        <bgColor rgb="FFDCDCDC"/>
      </patternFill>
    </fill>
    <fill>
      <patternFill patternType="solid">
        <fgColor rgb="FFD8D8D8"/>
        <bgColor rgb="FFD8D8D8"/>
      </patternFill>
    </fill>
    <fill>
      <patternFill patternType="solid">
        <fgColor rgb="FF0F172A"/>
      </patternFill>
    </fill>
    <fill>
      <patternFill patternType="solid">
        <fgColor rgb="FFECFEFF"/>
      </patternFill>
    </fill>
    <fill>
      <patternFill patternType="solid">
        <fgColor rgb="FF0F766E"/>
      </patternFill>
    </fill>
    <fill>
      <patternFill patternType="solid">
        <fgColor rgb="FFFFFFFF"/>
      </patternFill>
    </fill>
    <fill>
      <patternFill patternType="solid">
        <fgColor rgb="FFF8FAFC"/>
      </patternFill>
    </fill>
    <fill>
      <patternFill patternType="solid">
        <fgColor rgb="FF334155"/>
      </patternFill>
    </fill>
    <fill>
      <patternFill patternType="solid">
        <fgColor rgb="FFE2E8F0"/>
      </patternFill>
    </fill>
    <fill>
      <patternFill patternType="solid">
        <fgColor rgb="001F4E78"/>
      </patternFill>
    </fill>
    <fill>
      <patternFill patternType="solid">
        <fgColor rgb="00D9EAF7"/>
      </patternFill>
    </fill>
    <fill>
      <patternFill patternType="solid">
        <fgColor rgb="005B9BD5"/>
      </patternFill>
    </fill>
  </fills>
  <borders count="58">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1E1ECC"/>
      </left>
      <right/>
      <top style="thin">
        <color rgb="FF1E1ECC"/>
      </top>
      <bottom/>
      <diagonal/>
    </border>
    <border>
      <left/>
      <right/>
      <top style="thin">
        <color rgb="FF1E1ECC"/>
      </top>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
      <left style="thin">
        <color rgb="FFD0D0D0"/>
      </left>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1E1ECC"/>
      </left>
      <right/>
      <top/>
      <bottom/>
      <diagonal/>
    </border>
    <border>
      <left style="thin">
        <color rgb="FFFFFFFF"/>
      </left>
      <right style="thin">
        <color rgb="FFFFFFFF"/>
      </right>
      <top style="thin">
        <color rgb="FFFFFFFF"/>
      </top>
      <bottom style="thin">
        <color rgb="FFFFFFFF"/>
      </bottom>
      <diagonal/>
    </border>
    <border>
      <left style="thin">
        <color rgb="FFD0D0D0"/>
      </left>
      <right/>
      <top style="thin">
        <color rgb="FFFFFFFF"/>
      </top>
      <bottom style="thin">
        <color rgb="FFD0D0D0"/>
      </bottom>
      <diagonal/>
    </border>
    <border>
      <left/>
      <right/>
      <top style="thin">
        <color rgb="FFFFFFFF"/>
      </top>
      <bottom style="thin">
        <color rgb="FFD0D0D0"/>
      </bottom>
      <diagonal/>
    </border>
    <border>
      <left style="thin">
        <color rgb="FFD8D8D8"/>
      </left>
      <right style="thin">
        <color rgb="FFD8D8D8"/>
      </right>
      <top style="thin">
        <color rgb="FFD8D8D8"/>
      </top>
      <bottom style="thin">
        <color rgb="FFD8D8D8"/>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D0D0D0"/>
      </right>
      <top style="thin">
        <color rgb="FFFFFFFF"/>
      </top>
      <bottom style="thin">
        <color rgb="FFD0D0D0"/>
      </bottom>
      <diagonal/>
    </border>
    <border>
      <left/>
      <right style="thin">
        <color theme="0"/>
      </right>
      <top/>
      <bottom/>
      <diagonal/>
    </border>
    <border>
      <left style="thin">
        <color theme="0"/>
      </left>
      <right style="thin">
        <color theme="0"/>
      </right>
      <top style="thin">
        <color theme="0"/>
      </top>
      <bottom style="thin">
        <color theme="0"/>
      </bottom>
      <diagonal/>
    </border>
    <border>
      <left/>
      <right/>
      <top style="thin">
        <color rgb="FFFFFFFF"/>
      </top>
      <bottom/>
      <diagonal/>
    </border>
    <border>
      <left/>
      <right style="thin">
        <color rgb="FFFFFFFF"/>
      </right>
      <top style="thin">
        <color rgb="FFFFFFFF"/>
      </top>
      <bottom/>
      <diagonal/>
    </border>
    <border>
      <left style="thin">
        <color rgb="FF1E1ECC"/>
      </left>
      <right/>
      <top style="thin">
        <color rgb="FF1E1ECC"/>
      </top>
      <bottom style="thin">
        <color theme="0"/>
      </bottom>
      <diagonal/>
    </border>
    <border>
      <left/>
      <right/>
      <top style="thin">
        <color rgb="FF1E1ECC"/>
      </top>
      <bottom style="thin">
        <color theme="0"/>
      </bottom>
      <diagonal/>
    </border>
    <border>
      <left style="thin">
        <color theme="0"/>
      </left>
      <right style="thin">
        <color rgb="FFFFFFFF"/>
      </right>
      <top style="thin">
        <color theme="0"/>
      </top>
      <bottom style="thin">
        <color rgb="FFFFFFFF"/>
      </bottom>
      <diagonal/>
    </border>
    <border>
      <left style="thin">
        <color rgb="FFFFFFFF"/>
      </left>
      <right style="thin">
        <color rgb="FFFFFFFF"/>
      </right>
      <top/>
      <bottom/>
      <diagonal/>
    </border>
    <border>
      <left style="thin">
        <color rgb="FFFFFFFF"/>
      </left>
      <right/>
      <top/>
      <bottom/>
      <diagonal/>
    </border>
    <border>
      <left style="thin">
        <color rgb="FF1E1ECC"/>
      </left>
      <right/>
      <top style="thin">
        <color rgb="FF1E1ECC"/>
      </top>
      <bottom style="thin">
        <color rgb="FF1E1ECC"/>
      </bottom>
      <diagonal/>
    </border>
    <border>
      <left/>
      <right/>
      <top style="thin">
        <color rgb="FF1E1ECC"/>
      </top>
      <bottom style="thin">
        <color rgb="FF1E1ECC"/>
      </bottom>
      <diagonal/>
    </border>
    <border>
      <left/>
      <right style="thin">
        <color rgb="FF1E1ECC"/>
      </right>
      <top style="thin">
        <color rgb="FF1E1ECC"/>
      </top>
      <bottom style="thin">
        <color rgb="FF1E1ECC"/>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D9488"/>
      </bottom>
      <diagonal/>
    </border>
    <border>
      <left/>
      <right/>
      <top/>
      <bottom style="hair">
        <color rgb="FFE2E8F0"/>
      </bottom>
      <diagonal/>
    </border>
    <border>
      <left/>
      <right/>
      <top style="thin">
        <color rgb="FFD8D8D8"/>
      </top>
      <bottom/>
      <diagonal/>
    </border>
    <border>
      <left/>
      <right style="thin">
        <color rgb="FFD8D8D8"/>
      </right>
      <top style="thin">
        <color rgb="FFD8D8D8"/>
      </top>
      <bottom/>
      <diagonal/>
    </border>
    <border>
      <left/>
      <right style="thin">
        <color rgb="FFD0D0D0"/>
      </right>
      <top/>
      <bottom/>
      <diagonal/>
    </border>
    <border>
      <left/>
      <right/>
      <top style="thin">
        <color rgb="FFD0D0D0"/>
      </top>
      <bottom/>
      <diagonal/>
    </border>
    <border>
      <left/>
      <right style="thin">
        <color rgb="FFD0D0D0"/>
      </right>
      <top style="thin">
        <color rgb="FFD0D0D0"/>
      </top>
      <bottom/>
      <diagonal/>
    </border>
    <border>
      <left style="thin">
        <color rgb="FFD0D0D0"/>
      </left>
      <right style="thin">
        <color rgb="FFD0D0D0"/>
      </right>
      <top style="thin">
        <color rgb="FFFFFFFF"/>
      </top>
      <bottom style="thin">
        <color rgb="FFD0D0D0"/>
      </bottom>
      <diagonal/>
    </border>
    <border>
      <left/>
      <right style="thin">
        <color rgb="FFD0D0D0"/>
      </right>
      <top style="thin">
        <color rgb="FFFFFFFF"/>
      </top>
      <bottom/>
      <diagonal/>
    </border>
    <border>
      <left style="thin">
        <color rgb="FF1E1ECC"/>
      </left>
      <right style="thin">
        <color rgb="FF1E1ECC"/>
      </right>
      <top style="thin">
        <color rgb="FF1E1ECC"/>
      </top>
      <bottom style="thin">
        <color rgb="FF1E1ECC"/>
      </bottom>
      <diagonal/>
    </border>
    <border>
      <left/>
      <right style="thin">
        <color rgb="FF1E1ECC"/>
      </right>
      <top style="thin">
        <color rgb="FF1E1ECC"/>
      </top>
      <bottom/>
      <diagonal/>
    </border>
    <border>
      <left style="thin">
        <color rgb="FF000000"/>
      </left>
      <right style="thin">
        <color rgb="FF000000"/>
      </right>
      <top style="thin">
        <color rgb="FF000000"/>
      </top>
      <bottom/>
      <diagonal/>
    </border>
    <border>
      <bottom style="thin">
        <color rgb="00A6A6A6"/>
      </bottom>
    </border>
    <border>
      <bottom style="thin">
        <color rgb="00E7E6E6"/>
      </bottom>
    </border>
  </borders>
  <cellStyleXfs count="1">
    <xf numFmtId="0" fontId="0" fillId="0" borderId="0"/>
  </cellStyleXfs>
  <cellXfs count="269">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4" fillId="2" borderId="0" applyAlignment="1" pivotButton="0" quotePrefix="0" xfId="0">
      <alignment vertical="center" wrapText="1"/>
    </xf>
    <xf numFmtId="0" fontId="5" fillId="3" borderId="1" applyAlignment="1" pivotButton="0" quotePrefix="0" xfId="0">
      <alignment vertical="center" wrapText="1"/>
    </xf>
    <xf numFmtId="0" fontId="2" fillId="0" borderId="2" pivotButton="0" quotePrefix="0" xfId="0"/>
    <xf numFmtId="0" fontId="2" fillId="0" borderId="3" pivotButton="0" quotePrefix="0" xfId="0"/>
    <xf numFmtId="0" fontId="6" fillId="2" borderId="4" applyAlignment="1" pivotButton="0" quotePrefix="0" xfId="0">
      <alignment vertical="center" wrapText="1"/>
    </xf>
    <xf numFmtId="0" fontId="2" fillId="0" borderId="5" pivotButton="0" quotePrefix="0" xfId="0"/>
    <xf numFmtId="0" fontId="7" fillId="3" borderId="6" applyAlignment="1" pivotButton="0" quotePrefix="0" xfId="0">
      <alignment vertical="center" wrapText="1"/>
    </xf>
    <xf numFmtId="0" fontId="8" fillId="4" borderId="7" applyAlignment="1" pivotButton="0" quotePrefix="0" xfId="0">
      <alignment vertical="center" wrapText="1"/>
    </xf>
    <xf numFmtId="0" fontId="8" fillId="4" borderId="8" applyAlignment="1" pivotButton="0" quotePrefix="0" xfId="0">
      <alignment horizontal="center" vertical="center" wrapText="1"/>
    </xf>
    <xf numFmtId="0" fontId="2" fillId="0" borderId="9" pivotButton="0" quotePrefix="0" xfId="0"/>
    <xf numFmtId="0" fontId="2" fillId="0" borderId="10" pivotButton="0" quotePrefix="0" xfId="0"/>
    <xf numFmtId="0" fontId="7" fillId="3" borderId="7" applyAlignment="1" pivotButton="0" quotePrefix="0" xfId="0">
      <alignment vertical="center" wrapText="1"/>
    </xf>
    <xf numFmtId="164" fontId="8" fillId="4" borderId="11" applyAlignment="1" pivotButton="0" quotePrefix="0" xfId="0">
      <alignment horizontal="center" vertical="center" wrapText="1"/>
    </xf>
    <xf numFmtId="0" fontId="2" fillId="0" borderId="12" pivotButton="0" quotePrefix="0" xfId="0"/>
    <xf numFmtId="0" fontId="2" fillId="0" borderId="13" pivotButton="0" quotePrefix="0" xfId="0"/>
    <xf numFmtId="165" fontId="8" fillId="4" borderId="7" applyAlignment="1" pivotButton="0" quotePrefix="0" xfId="0">
      <alignment horizontal="center" vertical="center" wrapText="1"/>
    </xf>
    <xf numFmtId="0" fontId="8" fillId="4" borderId="11" applyAlignment="1" pivotButton="0" quotePrefix="0" xfId="0">
      <alignment vertical="center" wrapText="1"/>
    </xf>
    <xf numFmtId="10" fontId="8" fillId="4" borderId="7" applyAlignment="1" pivotButton="0" quotePrefix="0" xfId="0">
      <alignment vertical="center" wrapText="1"/>
    </xf>
    <xf numFmtId="0" fontId="8" fillId="4" borderId="11" applyAlignment="1" pivotButton="0" quotePrefix="0" xfId="0">
      <alignment horizontal="center" vertical="center" wrapText="1"/>
    </xf>
    <xf numFmtId="0" fontId="6" fillId="2" borderId="14" applyAlignment="1" pivotButton="0" quotePrefix="0" xfId="0">
      <alignment horizontal="left" vertical="center" wrapText="1"/>
    </xf>
    <xf numFmtId="0" fontId="9" fillId="3" borderId="8" applyAlignment="1" pivotButton="0" quotePrefix="0" xfId="0">
      <alignment horizontal="left" vertical="center" wrapText="1"/>
    </xf>
    <xf numFmtId="0" fontId="10" fillId="5" borderId="15" applyAlignment="1" pivotButton="0" quotePrefix="0" xfId="0">
      <alignment vertical="center" wrapText="1"/>
    </xf>
    <xf numFmtId="0" fontId="10" fillId="5" borderId="15" applyAlignment="1" pivotButton="0" quotePrefix="0" xfId="0">
      <alignment horizontal="center" vertical="center" wrapText="1"/>
    </xf>
    <xf numFmtId="0" fontId="9" fillId="3" borderId="16" applyAlignment="1" pivotButton="0" quotePrefix="0" xfId="0">
      <alignment horizontal="left" vertical="center" wrapText="1"/>
    </xf>
    <xf numFmtId="0" fontId="2" fillId="0" borderId="17" pivotButton="0" quotePrefix="0" xfId="0"/>
    <xf numFmtId="0" fontId="11" fillId="6" borderId="7" applyAlignment="1" pivotButton="0" quotePrefix="0" xfId="0">
      <alignment vertical="center" wrapText="1"/>
    </xf>
    <xf numFmtId="9" fontId="12" fillId="6" borderId="7" applyAlignment="1" pivotButton="0" quotePrefix="0" xfId="0">
      <alignment horizontal="center" vertical="center" wrapText="1"/>
    </xf>
    <xf numFmtId="0" fontId="11" fillId="7" borderId="7" applyAlignment="1" pivotButton="0" quotePrefix="0" xfId="0">
      <alignment vertical="center" wrapText="1"/>
    </xf>
    <xf numFmtId="9" fontId="12" fillId="7" borderId="7" applyAlignment="1" pivotButton="0" quotePrefix="0" xfId="0">
      <alignment horizontal="center" vertical="center" wrapText="1"/>
    </xf>
    <xf numFmtId="0" fontId="12" fillId="7" borderId="7" applyAlignment="1" pivotButton="0" quotePrefix="0" xfId="0">
      <alignment horizontal="center" vertical="center" wrapText="1"/>
    </xf>
    <xf numFmtId="0" fontId="9" fillId="3" borderId="11" applyAlignment="1" pivotButton="0" quotePrefix="0" xfId="0">
      <alignment horizontal="left" vertical="center" wrapText="1"/>
    </xf>
    <xf numFmtId="0" fontId="12" fillId="6" borderId="7" applyAlignment="1" pivotButton="0" quotePrefix="0" xfId="0">
      <alignment horizontal="center" vertical="center" wrapText="1"/>
    </xf>
    <xf numFmtId="0" fontId="13" fillId="3" borderId="11" applyAlignment="1" pivotButton="0" quotePrefix="0" xfId="0">
      <alignment horizontal="left" vertical="center" wrapText="1"/>
    </xf>
    <xf numFmtId="0" fontId="10" fillId="5" borderId="18" applyAlignment="1" pivotButton="0" quotePrefix="0" xfId="0">
      <alignment vertical="center" wrapText="1"/>
    </xf>
    <xf numFmtId="0" fontId="10" fillId="5" borderId="19" applyAlignment="1" pivotButton="0" quotePrefix="0" xfId="0">
      <alignment vertical="center" wrapText="1"/>
    </xf>
    <xf numFmtId="0" fontId="10" fillId="5" borderId="20" applyAlignment="1" pivotButton="0" quotePrefix="0" xfId="0">
      <alignment vertical="center" wrapText="1"/>
    </xf>
    <xf numFmtId="0" fontId="2" fillId="0" borderId="21" pivotButton="0" quotePrefix="0" xfId="0"/>
    <xf numFmtId="0" fontId="2" fillId="0" borderId="19" pivotButton="0" quotePrefix="0" xfId="0"/>
    <xf numFmtId="0" fontId="12" fillId="4" borderId="7" applyAlignment="1" pivotButton="0" quotePrefix="0" xfId="0">
      <alignment vertical="center" wrapText="1"/>
    </xf>
    <xf numFmtId="0" fontId="14" fillId="4" borderId="16" applyAlignment="1" pivotButton="0" quotePrefix="0" xfId="0">
      <alignment horizontal="left" vertical="center" wrapText="1"/>
    </xf>
    <xf numFmtId="0" fontId="2" fillId="0" borderId="22" pivotButton="0" quotePrefix="0" xfId="0"/>
    <xf numFmtId="17" fontId="15" fillId="4" borderId="7" applyAlignment="1" pivotButton="0" quotePrefix="0" xfId="0">
      <alignment horizontal="center" vertical="center" wrapText="1"/>
    </xf>
    <xf numFmtId="0" fontId="14" fillId="6" borderId="7" applyAlignment="1" pivotButton="0" quotePrefix="0" xfId="0">
      <alignment vertical="center" wrapText="1"/>
    </xf>
    <xf numFmtId="0" fontId="14" fillId="6" borderId="11" applyAlignment="1" pivotButton="0" quotePrefix="0" xfId="0">
      <alignment horizontal="left" vertical="center" wrapText="1"/>
    </xf>
    <xf numFmtId="0" fontId="16" fillId="6" borderId="7" applyAlignment="1" pivotButton="0" quotePrefix="0" xfId="0">
      <alignment vertical="center" wrapText="1"/>
    </xf>
    <xf numFmtId="0" fontId="15" fillId="4" borderId="7" applyAlignment="1" pivotButton="0" quotePrefix="0" xfId="0">
      <alignment vertical="center" wrapText="1"/>
    </xf>
    <xf numFmtId="0" fontId="3" fillId="0" borderId="23" applyAlignment="1" pivotButton="0" quotePrefix="0" xfId="0">
      <alignment vertical="center"/>
    </xf>
    <xf numFmtId="0" fontId="10" fillId="5" borderId="24" applyAlignment="1" pivotButton="0" quotePrefix="0" xfId="0">
      <alignment vertical="center" wrapText="1"/>
    </xf>
    <xf numFmtId="0" fontId="10" fillId="5" borderId="25" applyAlignment="1" pivotButton="0" quotePrefix="0" xfId="0">
      <alignment horizontal="left" vertical="center" wrapText="1"/>
    </xf>
    <xf numFmtId="0" fontId="2" fillId="0" borderId="25" pivotButton="0" quotePrefix="0" xfId="0"/>
    <xf numFmtId="0" fontId="2" fillId="0" borderId="26" pivotButton="0" quotePrefix="0" xfId="0"/>
    <xf numFmtId="0" fontId="7" fillId="3" borderId="8" applyAlignment="1" pivotButton="0" quotePrefix="0" xfId="0">
      <alignment vertical="center" wrapText="1"/>
    </xf>
    <xf numFmtId="0" fontId="11" fillId="6" borderId="1" applyAlignment="1" pivotButton="0" quotePrefix="0" xfId="0">
      <alignment horizontal="left" vertical="center" wrapText="1"/>
    </xf>
    <xf numFmtId="0" fontId="11" fillId="7" borderId="1" applyAlignment="1" pivotButton="0" quotePrefix="0" xfId="0">
      <alignment horizontal="left" vertical="center" wrapText="1"/>
    </xf>
    <xf numFmtId="0" fontId="6" fillId="2" borderId="27" applyAlignment="1" pivotButton="0" quotePrefix="0" xfId="0">
      <alignment vertical="center" wrapText="1"/>
    </xf>
    <xf numFmtId="0" fontId="2" fillId="0" borderId="28" pivotButton="0" quotePrefix="0" xfId="0"/>
    <xf numFmtId="0" fontId="10" fillId="5" borderId="29" applyAlignment="1" pivotButton="0" quotePrefix="0" xfId="0">
      <alignment vertical="center" wrapText="1"/>
    </xf>
    <xf numFmtId="0" fontId="10" fillId="5" borderId="30" applyAlignment="1" pivotButton="0" quotePrefix="0" xfId="0">
      <alignment vertical="center" wrapText="1"/>
    </xf>
    <xf numFmtId="0" fontId="10" fillId="5" borderId="31" applyAlignment="1" pivotButton="0" quotePrefix="0" xfId="0">
      <alignment vertical="center" wrapText="1"/>
    </xf>
    <xf numFmtId="0" fontId="12" fillId="6" borderId="18" applyAlignment="1" pivotButton="0" quotePrefix="0" xfId="0">
      <alignment vertical="center" wrapText="1"/>
    </xf>
    <xf numFmtId="0" fontId="12" fillId="7" borderId="18" applyAlignment="1" pivotButton="0" quotePrefix="0" xfId="0">
      <alignment vertical="center" wrapText="1"/>
    </xf>
    <xf numFmtId="0" fontId="11" fillId="7" borderId="1" applyAlignment="1" pivotButton="0" quotePrefix="0" xfId="0">
      <alignment horizontal="center" vertical="center" wrapText="1"/>
    </xf>
    <xf numFmtId="0" fontId="17" fillId="0" borderId="0" applyAlignment="1" pivotButton="0" quotePrefix="0" xfId="0">
      <alignment vertical="center" wrapText="1"/>
    </xf>
    <xf numFmtId="0" fontId="12" fillId="0" borderId="0" applyAlignment="1" pivotButton="0" quotePrefix="0" xfId="0">
      <alignment vertical="center" wrapText="1"/>
    </xf>
    <xf numFmtId="0" fontId="11" fillId="0" borderId="0" applyAlignment="1" pivotButton="0" quotePrefix="0" xfId="0">
      <alignment vertical="center" wrapText="1"/>
    </xf>
    <xf numFmtId="0" fontId="3" fillId="8" borderId="0" applyAlignment="1" pivotButton="0" quotePrefix="0" xfId="0">
      <alignment vertical="center"/>
    </xf>
    <xf numFmtId="0" fontId="3" fillId="5" borderId="0" pivotButton="0" quotePrefix="0" xfId="0"/>
    <xf numFmtId="0" fontId="3" fillId="0" borderId="0" pivotButton="0" quotePrefix="0" xfId="0"/>
    <xf numFmtId="0" fontId="6" fillId="5" borderId="1" applyAlignment="1" pivotButton="0" quotePrefix="0" xfId="0">
      <alignment horizontal="left" vertical="center" wrapText="1"/>
    </xf>
    <xf numFmtId="0" fontId="18" fillId="6" borderId="1" applyAlignment="1" pivotButton="0" quotePrefix="0" xfId="0">
      <alignment vertical="center" wrapText="1"/>
    </xf>
    <xf numFmtId="0" fontId="19" fillId="7" borderId="11" applyAlignment="1" pivotButton="0" quotePrefix="0" xfId="0">
      <alignment horizontal="left" vertical="center" wrapText="1"/>
    </xf>
    <xf numFmtId="0" fontId="20" fillId="0" borderId="0" pivotButton="0" quotePrefix="0" xfId="0"/>
    <xf numFmtId="0" fontId="21" fillId="0" borderId="0" pivotButton="0" quotePrefix="0" xfId="0"/>
    <xf numFmtId="0" fontId="6" fillId="5" borderId="32" applyAlignment="1" pivotButton="0" quotePrefix="0" xfId="0">
      <alignment horizontal="left" vertical="center" wrapText="1"/>
    </xf>
    <xf numFmtId="0" fontId="2" fillId="0" borderId="33" pivotButton="0" quotePrefix="0" xfId="0"/>
    <xf numFmtId="0" fontId="2" fillId="0" borderId="34" pivotButton="0" quotePrefix="0" xfId="0"/>
    <xf numFmtId="0" fontId="22" fillId="0" borderId="0" pivotButton="0" quotePrefix="0" xfId="0"/>
    <xf numFmtId="0" fontId="7" fillId="3" borderId="7" applyAlignment="1" pivotButton="0" quotePrefix="0" xfId="0">
      <alignment horizontal="center" vertical="center" wrapText="1"/>
    </xf>
    <xf numFmtId="0" fontId="12" fillId="6" borderId="7" applyAlignment="1" pivotButton="0" quotePrefix="0" xfId="0">
      <alignment horizontal="left" vertical="center" wrapText="1"/>
    </xf>
    <xf numFmtId="0" fontId="12" fillId="7" borderId="7" applyAlignment="1" pivotButton="0" quotePrefix="0" xfId="0">
      <alignment horizontal="left" vertical="center" wrapText="1"/>
    </xf>
    <xf numFmtId="0" fontId="11" fillId="6" borderId="7" applyAlignment="1" pivotButton="0" quotePrefix="0" xfId="0">
      <alignment horizontal="left" vertical="center" wrapText="1"/>
    </xf>
    <xf numFmtId="0" fontId="11" fillId="7" borderId="7" applyAlignment="1" pivotButton="0" quotePrefix="0" xfId="0">
      <alignment horizontal="left" vertical="center" wrapText="1"/>
    </xf>
    <xf numFmtId="0" fontId="23" fillId="9" borderId="0" applyAlignment="1" pivotButton="0" quotePrefix="0" xfId="0">
      <alignment horizontal="center" vertical="center"/>
    </xf>
    <xf numFmtId="0" fontId="24" fillId="0" borderId="0" applyAlignment="1" pivotButton="0" quotePrefix="0" xfId="0">
      <alignment horizontal="center" vertical="center"/>
    </xf>
    <xf numFmtId="0" fontId="25" fillId="0" borderId="0" applyAlignment="1" pivotButton="0" quotePrefix="0" xfId="0">
      <alignment horizontal="center" vertical="center"/>
    </xf>
    <xf numFmtId="0" fontId="25" fillId="0" borderId="0" pivotButton="0" quotePrefix="0" xfId="0"/>
    <xf numFmtId="166" fontId="24" fillId="0" borderId="0" pivotButton="0" quotePrefix="0" xfId="0"/>
    <xf numFmtId="166" fontId="24" fillId="0" borderId="0" applyAlignment="1" pivotButton="0" quotePrefix="0" xfId="0">
      <alignment horizontal="center" vertical="center"/>
    </xf>
    <xf numFmtId="9" fontId="24" fillId="0" borderId="0" applyAlignment="1" pivotButton="0" quotePrefix="0" xfId="0">
      <alignment horizontal="center" vertical="center"/>
    </xf>
    <xf numFmtId="10" fontId="24" fillId="0" borderId="0" applyAlignment="1" pivotButton="0" quotePrefix="0" xfId="0">
      <alignment horizontal="center" vertical="center"/>
    </xf>
    <xf numFmtId="0" fontId="25" fillId="10" borderId="0" pivotButton="0" quotePrefix="0" xfId="0"/>
    <xf numFmtId="166" fontId="24" fillId="10" borderId="0" pivotButton="0" quotePrefix="0" xfId="0"/>
    <xf numFmtId="167" fontId="24" fillId="0" borderId="0" applyAlignment="1" pivotButton="0" quotePrefix="0" xfId="0">
      <alignment horizontal="center" vertical="center"/>
    </xf>
    <xf numFmtId="17" fontId="24" fillId="0" borderId="0" applyAlignment="1" pivotButton="0" quotePrefix="0" xfId="0">
      <alignment horizontal="center" vertical="center"/>
    </xf>
    <xf numFmtId="164" fontId="24" fillId="0" borderId="0" applyAlignment="1" pivotButton="0" quotePrefix="0" xfId="0">
      <alignment horizontal="center" vertical="center"/>
    </xf>
    <xf numFmtId="164" fontId="25" fillId="11" borderId="0" applyAlignment="1" pivotButton="0" quotePrefix="0" xfId="0">
      <alignment horizontal="center" vertical="center"/>
    </xf>
    <xf numFmtId="164" fontId="25" fillId="12" borderId="0" applyAlignment="1" pivotButton="0" quotePrefix="0" xfId="0">
      <alignment horizontal="center" vertical="center"/>
    </xf>
    <xf numFmtId="164" fontId="25" fillId="13" borderId="0" applyAlignment="1" pivotButton="0" quotePrefix="0" xfId="0">
      <alignment horizontal="center" vertical="center"/>
    </xf>
    <xf numFmtId="164" fontId="25" fillId="0" borderId="0" applyAlignment="1" pivotButton="0" quotePrefix="0" xfId="0">
      <alignment horizontal="center" vertical="center"/>
    </xf>
    <xf numFmtId="9" fontId="24" fillId="11" borderId="0" applyAlignment="1" pivotButton="0" quotePrefix="0" xfId="0">
      <alignment horizontal="center" vertical="center"/>
    </xf>
    <xf numFmtId="9" fontId="24" fillId="12" borderId="0" applyAlignment="1" pivotButton="0" quotePrefix="0" xfId="0">
      <alignment horizontal="center" vertical="center"/>
    </xf>
    <xf numFmtId="10" fontId="24" fillId="13" borderId="0" applyAlignment="1" pivotButton="0" quotePrefix="0" xfId="0">
      <alignment horizontal="center" vertical="center"/>
    </xf>
    <xf numFmtId="9" fontId="24" fillId="13" borderId="0" applyAlignment="1" pivotButton="0" quotePrefix="0" xfId="0">
      <alignment horizontal="center" vertical="center"/>
    </xf>
    <xf numFmtId="10" fontId="24" fillId="12" borderId="0" applyAlignment="1" pivotButton="0" quotePrefix="0" xfId="0">
      <alignment horizontal="center" vertical="center"/>
    </xf>
    <xf numFmtId="168" fontId="24" fillId="0" borderId="0" applyAlignment="1" pivotButton="0" quotePrefix="0" xfId="0">
      <alignment horizontal="center" vertical="center"/>
    </xf>
    <xf numFmtId="165" fontId="24" fillId="0" borderId="0" applyAlignment="1" pivotButton="0" quotePrefix="0" xfId="0">
      <alignment horizontal="center" vertical="center"/>
    </xf>
    <xf numFmtId="0" fontId="26" fillId="0" borderId="0" pivotButton="0" quotePrefix="0" xfId="0"/>
    <xf numFmtId="9" fontId="24" fillId="0" borderId="0" pivotButton="0" quotePrefix="0" xfId="0"/>
    <xf numFmtId="169" fontId="14" fillId="14" borderId="35" applyAlignment="1" pivotButton="0" quotePrefix="0" xfId="0">
      <alignment horizontal="right" vertical="center" wrapText="1"/>
    </xf>
    <xf numFmtId="169" fontId="14" fillId="0" borderId="35" applyAlignment="1" pivotButton="0" quotePrefix="0" xfId="0">
      <alignment horizontal="right" vertical="center" wrapText="1"/>
    </xf>
    <xf numFmtId="169" fontId="14" fillId="0" borderId="0" applyAlignment="1" pivotButton="0" quotePrefix="0" xfId="0">
      <alignment horizontal="right" vertical="center" wrapText="1"/>
    </xf>
    <xf numFmtId="10" fontId="24" fillId="0" borderId="0" pivotButton="0" quotePrefix="0" xfId="0"/>
    <xf numFmtId="170" fontId="24" fillId="0" borderId="0" pivotButton="0" quotePrefix="0" xfId="0"/>
    <xf numFmtId="171" fontId="24" fillId="0" borderId="0" pivotButton="0" quotePrefix="0" xfId="0"/>
    <xf numFmtId="172" fontId="24" fillId="0" borderId="0" pivotButton="0" quotePrefix="0" xfId="0"/>
    <xf numFmtId="168" fontId="24" fillId="0" borderId="0" pivotButton="0" quotePrefix="0" xfId="0"/>
    <xf numFmtId="173" fontId="24" fillId="0" borderId="0" pivotButton="0" quotePrefix="0" xfId="0"/>
    <xf numFmtId="2" fontId="24" fillId="0" borderId="0" pivotButton="0" quotePrefix="0" xfId="0"/>
    <xf numFmtId="2" fontId="27" fillId="0" borderId="0" pivotButton="0" quotePrefix="0" xfId="0"/>
    <xf numFmtId="0" fontId="28" fillId="15" borderId="0" applyAlignment="1" pivotButton="0" quotePrefix="0" xfId="0">
      <alignment horizontal="center" vertical="center"/>
    </xf>
    <xf numFmtId="17" fontId="28" fillId="15" borderId="0" applyAlignment="1" pivotButton="0" quotePrefix="0" xfId="0">
      <alignment horizontal="center" vertical="center"/>
    </xf>
    <xf numFmtId="17" fontId="4" fillId="15" borderId="0" applyAlignment="1" pivotButton="0" quotePrefix="0" xfId="0">
      <alignment horizontal="center" vertical="center"/>
    </xf>
    <xf numFmtId="168" fontId="29" fillId="0" borderId="0" pivotButton="0" quotePrefix="0" xfId="0"/>
    <xf numFmtId="166" fontId="29" fillId="0" borderId="0" pivotButton="0" quotePrefix="0" xfId="0"/>
    <xf numFmtId="166" fontId="30" fillId="0" borderId="0" pivotButton="0" quotePrefix="0" xfId="0"/>
    <xf numFmtId="166" fontId="31" fillId="0" borderId="0" pivotButton="0" quotePrefix="0" xfId="0"/>
    <xf numFmtId="168" fontId="32" fillId="0" borderId="0" pivotButton="0" quotePrefix="0" xfId="0"/>
    <xf numFmtId="10" fontId="32" fillId="0" borderId="0" pivotButton="0" quotePrefix="0" xfId="0"/>
    <xf numFmtId="168" fontId="33" fillId="0" borderId="0" pivotButton="0" quotePrefix="0" xfId="0"/>
    <xf numFmtId="166" fontId="33" fillId="0" borderId="0" pivotButton="0" quotePrefix="0" xfId="0"/>
    <xf numFmtId="166" fontId="29" fillId="10" borderId="0" pivotButton="0" quotePrefix="0" xfId="0"/>
    <xf numFmtId="1" fontId="34" fillId="0" borderId="0" pivotButton="0" quotePrefix="0" xfId="0"/>
    <xf numFmtId="2" fontId="34" fillId="0" borderId="0" pivotButton="0" quotePrefix="0" xfId="0"/>
    <xf numFmtId="0" fontId="29" fillId="0" borderId="0" pivotButton="0" quotePrefix="0" xfId="0"/>
    <xf numFmtId="0" fontId="35" fillId="0" borderId="0" pivotButton="0" quotePrefix="0" xfId="0"/>
    <xf numFmtId="0" fontId="33" fillId="0" borderId="0" pivotButton="0" quotePrefix="0" xfId="0"/>
    <xf numFmtId="166" fontId="34" fillId="0" borderId="0" pivotButton="0" quotePrefix="0" xfId="0"/>
    <xf numFmtId="0" fontId="24" fillId="10" borderId="0" pivotButton="0" quotePrefix="0" xfId="0"/>
    <xf numFmtId="174" fontId="33" fillId="0" borderId="0" pivotButton="0" quotePrefix="0" xfId="0"/>
    <xf numFmtId="175" fontId="36" fillId="0" borderId="0" pivotButton="0" quotePrefix="0" xfId="0"/>
    <xf numFmtId="172" fontId="36" fillId="0" borderId="0" pivotButton="0" quotePrefix="0" xfId="0"/>
    <xf numFmtId="172" fontId="36" fillId="10" borderId="0" pivotButton="0" quotePrefix="0" xfId="0"/>
    <xf numFmtId="9" fontId="37" fillId="0" borderId="0" pivotButton="0" quotePrefix="0" xfId="0"/>
    <xf numFmtId="0" fontId="37" fillId="0" borderId="0" pivotButton="0" quotePrefix="0" xfId="0"/>
    <xf numFmtId="168" fontId="27" fillId="0" borderId="0" pivotButton="0" quotePrefix="0" xfId="0"/>
    <xf numFmtId="6" fontId="24" fillId="0" borderId="0" pivotButton="0" quotePrefix="0" xfId="0"/>
    <xf numFmtId="10" fontId="25" fillId="0" borderId="0" pivotButton="0" quotePrefix="0" xfId="0"/>
    <xf numFmtId="8" fontId="24" fillId="0" borderId="0" pivotButton="0" quotePrefix="0" xfId="0"/>
    <xf numFmtId="166" fontId="25" fillId="0" borderId="0" pivotButton="0" quotePrefix="0" xfId="0"/>
    <xf numFmtId="168" fontId="25" fillId="0" borderId="0" pivotButton="0" quotePrefix="0" xfId="0"/>
    <xf numFmtId="17" fontId="25" fillId="0" borderId="0" pivotButton="0" quotePrefix="0" xfId="0"/>
    <xf numFmtId="17" fontId="25" fillId="16" borderId="0" pivotButton="0" quotePrefix="0" xfId="0"/>
    <xf numFmtId="17" fontId="25" fillId="12" borderId="0" pivotButton="0" quotePrefix="0" xfId="0"/>
    <xf numFmtId="166" fontId="25" fillId="16" borderId="0" pivotButton="0" quotePrefix="0" xfId="0"/>
    <xf numFmtId="166" fontId="25" fillId="12" borderId="0" pivotButton="0" quotePrefix="0" xfId="0"/>
    <xf numFmtId="0" fontId="24" fillId="16" borderId="0" pivotButton="0" quotePrefix="0" xfId="0"/>
    <xf numFmtId="0" fontId="24" fillId="12" borderId="0" pivotButton="0" quotePrefix="0" xfId="0"/>
    <xf numFmtId="0" fontId="24" fillId="0" borderId="0" pivotButton="0" quotePrefix="0" xfId="0"/>
    <xf numFmtId="166" fontId="24" fillId="16" borderId="0" pivotButton="0" quotePrefix="0" xfId="0"/>
    <xf numFmtId="166" fontId="24" fillId="12" borderId="0" pivotButton="0" quotePrefix="0" xfId="0"/>
    <xf numFmtId="172" fontId="25" fillId="16" borderId="0" pivotButton="0" quotePrefix="0" xfId="0"/>
    <xf numFmtId="1" fontId="25" fillId="0" borderId="0" pivotButton="0" quotePrefix="0" xfId="0"/>
    <xf numFmtId="172" fontId="35" fillId="0" borderId="0" pivotButton="0" quotePrefix="0" xfId="0"/>
    <xf numFmtId="172" fontId="35" fillId="16" borderId="0" pivotButton="0" quotePrefix="0" xfId="0"/>
    <xf numFmtId="172" fontId="35" fillId="12" borderId="0" pivotButton="0" quotePrefix="0" xfId="0"/>
    <xf numFmtId="0" fontId="23" fillId="17" borderId="0" pivotButton="0" quotePrefix="0" xfId="0"/>
    <xf numFmtId="0" fontId="24" fillId="17" borderId="0" pivotButton="0" quotePrefix="0" xfId="0"/>
    <xf numFmtId="10" fontId="24" fillId="16" borderId="0" pivotButton="0" quotePrefix="0" xfId="0"/>
    <xf numFmtId="10" fontId="24" fillId="12" borderId="0" pivotButton="0" quotePrefix="0" xfId="0"/>
    <xf numFmtId="172" fontId="36" fillId="12" borderId="0" pivotButton="0" quotePrefix="0" xfId="0"/>
    <xf numFmtId="176" fontId="36" fillId="0" borderId="0" pivotButton="0" quotePrefix="0" xfId="0"/>
    <xf numFmtId="175" fontId="36" fillId="12" borderId="0" pivotButton="0" quotePrefix="0" xfId="0"/>
    <xf numFmtId="0" fontId="38" fillId="0" borderId="0" pivotButton="0" quotePrefix="0" xfId="0"/>
    <xf numFmtId="0" fontId="33" fillId="18" borderId="36" pivotButton="0" quotePrefix="0" xfId="0"/>
    <xf numFmtId="0" fontId="33" fillId="18" borderId="35" pivotButton="0" quotePrefix="0" xfId="0"/>
    <xf numFmtId="0" fontId="24" fillId="0" borderId="37" applyAlignment="1" pivotButton="0" quotePrefix="0" xfId="0">
      <alignment horizontal="center" vertical="top" wrapText="1"/>
    </xf>
    <xf numFmtId="0" fontId="2" fillId="0" borderId="38" pivotButton="0" quotePrefix="0" xfId="0"/>
    <xf numFmtId="0" fontId="2" fillId="0" borderId="39" pivotButton="0" quotePrefix="0" xfId="0"/>
    <xf numFmtId="0" fontId="24" fillId="19" borderId="40" applyAlignment="1" pivotButton="0" quotePrefix="0" xfId="0">
      <alignment vertical="top" wrapText="1"/>
    </xf>
    <xf numFmtId="0" fontId="24" fillId="19" borderId="40" applyAlignment="1" pivotButton="0" quotePrefix="0" xfId="0">
      <alignment vertical="top"/>
    </xf>
    <xf numFmtId="0" fontId="24" fillId="19" borderId="41" applyAlignment="1" pivotButton="0" quotePrefix="0" xfId="0">
      <alignment vertical="top"/>
    </xf>
    <xf numFmtId="0" fontId="24" fillId="0" borderId="40" applyAlignment="1" pivotButton="0" quotePrefix="0" xfId="0">
      <alignment vertical="top" wrapText="1"/>
    </xf>
    <xf numFmtId="0" fontId="24" fillId="0" borderId="40" applyAlignment="1" pivotButton="0" quotePrefix="0" xfId="0">
      <alignment vertical="top"/>
    </xf>
    <xf numFmtId="0" fontId="24" fillId="0" borderId="41" applyAlignment="1" pivotButton="0" quotePrefix="0" xfId="0">
      <alignment vertical="top"/>
    </xf>
    <xf numFmtId="0" fontId="24" fillId="20" borderId="40" applyAlignment="1" pivotButton="0" quotePrefix="0" xfId="0">
      <alignment wrapText="1"/>
    </xf>
    <xf numFmtId="0" fontId="24" fillId="20" borderId="40" applyAlignment="1" pivotButton="0" quotePrefix="0" xfId="0">
      <alignment vertical="top"/>
    </xf>
    <xf numFmtId="0" fontId="24" fillId="20" borderId="40" applyAlignment="1" pivotButton="0" quotePrefix="0" xfId="0">
      <alignment vertical="top" wrapText="1"/>
    </xf>
    <xf numFmtId="0" fontId="24" fillId="20" borderId="41" pivotButton="0" quotePrefix="0" xfId="0"/>
    <xf numFmtId="0" fontId="24" fillId="0" borderId="42" applyAlignment="1" pivotButton="0" quotePrefix="0" xfId="0">
      <alignment vertical="top" wrapText="1"/>
    </xf>
    <xf numFmtId="0" fontId="24" fillId="0" borderId="42" applyAlignment="1" pivotButton="0" quotePrefix="0" xfId="0">
      <alignment vertical="top"/>
    </xf>
    <xf numFmtId="0" fontId="25" fillId="0" borderId="42" applyAlignment="1" pivotButton="0" quotePrefix="0" xfId="0">
      <alignment vertical="top"/>
    </xf>
    <xf numFmtId="0" fontId="24" fillId="0" borderId="43" applyAlignment="1" pivotButton="0" quotePrefix="0" xfId="0">
      <alignment vertical="top"/>
    </xf>
    <xf numFmtId="0" fontId="24" fillId="0" borderId="0" applyAlignment="1" pivotButton="0" quotePrefix="0" xfId="0">
      <alignment vertical="top"/>
    </xf>
    <xf numFmtId="0" fontId="24" fillId="0" borderId="40" applyAlignment="1" pivotButton="0" quotePrefix="0" xfId="0">
      <alignment wrapText="1"/>
    </xf>
    <xf numFmtId="0" fontId="24" fillId="0" borderId="41" pivotButton="0" quotePrefix="0" xfId="0"/>
    <xf numFmtId="0" fontId="24" fillId="19" borderId="42" applyAlignment="1" pivotButton="0" quotePrefix="0" xfId="0">
      <alignment vertical="top" wrapText="1"/>
    </xf>
    <xf numFmtId="0" fontId="24" fillId="19" borderId="42" applyAlignment="1" pivotButton="0" quotePrefix="0" xfId="0">
      <alignment vertical="top"/>
    </xf>
    <xf numFmtId="0" fontId="25" fillId="19" borderId="42" applyAlignment="1" pivotButton="0" quotePrefix="0" xfId="0">
      <alignment vertical="top"/>
    </xf>
    <xf numFmtId="0" fontId="24" fillId="19" borderId="43" applyAlignment="1" pivotButton="0" quotePrefix="0" xfId="0">
      <alignment vertical="top"/>
    </xf>
    <xf numFmtId="0" fontId="24" fillId="0" borderId="40" pivotButton="0" quotePrefix="0" xfId="0"/>
    <xf numFmtId="0" fontId="24" fillId="0" borderId="41" applyAlignment="1" pivotButton="0" quotePrefix="0" xfId="0">
      <alignment vertical="top" wrapText="1"/>
    </xf>
    <xf numFmtId="0" fontId="24" fillId="19" borderId="41" applyAlignment="1" pivotButton="0" quotePrefix="0" xfId="0">
      <alignment vertical="top" wrapText="1"/>
    </xf>
    <xf numFmtId="0" fontId="24" fillId="0" borderId="0" applyAlignment="1" pivotButton="0" quotePrefix="0" xfId="0">
      <alignment vertical="top" wrapText="1"/>
    </xf>
    <xf numFmtId="0" fontId="24" fillId="0" borderId="0" applyAlignment="1" pivotButton="0" quotePrefix="0" xfId="0">
      <alignment wrapText="1"/>
    </xf>
    <xf numFmtId="0" fontId="39" fillId="21" borderId="0" applyAlignment="1" pivotButton="0" quotePrefix="0" xfId="0">
      <alignment horizontal="left" vertical="center"/>
    </xf>
    <xf numFmtId="0" fontId="40" fillId="22" borderId="0" applyAlignment="1" pivotButton="0" quotePrefix="0" xfId="0">
      <alignment horizontal="left" vertical="center" wrapText="1"/>
    </xf>
    <xf numFmtId="0" fontId="41" fillId="23" borderId="44" applyAlignment="1" pivotButton="0" quotePrefix="0" xfId="0">
      <alignment horizontal="center" vertical="center" wrapText="1"/>
    </xf>
    <xf numFmtId="0" fontId="42" fillId="24" borderId="45" applyAlignment="1" pivotButton="0" quotePrefix="0" xfId="0">
      <alignment horizontal="left" vertical="center" wrapText="1"/>
    </xf>
    <xf numFmtId="0" fontId="43" fillId="24" borderId="45" applyAlignment="1" pivotButton="0" quotePrefix="0" xfId="0">
      <alignment horizontal="left" vertical="center" wrapText="1"/>
    </xf>
    <xf numFmtId="0" fontId="44" fillId="24" borderId="45" applyAlignment="1" pivotButton="0" quotePrefix="0" xfId="0">
      <alignment horizontal="left" vertical="center" wrapText="1"/>
    </xf>
    <xf numFmtId="0" fontId="42" fillId="25" borderId="45" applyAlignment="1" pivotButton="0" quotePrefix="0" xfId="0">
      <alignment horizontal="left" vertical="center" wrapText="1"/>
    </xf>
    <xf numFmtId="0" fontId="43" fillId="25" borderId="45" applyAlignment="1" pivotButton="0" quotePrefix="0" xfId="0">
      <alignment horizontal="left" vertical="center" wrapText="1"/>
    </xf>
    <xf numFmtId="0" fontId="44" fillId="25" borderId="45" applyAlignment="1" pivotButton="0" quotePrefix="0" xfId="0">
      <alignment horizontal="left" vertical="center" wrapText="1"/>
    </xf>
    <xf numFmtId="0" fontId="45" fillId="26" borderId="0" pivotButton="0" quotePrefix="0" xfId="0"/>
    <xf numFmtId="0" fontId="46" fillId="27" borderId="45" applyAlignment="1" pivotButton="0" quotePrefix="0" xfId="0">
      <alignment horizontal="left" vertical="center" wrapText="1"/>
    </xf>
    <xf numFmtId="0" fontId="47" fillId="24" borderId="45" applyAlignment="1" pivotButton="0" quotePrefix="0" xfId="0">
      <alignment horizontal="left" vertical="center" wrapText="1"/>
    </xf>
    <xf numFmtId="0" fontId="47" fillId="25" borderId="45" applyAlignment="1" pivotButton="0" quotePrefix="0" xfId="0">
      <alignment horizontal="left" vertical="center" wrapText="1"/>
    </xf>
    <xf numFmtId="0" fontId="5" fillId="3" borderId="18" applyAlignment="1" pivotButton="0" quotePrefix="0" xfId="0">
      <alignment vertical="center" wrapText="1"/>
    </xf>
    <xf numFmtId="0" fontId="0" fillId="0" borderId="2" pivotButton="0" quotePrefix="0" xfId="0"/>
    <xf numFmtId="0" fontId="0" fillId="0" borderId="3" pivotButton="0" quotePrefix="0" xfId="0"/>
    <xf numFmtId="0" fontId="0" fillId="0" borderId="5" pivotButton="0" quotePrefix="0" xfId="0"/>
    <xf numFmtId="0" fontId="8" fillId="4" borderId="6" applyAlignment="1" pivotButton="0" quotePrefix="0" xfId="0">
      <alignment horizontal="center" vertical="center" wrapText="1"/>
    </xf>
    <xf numFmtId="0" fontId="0" fillId="0" borderId="9" pivotButton="0" quotePrefix="0" xfId="0"/>
    <xf numFmtId="0" fontId="0" fillId="0" borderId="10" pivotButton="0" quotePrefix="0" xfId="0"/>
    <xf numFmtId="164" fontId="8" fillId="4" borderId="7" applyAlignment="1" pivotButton="0" quotePrefix="0" xfId="0">
      <alignment horizontal="center" vertical="center" wrapText="1"/>
    </xf>
    <xf numFmtId="0" fontId="0" fillId="0" borderId="12" pivotButton="0" quotePrefix="0" xfId="0"/>
    <xf numFmtId="0" fontId="0" fillId="0" borderId="13" pivotButton="0" quotePrefix="0" xfId="0"/>
    <xf numFmtId="0" fontId="8" fillId="4" borderId="7" applyAlignment="1" pivotButton="0" quotePrefix="0" xfId="0">
      <alignment horizontal="center" vertical="center" wrapText="1"/>
    </xf>
    <xf numFmtId="0" fontId="0" fillId="0" borderId="17" pivotButton="0" quotePrefix="0" xfId="0"/>
    <xf numFmtId="0" fontId="0" fillId="0" borderId="21" pivotButton="0" quotePrefix="0" xfId="0"/>
    <xf numFmtId="0" fontId="0" fillId="0" borderId="19" pivotButton="0" quotePrefix="0" xfId="0"/>
    <xf numFmtId="0" fontId="14" fillId="4" borderId="51" applyAlignment="1" pivotButton="0" quotePrefix="0" xfId="0">
      <alignment horizontal="left" vertical="center" wrapText="1"/>
    </xf>
    <xf numFmtId="0" fontId="0" fillId="0" borderId="22" pivotButton="0" quotePrefix="0" xfId="0"/>
    <xf numFmtId="0" fontId="14" fillId="6" borderId="7" applyAlignment="1" pivotButton="0" quotePrefix="0" xfId="0">
      <alignment horizontal="left" vertical="center" wrapText="1"/>
    </xf>
    <xf numFmtId="0" fontId="10" fillId="5" borderId="26" applyAlignment="1" pivotButton="0" quotePrefix="0" xfId="0">
      <alignment horizontal="left" vertical="center" wrapText="1"/>
    </xf>
    <xf numFmtId="0" fontId="0" fillId="0" borderId="25" pivotButton="0" quotePrefix="0" xfId="0"/>
    <xf numFmtId="0" fontId="0" fillId="0" borderId="26" pivotButton="0" quotePrefix="0" xfId="0"/>
    <xf numFmtId="0" fontId="11" fillId="6" borderId="18" applyAlignment="1" pivotButton="0" quotePrefix="0" xfId="0">
      <alignment horizontal="left" vertical="center" wrapText="1"/>
    </xf>
    <xf numFmtId="0" fontId="11" fillId="7" borderId="18" applyAlignment="1" pivotButton="0" quotePrefix="0" xfId="0">
      <alignment horizontal="left" vertical="center" wrapText="1"/>
    </xf>
    <xf numFmtId="0" fontId="0" fillId="0" borderId="28" pivotButton="0" quotePrefix="0" xfId="0"/>
    <xf numFmtId="0" fontId="11" fillId="7" borderId="18" applyAlignment="1" pivotButton="0" quotePrefix="0" xfId="0">
      <alignment horizontal="center" vertical="center" wrapText="1"/>
    </xf>
    <xf numFmtId="0" fontId="6" fillId="5" borderId="18" applyAlignment="1" pivotButton="0" quotePrefix="0" xfId="0">
      <alignment horizontal="left" vertical="center" wrapText="1"/>
    </xf>
    <xf numFmtId="0" fontId="18" fillId="6" borderId="18" applyAlignment="1" pivotButton="0" quotePrefix="0" xfId="0">
      <alignment vertical="center" wrapText="1"/>
    </xf>
    <xf numFmtId="0" fontId="19" fillId="7" borderId="7" applyAlignment="1" pivotButton="0" quotePrefix="0" xfId="0">
      <alignment horizontal="left" vertical="center" wrapText="1"/>
    </xf>
    <xf numFmtId="0" fontId="6" fillId="5" borderId="53" applyAlignment="1" pivotButton="0" quotePrefix="0" xfId="0">
      <alignment horizontal="left" vertical="center" wrapText="1"/>
    </xf>
    <xf numFmtId="0" fontId="0" fillId="0" borderId="33" pivotButton="0" quotePrefix="0" xfId="0"/>
    <xf numFmtId="0" fontId="0" fillId="0" borderId="34" pivotButton="0" quotePrefix="0" xfId="0"/>
    <xf numFmtId="0" fontId="48" fillId="28" borderId="0" applyAlignment="1" pivotButton="0" quotePrefix="0" xfId="0">
      <alignment horizontal="left"/>
    </xf>
    <xf numFmtId="0" fontId="50" fillId="29" borderId="57" applyAlignment="1" pivotButton="0" quotePrefix="0" xfId="0">
      <alignment horizontal="left"/>
    </xf>
    <xf numFmtId="177" fontId="50" fillId="29" borderId="57" applyAlignment="1" pivotButton="0" quotePrefix="0" xfId="0">
      <alignment horizontal="right"/>
    </xf>
    <xf numFmtId="0" fontId="50" fillId="0" borderId="57" applyAlignment="1" pivotButton="0" quotePrefix="0" xfId="0">
      <alignment horizontal="left"/>
    </xf>
    <xf numFmtId="177" fontId="50" fillId="0" borderId="57" applyAlignment="1" pivotButton="0" quotePrefix="0" xfId="0">
      <alignment horizontal="right"/>
    </xf>
    <xf numFmtId="0" fontId="49" fillId="0" borderId="57" applyAlignment="1" pivotButton="0" quotePrefix="0" xfId="0">
      <alignment horizontal="left"/>
    </xf>
    <xf numFmtId="177" fontId="49" fillId="0" borderId="57" applyAlignment="1" pivotButton="0" quotePrefix="0" xfId="0">
      <alignment horizontal="right"/>
    </xf>
    <xf numFmtId="0" fontId="48" fillId="30" borderId="0" applyAlignment="1" pivotButton="0" quotePrefix="0" xfId="0">
      <alignment horizontal="left"/>
    </xf>
    <xf numFmtId="0" fontId="49" fillId="29" borderId="56" applyAlignment="1" pivotButton="0" quotePrefix="0" xfId="0">
      <alignment horizontal="center"/>
    </xf>
    <xf numFmtId="17" fontId="49" fillId="29" borderId="56" applyAlignment="1" pivotButton="0" quotePrefix="0" xfId="0">
      <alignment horizontal="center"/>
    </xf>
    <xf numFmtId="168" fontId="48" fillId="30" borderId="0" applyAlignment="1" pivotButton="0" quotePrefix="0" xfId="0">
      <alignment horizontal="left"/>
    </xf>
    <xf numFmtId="6" fontId="24" fillId="0" borderId="0" pivotButton="0" quotePrefix="0" xfId="0"/>
    <xf numFmtId="8" fontId="24" fillId="0" borderId="0" pivotButton="0" quotePrefix="0" xfId="0"/>
    <xf numFmtId="176" fontId="36" fillId="0" borderId="0" pivotButton="0" quotePrefix="0" xfId="0"/>
    <xf numFmtId="0" fontId="24" fillId="0" borderId="55" applyAlignment="1" pivotButton="0" quotePrefix="0" xfId="0">
      <alignment horizontal="center" vertical="top" wrapText="1"/>
    </xf>
    <xf numFmtId="0" fontId="0" fillId="0" borderId="38" pivotButton="0" quotePrefix="0" xfId="0"/>
    <xf numFmtId="0" fontId="0" fillId="0" borderId="39" pivotButton="0" quotePrefix="0" xfId="0"/>
    <xf numFmtId="0" fontId="0" fillId="0" borderId="45" pivotButton="0" quotePrefix="0" xfId="0"/>
  </cellXfs>
  <cellStyles count="1">
    <cellStyle name="Normal" xfId="0" builtinId="0"/>
  </cellStyles>
  <dxfs count="16">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Author</author>
  </authors>
  <commentList>
    <comment ref="D14" authorId="0" shapeId="0">
      <text>
        <t>======
ID#AAAB3suHf00
Denise Cardenas    (2026-04-17 22:32:10)
Agregar aquí el fiduciario, podemos juntar el administrador maestro con núumero fideicomiso 
Hay que hacer esto con el template en general
@rbarron@syscap.com.mx
_Asignado a rbarron@syscap.com.mx_</t>
      </text>
    </comment>
  </commentList>
</comments>
</file>

<file path=xl/comments/comment2.xml><?xml version="1.0" encoding="utf-8"?>
<comments xmlns="http://schemas.openxmlformats.org/spreadsheetml/2006/main">
  <authors>
    <author>Author</author>
  </authors>
  <commentList>
    <comment ref="X37" authorId="0" shapeId="0">
      <text>
        <t>======
ID#AAABzzTN7Ak
tc={318FA32D-70AC-A04C-B935-7918470130A7}    (2026-02-06 23:24:03)
[Threaded comment]
Your version of Excel allows you to read this threaded comment; however, any edits to it will get removed if the file is opened in a newer version of Excel. Learn more: https://go.microsoft.com/fwlink/?linkid=870924
Comment:
    La categoría se excluye del Balance General, pero se asume que representa está cantidad</t>
      </text>
    </comment>
    <comment ref="L46" authorId="0" shapeId="0">
      <text>
        <t>======
ID#AAAByBk-uX0
cordelia molina cueva    (2025-12-23 18:26:10)
Si se demostró ese aumento en capital</t>
      </text>
    </comment>
    <comment ref="L61" authorId="0" shapeId="0">
      <text>
        <t>======
ID#AAAByBk-uXw
tc={3DC84DEC-0B70-CF4D-87F8-B140A5D6B457}    (2025-12-23 18:26:10)
[Threaded comment]
Your version of Excel allows you to read this threaded comment; however, any edits to it will get removed if the file is opened in a newer version of Excel. Learn more: https://go.microsoft.com/fwlink/?linkid=870924
Comment:
    hacerlo con cartera de dic</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1000"/>
  <sheetViews>
    <sheetView showGridLines="0" zoomScale="100" zoomScaleNormal="100" workbookViewId="0">
      <selection activeCell="C56" sqref="C56"/>
    </sheetView>
  </sheetViews>
  <sheetFormatPr baseColWidth="8" defaultColWidth="12.6640625" defaultRowHeight="15" outlineLevelRow="0" outlineLevelCol="0"/>
  <cols>
    <col width="2" customWidth="1" min="1" max="1"/>
    <col width="28" customWidth="1" min="2" max="2"/>
    <col width="62.1640625" customWidth="1" min="3" max="3"/>
    <col width="22.83203125" customWidth="1" min="4" max="4"/>
    <col width="16" customWidth="1" min="5" max="6"/>
    <col width="20" customWidth="1" min="7" max="7"/>
    <col width="2" customWidth="1" min="8" max="8"/>
    <col width="8.83203125" customWidth="1" min="9" max="26"/>
  </cols>
  <sheetData>
    <row r="1" ht="4.5" customHeight="1">
      <c r="A1" s="1" t="n"/>
      <c r="I1" s="3" t="n"/>
      <c r="J1" s="3" t="n"/>
      <c r="K1" s="3" t="n"/>
      <c r="L1" s="3" t="n"/>
      <c r="M1" s="3" t="n"/>
      <c r="N1" s="3" t="n"/>
      <c r="O1" s="3" t="n"/>
      <c r="P1" s="3" t="n"/>
      <c r="Q1" s="3" t="n"/>
      <c r="R1" s="3" t="n"/>
      <c r="S1" s="3" t="n"/>
      <c r="T1" s="3" t="n"/>
      <c r="U1" s="3" t="n"/>
      <c r="V1" s="3" t="n"/>
      <c r="W1" s="3" t="n"/>
      <c r="X1" s="3" t="n"/>
      <c r="Y1" s="3" t="n"/>
      <c r="Z1" s="3" t="n"/>
    </row>
    <row r="2" ht="24"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4.5" customHeight="1">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21.75" customHeight="1">
      <c r="A4" s="3" t="n"/>
      <c r="B4" s="4" t="inlineStr">
        <is>
          <t>FICHA CONTRACTUAL</t>
        </is>
      </c>
      <c r="I4" s="3" t="n"/>
      <c r="J4" s="3" t="n"/>
      <c r="K4" s="3" t="n"/>
      <c r="L4" s="3" t="n"/>
      <c r="M4" s="3" t="n"/>
      <c r="N4" s="3" t="n"/>
      <c r="O4" s="3" t="n"/>
      <c r="P4" s="3" t="n"/>
      <c r="Q4" s="3" t="n"/>
      <c r="R4" s="3" t="n"/>
      <c r="S4" s="3" t="n"/>
      <c r="T4" s="3" t="n"/>
      <c r="U4" s="3" t="n"/>
      <c r="V4" s="3" t="n"/>
      <c r="W4" s="3" t="n"/>
      <c r="X4" s="3" t="n"/>
      <c r="Y4" s="3" t="n"/>
      <c r="Z4" s="3" t="n"/>
    </row>
    <row r="5" hidden="1" ht="13.5" customHeight="1">
      <c r="A5" s="3" t="n"/>
      <c r="B5" s="221" t="inlineStr">
        <is>
          <t>Completar al inicio y actualizar ante cualquier modificación</t>
        </is>
      </c>
      <c r="C5" s="222" t="n"/>
      <c r="D5" s="222" t="n"/>
      <c r="E5" s="222" t="n"/>
      <c r="F5" s="222" t="n"/>
      <c r="G5" s="222" t="n"/>
      <c r="H5" s="223" t="n"/>
      <c r="I5" s="3" t="n"/>
      <c r="J5" s="3" t="n"/>
      <c r="K5" s="3" t="n"/>
      <c r="L5" s="3" t="n"/>
      <c r="M5" s="3" t="n"/>
      <c r="N5" s="3" t="n"/>
      <c r="O5" s="3" t="n"/>
      <c r="P5" s="3" t="n"/>
      <c r="Q5" s="3" t="n"/>
      <c r="R5" s="3" t="n"/>
      <c r="S5" s="3" t="n"/>
      <c r="T5" s="3" t="n"/>
      <c r="U5" s="3" t="n"/>
      <c r="V5" s="3" t="n"/>
      <c r="W5" s="3" t="n"/>
      <c r="X5" s="3" t="n"/>
      <c r="Y5" s="3" t="n"/>
      <c r="Z5" s="3" t="n"/>
    </row>
    <row r="6" ht="7.5" customHeight="1">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3.5" customHeight="1">
      <c r="A7" s="3" t="n"/>
      <c r="B7" s="8" t="inlineStr">
        <is>
          <t xml:space="preserve">  A.  DATOS GENERALES DEL CRÉDITO</t>
        </is>
      </c>
      <c r="C7" s="224" t="n"/>
      <c r="D7" s="224" t="n"/>
      <c r="E7" s="224" t="n"/>
      <c r="F7" s="224" t="n"/>
      <c r="G7" s="224" t="n"/>
      <c r="H7" s="3" t="n"/>
      <c r="I7" s="3" t="n"/>
      <c r="J7" s="3" t="n"/>
      <c r="K7" s="3" t="n"/>
      <c r="L7" s="3" t="n"/>
      <c r="M7" s="3" t="n"/>
      <c r="N7" s="3" t="n"/>
      <c r="O7" s="3" t="n"/>
      <c r="P7" s="3" t="n"/>
      <c r="Q7" s="3" t="n"/>
      <c r="R7" s="3" t="n"/>
      <c r="S7" s="3" t="n"/>
      <c r="T7" s="3" t="n"/>
      <c r="U7" s="3" t="n"/>
      <c r="V7" s="3" t="n"/>
      <c r="W7" s="3" t="n"/>
      <c r="X7" s="3" t="n"/>
      <c r="Y7" s="3" t="n"/>
      <c r="Z7" s="3" t="n"/>
    </row>
    <row r="8" ht="18" customHeight="1">
      <c r="A8" s="3" t="n"/>
      <c r="B8" s="10" t="inlineStr">
        <is>
          <t>Acreditado</t>
        </is>
      </c>
      <c r="C8" s="11" t="inlineStr">
        <is>
          <t>Red Girasol</t>
        </is>
      </c>
      <c r="D8" s="10" t="inlineStr">
        <is>
          <t>ID del Contrato</t>
        </is>
      </c>
      <c r="E8" s="225" t="inlineStr">
        <is>
          <t xml:space="preserve">2025LP0007 </t>
        </is>
      </c>
      <c r="F8" s="226" t="n"/>
      <c r="G8" s="227" t="n"/>
      <c r="H8" s="3" t="n"/>
      <c r="I8" s="3" t="n"/>
      <c r="J8" s="3" t="n"/>
      <c r="K8" s="3" t="n"/>
      <c r="L8" s="3" t="n"/>
      <c r="M8" s="3" t="n"/>
      <c r="N8" s="3" t="n"/>
      <c r="O8" s="3" t="n"/>
      <c r="P8" s="3" t="n"/>
      <c r="Q8" s="3" t="n"/>
      <c r="R8" s="3" t="n"/>
      <c r="S8" s="3" t="n"/>
      <c r="T8" s="3" t="n"/>
      <c r="U8" s="3" t="n"/>
      <c r="V8" s="3" t="n"/>
      <c r="W8" s="3" t="n"/>
      <c r="X8" s="3" t="n"/>
      <c r="Y8" s="3" t="n"/>
      <c r="Z8" s="3" t="n"/>
    </row>
    <row r="9" ht="18" customHeight="1">
      <c r="A9" s="3" t="n"/>
      <c r="B9" s="15" t="inlineStr">
        <is>
          <t>Razón Social</t>
        </is>
      </c>
      <c r="C9" s="11" t="inlineStr">
        <is>
          <t xml:space="preserve">RED GIRASOL SAPI DE CV </t>
        </is>
      </c>
      <c r="D9" s="10" t="inlineStr">
        <is>
          <t>Fecha de Firma</t>
        </is>
      </c>
      <c r="E9" s="228" t="n">
        <v>45715</v>
      </c>
      <c r="F9" s="229" t="n"/>
      <c r="G9" s="230" t="n"/>
      <c r="H9" s="3" t="n"/>
      <c r="I9" s="3" t="n"/>
      <c r="J9" s="3" t="n"/>
      <c r="K9" s="3" t="n"/>
      <c r="L9" s="3" t="n"/>
      <c r="M9" s="3" t="n"/>
      <c r="N9" s="3" t="n"/>
      <c r="O9" s="3" t="n"/>
      <c r="P9" s="3" t="n"/>
      <c r="Q9" s="3" t="n"/>
      <c r="R9" s="3" t="n"/>
      <c r="S9" s="3" t="n"/>
      <c r="T9" s="3" t="n"/>
      <c r="U9" s="3" t="n"/>
      <c r="V9" s="3" t="n"/>
      <c r="W9" s="3" t="n"/>
      <c r="X9" s="3" t="n"/>
      <c r="Y9" s="3" t="n"/>
      <c r="Z9" s="3" t="n"/>
    </row>
    <row r="10" ht="18" customHeight="1">
      <c r="A10" s="3" t="n"/>
      <c r="B10" s="15" t="inlineStr">
        <is>
          <t>RFC</t>
        </is>
      </c>
      <c r="C10" s="11" t="inlineStr">
        <is>
          <t xml:space="preserve">RGI160414TR9 </t>
        </is>
      </c>
      <c r="D10" s="15" t="inlineStr">
        <is>
          <t>Fecha de 1ª disposición</t>
        </is>
      </c>
      <c r="E10" s="228" t="n">
        <v>45723</v>
      </c>
      <c r="F10" s="229" t="n"/>
      <c r="G10" s="230" t="n"/>
      <c r="H10" s="3" t="n"/>
      <c r="I10" s="3" t="n"/>
      <c r="J10" s="3" t="n"/>
      <c r="K10" s="3" t="n"/>
      <c r="L10" s="3" t="n"/>
      <c r="M10" s="3" t="n"/>
      <c r="N10" s="3" t="n"/>
      <c r="O10" s="3" t="n"/>
      <c r="P10" s="3" t="n"/>
      <c r="Q10" s="3" t="n"/>
      <c r="R10" s="3" t="n"/>
      <c r="S10" s="3" t="n"/>
      <c r="T10" s="3" t="n"/>
      <c r="U10" s="3" t="n"/>
      <c r="V10" s="3" t="n"/>
      <c r="W10" s="3" t="n"/>
      <c r="X10" s="3" t="n"/>
      <c r="Y10" s="3" t="n"/>
      <c r="Z10" s="3" t="n"/>
    </row>
    <row r="11" ht="18" customHeight="1">
      <c r="A11" s="3" t="n"/>
      <c r="B11" s="10" t="inlineStr">
        <is>
          <t>Tipo de crédito</t>
        </is>
      </c>
      <c r="C11" s="11" t="inlineStr">
        <is>
          <t>Simple</t>
        </is>
      </c>
      <c r="D11" s="15" t="inlineStr">
        <is>
          <t>Fecha Vencimiento</t>
        </is>
      </c>
      <c r="E11" s="228">
        <f>EDATE(E10,C13)</f>
        <v/>
      </c>
      <c r="F11" s="229" t="n"/>
      <c r="G11" s="230" t="n"/>
      <c r="H11" s="3" t="n"/>
      <c r="I11" s="3" t="n"/>
      <c r="J11" s="3" t="n"/>
      <c r="K11" s="3" t="n"/>
      <c r="L11" s="3" t="n"/>
      <c r="M11" s="3" t="n"/>
      <c r="N11" s="3" t="n"/>
      <c r="O11" s="3" t="n"/>
      <c r="P11" s="3" t="n"/>
      <c r="Q11" s="3" t="n"/>
      <c r="R11" s="3" t="n"/>
      <c r="S11" s="3" t="n"/>
      <c r="T11" s="3" t="n"/>
      <c r="U11" s="3" t="n"/>
      <c r="V11" s="3" t="n"/>
      <c r="W11" s="3" t="n"/>
      <c r="X11" s="3" t="n"/>
      <c r="Y11" s="3" t="n"/>
      <c r="Z11" s="3" t="n"/>
    </row>
    <row r="12" ht="18" customHeight="1">
      <c r="A12" s="3" t="n"/>
      <c r="B12" s="15" t="inlineStr">
        <is>
          <t>Monto original (MXN)</t>
        </is>
      </c>
      <c r="C12" s="19" t="n">
        <v>50000000</v>
      </c>
      <c r="D12" s="15" t="inlineStr">
        <is>
          <t>Sindicado (si aplica)</t>
        </is>
      </c>
      <c r="E12" s="11" t="inlineStr">
        <is>
          <t>No</t>
        </is>
      </c>
      <c r="F12" s="229" t="n"/>
      <c r="G12" s="230" t="n"/>
      <c r="H12" s="3" t="n"/>
      <c r="I12" s="3" t="n"/>
      <c r="J12" s="3" t="n"/>
      <c r="K12" s="3" t="n"/>
      <c r="L12" s="3" t="n"/>
      <c r="M12" s="3" t="n"/>
      <c r="N12" s="3" t="n"/>
      <c r="O12" s="3" t="n"/>
      <c r="P12" s="3" t="n"/>
      <c r="Q12" s="3" t="n"/>
      <c r="R12" s="3" t="n"/>
      <c r="S12" s="3" t="n"/>
      <c r="T12" s="3" t="n"/>
      <c r="U12" s="3" t="n"/>
      <c r="V12" s="3" t="n"/>
      <c r="W12" s="3" t="n"/>
      <c r="X12" s="3" t="n"/>
      <c r="Y12" s="3" t="n"/>
      <c r="Z12" s="3" t="n"/>
    </row>
    <row r="13" ht="24.75" customHeight="1">
      <c r="A13" s="3" t="n"/>
      <c r="B13" s="15" t="inlineStr">
        <is>
          <t>Plazo (meses)</t>
        </is>
      </c>
      <c r="C13" s="11" t="n">
        <v>36</v>
      </c>
      <c r="D13" s="15" t="inlineStr">
        <is>
          <t>Periodicidad de pago capital</t>
        </is>
      </c>
      <c r="E13" s="11" t="inlineStr">
        <is>
          <t>Mensual, Despues de 6 meses calendario a partir de la fecha de la primera Disposición</t>
        </is>
      </c>
      <c r="F13" s="229" t="n"/>
      <c r="G13" s="230" t="n"/>
      <c r="H13" s="3" t="n"/>
      <c r="I13" s="3" t="n"/>
      <c r="J13" s="3" t="n"/>
      <c r="K13" s="3" t="n"/>
      <c r="L13" s="3" t="n"/>
      <c r="M13" s="3" t="n"/>
      <c r="N13" s="3" t="n"/>
      <c r="O13" s="3" t="n"/>
      <c r="P13" s="3" t="n"/>
      <c r="Q13" s="3" t="n"/>
      <c r="R13" s="3" t="n"/>
      <c r="S13" s="3" t="n"/>
      <c r="T13" s="3" t="n"/>
      <c r="U13" s="3" t="n"/>
      <c r="V13" s="3" t="n"/>
      <c r="W13" s="3" t="n"/>
      <c r="X13" s="3" t="n"/>
      <c r="Y13" s="3" t="n"/>
      <c r="Z13" s="3" t="n"/>
    </row>
    <row r="14" ht="18" customHeight="1">
      <c r="A14" s="3" t="n"/>
      <c r="B14" s="15" t="inlineStr">
        <is>
          <t>Tasa base</t>
        </is>
      </c>
      <c r="C14" s="21" t="n">
        <v>0.205</v>
      </c>
      <c r="D14" s="15" t="inlineStr">
        <is>
          <t>Administrador Maestro</t>
        </is>
      </c>
      <c r="E14" s="231" t="inlineStr">
        <is>
          <t>CXC</t>
        </is>
      </c>
      <c r="F14" s="229" t="n"/>
      <c r="G14" s="230" t="n"/>
      <c r="H14" s="3" t="n"/>
      <c r="I14" s="3" t="n"/>
      <c r="J14" s="3" t="n"/>
      <c r="K14" s="3" t="n"/>
      <c r="L14" s="3" t="n"/>
      <c r="M14" s="3" t="n"/>
      <c r="N14" s="3" t="n"/>
      <c r="O14" s="3" t="n"/>
      <c r="P14" s="3" t="n"/>
      <c r="Q14" s="3" t="n"/>
      <c r="R14" s="3" t="n"/>
      <c r="S14" s="3" t="n"/>
      <c r="T14" s="3" t="n"/>
      <c r="U14" s="3" t="n"/>
      <c r="V14" s="3" t="n"/>
      <c r="W14" s="3" t="n"/>
      <c r="X14" s="3" t="n"/>
      <c r="Y14" s="3" t="n"/>
      <c r="Z14" s="3" t="n"/>
    </row>
    <row r="15" ht="18" customHeight="1">
      <c r="A15" s="3" t="n"/>
      <c r="B15" s="15" t="inlineStr">
        <is>
          <t>Tipo de tasa</t>
        </is>
      </c>
      <c r="C15" s="11" t="inlineStr">
        <is>
          <t>FIJA</t>
        </is>
      </c>
      <c r="D15" s="15" t="inlineStr">
        <is>
          <t>Número de fideicomiso</t>
        </is>
      </c>
      <c r="E15" s="231" t="inlineStr">
        <is>
          <t>Fideicomiso - 1403</t>
        </is>
      </c>
      <c r="F15" s="229" t="n"/>
      <c r="G15" s="230" t="n"/>
      <c r="H15" s="3" t="n"/>
      <c r="I15" s="3" t="n"/>
      <c r="J15" s="3" t="n"/>
      <c r="K15" s="3" t="n"/>
      <c r="L15" s="3" t="n"/>
      <c r="M15" s="3" t="n"/>
      <c r="N15" s="3" t="n"/>
      <c r="O15" s="3" t="n"/>
      <c r="P15" s="3" t="n"/>
      <c r="Q15" s="3" t="n"/>
      <c r="R15" s="3" t="n"/>
      <c r="S15" s="3" t="n"/>
      <c r="T15" s="3" t="n"/>
      <c r="U15" s="3" t="n"/>
      <c r="V15" s="3" t="n"/>
      <c r="W15" s="3" t="n"/>
      <c r="X15" s="3" t="n"/>
      <c r="Y15" s="3" t="n"/>
      <c r="Z15" s="3" t="n"/>
    </row>
    <row r="16" ht="9.75" customHeight="1">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3.5" customHeight="1">
      <c r="A17" s="3" t="n"/>
      <c r="B17" s="23" t="inlineStr">
        <is>
          <t xml:space="preserve">  B.  COVENANTS — LÍMITES Y NIVELES DE INCUMPLIMIENTO</t>
        </is>
      </c>
      <c r="G17" s="3" t="n"/>
      <c r="H17" s="3" t="n"/>
      <c r="I17" s="3" t="n"/>
      <c r="J17" s="3" t="n"/>
      <c r="K17" s="3" t="n"/>
      <c r="L17" s="3" t="n"/>
      <c r="M17" s="3" t="n"/>
      <c r="N17" s="3" t="n"/>
      <c r="O17" s="3" t="n"/>
      <c r="P17" s="3" t="n"/>
      <c r="Q17" s="3" t="n"/>
      <c r="R17" s="3" t="n"/>
      <c r="S17" s="3" t="n"/>
      <c r="T17" s="3" t="n"/>
      <c r="U17" s="3" t="n"/>
      <c r="V17" s="3" t="n"/>
      <c r="W17" s="3" t="n"/>
      <c r="X17" s="3" t="n"/>
      <c r="Y17" s="3" t="n"/>
      <c r="Z17" s="3" t="n"/>
    </row>
    <row r="18" ht="13.5" customHeight="1">
      <c r="A18" s="3" t="n"/>
      <c r="B18" s="24" t="inlineStr">
        <is>
          <t>Nivel I: Ajustes generales en covenants |Nivel II: Ajuste de tasa +1% y aforo sube a 1.50x   |   Nivel III: Evento de aceleración</t>
        </is>
      </c>
      <c r="C18" s="226" t="n"/>
      <c r="D18" s="226" t="n"/>
      <c r="E18" s="226" t="n"/>
      <c r="F18" s="226" t="n"/>
      <c r="G18" s="3" t="n"/>
      <c r="H18" s="3" t="n"/>
      <c r="I18" s="3" t="n"/>
      <c r="J18" s="3" t="n"/>
      <c r="K18" s="3" t="n"/>
      <c r="L18" s="3" t="n"/>
      <c r="M18" s="3" t="n"/>
      <c r="N18" s="3" t="n"/>
      <c r="O18" s="3" t="n"/>
      <c r="P18" s="3" t="n"/>
      <c r="Q18" s="3" t="n"/>
      <c r="R18" s="3" t="n"/>
      <c r="S18" s="3" t="n"/>
      <c r="T18" s="3" t="n"/>
      <c r="U18" s="3" t="n"/>
      <c r="V18" s="3" t="n"/>
      <c r="W18" s="3" t="n"/>
      <c r="X18" s="3" t="n"/>
      <c r="Y18" s="3" t="n"/>
      <c r="Z18" s="3" t="n"/>
    </row>
    <row r="19" ht="27.75" customHeight="1">
      <c r="A19" s="3" t="n"/>
      <c r="B19" s="25" t="inlineStr">
        <is>
          <t>Covenant</t>
        </is>
      </c>
      <c r="C19" s="26" t="inlineStr">
        <is>
          <t>Fórmula Modelo Monitoreo</t>
        </is>
      </c>
      <c r="D19" s="26" t="inlineStr">
        <is>
          <t>Base</t>
        </is>
      </c>
      <c r="E19" s="26" t="inlineStr">
        <is>
          <t>Post-ajuste
Nivel I</t>
        </is>
      </c>
      <c r="F19" s="26" t="inlineStr">
        <is>
          <t>Post-ajuste
Nivel II</t>
        </is>
      </c>
      <c r="G19" s="3" t="n"/>
      <c r="H19" s="3" t="n"/>
      <c r="I19" s="3" t="n"/>
      <c r="J19" s="3" t="n"/>
      <c r="K19" s="3" t="n"/>
      <c r="L19" s="3" t="n"/>
      <c r="M19" s="3" t="n"/>
      <c r="N19" s="3" t="n"/>
      <c r="O19" s="3" t="n"/>
      <c r="P19" s="3" t="n"/>
      <c r="Q19" s="3" t="n"/>
      <c r="R19" s="3" t="n"/>
      <c r="S19" s="3" t="n"/>
      <c r="T19" s="3" t="n"/>
      <c r="U19" s="3" t="n"/>
      <c r="V19" s="3" t="n"/>
      <c r="W19" s="3" t="n"/>
      <c r="X19" s="3" t="n"/>
      <c r="Y19" s="3" t="n"/>
      <c r="Z19" s="3" t="n"/>
    </row>
    <row r="20" hidden="1" ht="12" customHeight="1">
      <c r="A20" s="3" t="n"/>
      <c r="B20" s="27" t="inlineStr">
        <is>
          <t>COVENANTS ESTÁNDAR (aplican a todos los créditos)</t>
        </is>
      </c>
      <c r="C20" s="232" t="n"/>
      <c r="D20" s="232" t="n"/>
      <c r="E20" s="232" t="n"/>
      <c r="F20" s="232" t="n"/>
      <c r="G20" s="3" t="n"/>
      <c r="H20" s="3" t="n"/>
      <c r="I20" s="3" t="n"/>
      <c r="J20" s="3" t="n"/>
      <c r="K20" s="3" t="n"/>
      <c r="L20" s="3" t="n"/>
      <c r="M20" s="3" t="n"/>
      <c r="N20" s="3" t="n"/>
      <c r="O20" s="3" t="n"/>
      <c r="P20" s="3" t="n"/>
      <c r="Q20" s="3" t="n"/>
      <c r="R20" s="3" t="n"/>
      <c r="S20" s="3" t="n"/>
      <c r="T20" s="3" t="n"/>
      <c r="U20" s="3" t="n"/>
      <c r="V20" s="3" t="n"/>
      <c r="W20" s="3" t="n"/>
      <c r="X20" s="3" t="n"/>
      <c r="Y20" s="3" t="n"/>
      <c r="Z20" s="3" t="n"/>
    </row>
    <row r="21" hidden="1" ht="18" customHeight="1">
      <c r="A21" s="3" t="n"/>
      <c r="B21" s="10" t="inlineStr">
        <is>
          <t>Rentabilidad Operativa</t>
        </is>
      </c>
      <c r="C21" s="29" t="inlineStr">
        <is>
          <t>(Gtos venta + Gtos admin + Gtos operación) / (Intereses cobrados + Comisiones cobradas)</t>
        </is>
      </c>
      <c r="D21" s="30" t="n">
        <v>0.29</v>
      </c>
      <c r="E21" s="30" t="n">
        <v>0.25</v>
      </c>
      <c r="F21" s="30" t="n">
        <v>0.29</v>
      </c>
      <c r="G21" s="3" t="n"/>
      <c r="H21" s="3" t="n"/>
      <c r="I21" s="3" t="n"/>
      <c r="J21" s="3" t="n"/>
      <c r="K21" s="3" t="n"/>
      <c r="L21" s="3" t="n"/>
      <c r="M21" s="3" t="n"/>
      <c r="N21" s="3" t="n"/>
      <c r="O21" s="3" t="n"/>
      <c r="P21" s="3" t="n"/>
      <c r="Q21" s="3" t="n"/>
      <c r="R21" s="3" t="n"/>
      <c r="S21" s="3" t="n"/>
      <c r="T21" s="3" t="n"/>
      <c r="U21" s="3" t="n"/>
      <c r="V21" s="3" t="n"/>
      <c r="W21" s="3" t="n"/>
      <c r="X21" s="3" t="n"/>
      <c r="Y21" s="3" t="n"/>
      <c r="Z21" s="3" t="n"/>
    </row>
    <row r="22" hidden="1" ht="18" customHeight="1">
      <c r="A22" s="3" t="n"/>
      <c r="B22" s="15" t="inlineStr">
        <is>
          <t>Cobertura de Deuda</t>
        </is>
      </c>
      <c r="C22" s="31" t="inlineStr">
        <is>
          <t>Activos productivos / Pasivos totales  [Activos prod. = Bancos + Inversiones + Cartera]</t>
        </is>
      </c>
      <c r="D22" s="32" t="n">
        <v>1</v>
      </c>
      <c r="E22" s="32" t="n">
        <v>1.15</v>
      </c>
      <c r="F22" s="32" t="n">
        <v>1.07</v>
      </c>
      <c r="G22" s="3" t="n"/>
      <c r="H22" s="3" t="n"/>
      <c r="I22" s="3" t="n"/>
      <c r="J22" s="3" t="n"/>
      <c r="K22" s="3" t="n"/>
      <c r="L22" s="3" t="n"/>
      <c r="M22" s="3" t="n"/>
      <c r="N22" s="3" t="n"/>
      <c r="O22" s="3" t="n"/>
      <c r="P22" s="3" t="n"/>
      <c r="Q22" s="3" t="n"/>
      <c r="R22" s="3" t="n"/>
      <c r="S22" s="3" t="n"/>
      <c r="T22" s="3" t="n"/>
      <c r="U22" s="3" t="n"/>
      <c r="V22" s="3" t="n"/>
      <c r="W22" s="3" t="n"/>
      <c r="X22" s="3" t="n"/>
      <c r="Y22" s="3" t="n"/>
      <c r="Z22" s="3" t="n"/>
    </row>
    <row r="23" hidden="1" ht="18" customHeight="1">
      <c r="A23" s="3" t="n"/>
      <c r="B23" s="15" t="inlineStr">
        <is>
          <t>Cartera Vencida Neta</t>
        </is>
      </c>
      <c r="C23" s="29" t="inlineStr">
        <is>
          <t>(Cartera Vencida − Reservas) / (Cartera Vigente + Cartera Vencida)</t>
        </is>
      </c>
      <c r="D23" s="30" t="n">
        <v>0.05</v>
      </c>
      <c r="E23" s="30" t="n">
        <v>0.05</v>
      </c>
      <c r="F23" s="30" t="n">
        <v>0.1</v>
      </c>
      <c r="G23" s="3" t="n"/>
      <c r="H23" s="3" t="n"/>
      <c r="I23" s="3" t="n"/>
      <c r="J23" s="3" t="n"/>
      <c r="K23" s="3" t="n"/>
      <c r="L23" s="3" t="n"/>
      <c r="M23" s="3" t="n"/>
      <c r="N23" s="3" t="n"/>
      <c r="O23" s="3" t="n"/>
      <c r="P23" s="3" t="n"/>
      <c r="Q23" s="3" t="n"/>
      <c r="R23" s="3" t="n"/>
      <c r="S23" s="3" t="n"/>
      <c r="T23" s="3" t="n"/>
      <c r="U23" s="3" t="n"/>
      <c r="V23" s="3" t="n"/>
      <c r="W23" s="3" t="n"/>
      <c r="X23" s="3" t="n"/>
      <c r="Y23" s="3" t="n"/>
      <c r="Z23" s="3" t="n"/>
    </row>
    <row r="24" hidden="1" ht="18" customHeight="1">
      <c r="A24" s="3" t="n"/>
      <c r="B24" s="15" t="inlineStr">
        <is>
          <t>Capitalización</t>
        </is>
      </c>
      <c r="C24" s="31" t="inlineStr">
        <is>
          <t>(Cartera crédito neta) / Capital Contable Elegible</t>
        </is>
      </c>
      <c r="D24" s="32" t="n">
        <v>0.11</v>
      </c>
      <c r="E24" s="32" t="n">
        <v>0.25</v>
      </c>
      <c r="F24" s="32" t="n">
        <v>0.2</v>
      </c>
      <c r="G24" s="3" t="n"/>
      <c r="H24" s="3" t="n"/>
      <c r="I24" s="3" t="n"/>
      <c r="J24" s="3" t="n"/>
      <c r="K24" s="3" t="n"/>
      <c r="L24" s="3" t="n"/>
      <c r="M24" s="3" t="n"/>
      <c r="N24" s="3" t="n"/>
      <c r="O24" s="3" t="n"/>
      <c r="P24" s="3" t="n"/>
      <c r="Q24" s="3" t="n"/>
      <c r="R24" s="3" t="n"/>
      <c r="S24" s="3" t="n"/>
      <c r="T24" s="3" t="n"/>
      <c r="U24" s="3" t="n"/>
      <c r="V24" s="3" t="n"/>
      <c r="W24" s="3" t="n"/>
      <c r="X24" s="3" t="n"/>
      <c r="Y24" s="3" t="n"/>
      <c r="Z24" s="3" t="n"/>
    </row>
    <row r="25" hidden="1" ht="18" customHeight="1">
      <c r="A25" s="3" t="n"/>
      <c r="B25" s="15" t="inlineStr">
        <is>
          <t>Estimación preventiva de riesgos</t>
        </is>
      </c>
      <c r="C25" s="29" t="inlineStr">
        <is>
          <t>Reservas / Cartera vencida</t>
        </is>
      </c>
      <c r="D25" s="30" t="n">
        <v>1</v>
      </c>
      <c r="E25" s="30" t="n">
        <v>1</v>
      </c>
      <c r="F25" s="30" t="n">
        <v>0.8</v>
      </c>
      <c r="G25" s="3" t="n"/>
      <c r="H25" s="3" t="n"/>
      <c r="I25" s="3" t="n"/>
      <c r="J25" s="3" t="n"/>
      <c r="K25" s="3" t="n"/>
      <c r="L25" s="3" t="n"/>
      <c r="M25" s="3" t="n"/>
      <c r="N25" s="3" t="n"/>
      <c r="O25" s="3" t="n"/>
      <c r="P25" s="3" t="n"/>
      <c r="Q25" s="3" t="n"/>
      <c r="R25" s="3" t="n"/>
      <c r="S25" s="3" t="n"/>
      <c r="T25" s="3" t="n"/>
      <c r="U25" s="3" t="n"/>
      <c r="V25" s="3" t="n"/>
      <c r="W25" s="3" t="n"/>
      <c r="X25" s="3" t="n"/>
      <c r="Y25" s="3" t="n"/>
      <c r="Z25" s="3" t="n"/>
    </row>
    <row r="26" hidden="1" ht="18" customHeight="1">
      <c r="A26" s="3" t="n"/>
      <c r="B26" s="15" t="inlineStr">
        <is>
          <t>Coeficiente de liquidez</t>
        </is>
      </c>
      <c r="C26" s="31" t="inlineStr">
        <is>
          <t>(Efectivo + Inversiones disponibles + Cobranza programada) / Vencimientos deuda programados</t>
        </is>
      </c>
      <c r="D26" s="33" t="inlineStr">
        <is>
          <t>1.1x</t>
        </is>
      </c>
      <c r="E26" s="33" t="inlineStr">
        <is>
          <t>1.1x</t>
        </is>
      </c>
      <c r="F26" s="33" t="inlineStr">
        <is>
          <t>1.0x</t>
        </is>
      </c>
      <c r="G26" s="3" t="n"/>
      <c r="H26" s="3" t="n"/>
      <c r="I26" s="3" t="n"/>
      <c r="J26" s="3" t="n"/>
      <c r="K26" s="3" t="n"/>
      <c r="L26" s="3" t="n"/>
      <c r="M26" s="3" t="n"/>
      <c r="N26" s="3" t="n"/>
      <c r="O26" s="3" t="n"/>
      <c r="P26" s="3" t="n"/>
      <c r="Q26" s="3" t="n"/>
      <c r="R26" s="3" t="n"/>
      <c r="S26" s="3" t="n"/>
      <c r="T26" s="3" t="n"/>
      <c r="U26" s="3" t="n"/>
      <c r="V26" s="3" t="n"/>
      <c r="W26" s="3" t="n"/>
      <c r="X26" s="3" t="n"/>
      <c r="Y26" s="3" t="n"/>
      <c r="Z26" s="3" t="n"/>
    </row>
    <row r="27" ht="12" customHeight="1">
      <c r="A27" s="3" t="n"/>
      <c r="B27" s="34" t="inlineStr">
        <is>
          <t>COVENANTS ESPECÍFICOS DEL CONTRATO</t>
        </is>
      </c>
      <c r="C27" s="229" t="n"/>
      <c r="D27" s="229" t="n"/>
      <c r="E27" s="229" t="n"/>
      <c r="F27" s="229" t="n"/>
      <c r="G27" s="3" t="n"/>
      <c r="H27" s="3" t="n"/>
      <c r="I27" s="3" t="n"/>
      <c r="J27" s="3" t="n"/>
      <c r="K27" s="3" t="n"/>
      <c r="L27" s="3" t="n"/>
      <c r="M27" s="3" t="n"/>
      <c r="N27" s="3" t="n"/>
      <c r="O27" s="3" t="n"/>
      <c r="P27" s="3" t="n"/>
      <c r="Q27" s="3" t="n"/>
      <c r="R27" s="3" t="n"/>
      <c r="S27" s="3" t="n"/>
      <c r="T27" s="3" t="n"/>
      <c r="U27" s="3" t="n"/>
      <c r="V27" s="3" t="n"/>
      <c r="W27" s="3" t="n"/>
      <c r="X27" s="3" t="n"/>
      <c r="Y27" s="3" t="n"/>
      <c r="Z27" s="3" t="n"/>
    </row>
    <row r="28" ht="18" customHeight="1">
      <c r="A28" s="3" t="n"/>
      <c r="B28" s="10" t="inlineStr">
        <is>
          <t>IMOR 16</t>
        </is>
      </c>
      <c r="C28" s="31" t="inlineStr">
        <is>
          <t>Cartera vencida 16m / Portafolio 16m</t>
        </is>
      </c>
      <c r="D28" s="33" t="inlineStr">
        <is>
          <t>≤ 7.5%</t>
        </is>
      </c>
      <c r="E28" s="33" t="inlineStr">
        <is>
          <t>≤ 7.5%</t>
        </is>
      </c>
      <c r="F28" s="33" t="inlineStr">
        <is>
          <t>TBA</t>
        </is>
      </c>
      <c r="G28" s="3" t="n"/>
      <c r="H28" s="3" t="n"/>
      <c r="I28" s="3" t="n"/>
      <c r="J28" s="3" t="n"/>
      <c r="K28" s="3" t="n"/>
      <c r="L28" s="3" t="n"/>
      <c r="M28" s="3" t="n"/>
      <c r="N28" s="3" t="n"/>
      <c r="O28" s="3" t="n"/>
      <c r="P28" s="3" t="n"/>
      <c r="Q28" s="3" t="n"/>
      <c r="R28" s="3" t="n"/>
      <c r="S28" s="3" t="n"/>
      <c r="T28" s="3" t="n"/>
      <c r="U28" s="3" t="n"/>
      <c r="V28" s="3" t="n"/>
      <c r="W28" s="3" t="n"/>
      <c r="X28" s="3" t="n"/>
      <c r="Y28" s="3" t="n"/>
      <c r="Z28" s="3" t="n"/>
    </row>
    <row r="29" ht="18" customHeight="1">
      <c r="A29" s="3" t="n"/>
      <c r="B29" s="10" t="inlineStr">
        <is>
          <t xml:space="preserve">Índice de apalancamiento </t>
        </is>
      </c>
      <c r="C29" s="29" t="inlineStr">
        <is>
          <t>Pasivo Total/ Capital Contable Ajustado</t>
        </is>
      </c>
      <c r="D29" s="35" t="inlineStr">
        <is>
          <t>≤ 6.0</t>
        </is>
      </c>
      <c r="E29" s="35" t="inlineStr">
        <is>
          <t>≤ 5.0</t>
        </is>
      </c>
      <c r="F29" s="35" t="inlineStr">
        <is>
          <t>TBA</t>
        </is>
      </c>
      <c r="G29" s="3" t="n"/>
      <c r="H29" s="3" t="n"/>
      <c r="I29" s="3" t="n"/>
      <c r="J29" s="3" t="n"/>
      <c r="K29" s="3" t="n"/>
      <c r="L29" s="3" t="n"/>
      <c r="M29" s="3" t="n"/>
      <c r="N29" s="3" t="n"/>
      <c r="O29" s="3" t="n"/>
      <c r="P29" s="3" t="n"/>
      <c r="Q29" s="3" t="n"/>
      <c r="R29" s="3" t="n"/>
      <c r="S29" s="3" t="n"/>
      <c r="T29" s="3" t="n"/>
      <c r="U29" s="3" t="n"/>
      <c r="V29" s="3" t="n"/>
      <c r="W29" s="3" t="n"/>
      <c r="X29" s="3" t="n"/>
      <c r="Y29" s="3" t="n"/>
      <c r="Z29" s="3" t="n"/>
    </row>
    <row r="30" ht="18" customHeight="1">
      <c r="A30" s="3" t="n"/>
      <c r="B30" s="10" t="inlineStr">
        <is>
          <t>Índice de apalancamiento ajustado</t>
        </is>
      </c>
      <c r="C30" s="31" t="inlineStr">
        <is>
          <t>Pasivo Total / Derechos de Cobro sobre Participaciones</t>
        </is>
      </c>
      <c r="D30" s="33" t="inlineStr">
        <is>
          <t>≤ 90%</t>
        </is>
      </c>
      <c r="E30" s="33" t="inlineStr">
        <is>
          <t>≤ 85%</t>
        </is>
      </c>
      <c r="F30" s="33" t="inlineStr">
        <is>
          <t>TBA</t>
        </is>
      </c>
      <c r="G30" s="3" t="n"/>
      <c r="H30" s="3" t="n"/>
      <c r="I30" s="3" t="n"/>
      <c r="J30" s="3" t="n"/>
      <c r="K30" s="3" t="n"/>
      <c r="L30" s="3" t="n"/>
      <c r="M30" s="3" t="n"/>
      <c r="N30" s="3" t="n"/>
      <c r="O30" s="3" t="n"/>
      <c r="P30" s="3" t="n"/>
      <c r="Q30" s="3" t="n"/>
      <c r="R30" s="3" t="n"/>
      <c r="S30" s="3" t="n"/>
      <c r="T30" s="3" t="n"/>
      <c r="U30" s="3" t="n"/>
      <c r="V30" s="3" t="n"/>
      <c r="W30" s="3" t="n"/>
      <c r="X30" s="3" t="n"/>
      <c r="Y30" s="3" t="n"/>
      <c r="Z30" s="3" t="n"/>
    </row>
    <row r="31" ht="18" customHeight="1">
      <c r="A31" s="3" t="n"/>
      <c r="B31" s="10" t="inlineStr">
        <is>
          <t>Índice de capitalización</t>
        </is>
      </c>
      <c r="C31" s="29" t="inlineStr">
        <is>
          <t>Capital Contable Ajustado / Activo Total</t>
        </is>
      </c>
      <c r="D31" s="35" t="inlineStr">
        <is>
          <t>≥ 13%</t>
        </is>
      </c>
      <c r="E31" s="35" t="inlineStr">
        <is>
          <t>≥ 15%</t>
        </is>
      </c>
      <c r="F31" s="35" t="inlineStr">
        <is>
          <t>TBA</t>
        </is>
      </c>
      <c r="G31" s="3" t="n"/>
      <c r="H31" s="3" t="n"/>
      <c r="I31" s="3" t="n"/>
      <c r="J31" s="3" t="n"/>
      <c r="K31" s="3" t="n"/>
      <c r="L31" s="3" t="n"/>
      <c r="M31" s="3" t="n"/>
      <c r="N31" s="3" t="n"/>
      <c r="O31" s="3" t="n"/>
      <c r="P31" s="3" t="n"/>
      <c r="Q31" s="3" t="n"/>
      <c r="R31" s="3" t="n"/>
      <c r="S31" s="3" t="n"/>
      <c r="T31" s="3" t="n"/>
      <c r="U31" s="3" t="n"/>
      <c r="V31" s="3" t="n"/>
      <c r="W31" s="3" t="n"/>
      <c r="X31" s="3" t="n"/>
      <c r="Y31" s="3" t="n"/>
      <c r="Z31" s="3" t="n"/>
    </row>
    <row r="32" ht="18" customHeight="1">
      <c r="A32" s="3" t="n"/>
      <c r="B32" s="10" t="inlineStr">
        <is>
          <t>Índice de cartera atrasada</t>
        </is>
      </c>
      <c r="C32" s="31" t="inlineStr">
        <is>
          <t>Cartera Atrasada / Valor del Portafolio</t>
        </is>
      </c>
      <c r="D32" s="33" t="inlineStr">
        <is>
          <t>≤ 11%</t>
        </is>
      </c>
      <c r="E32" s="33" t="inlineStr">
        <is>
          <t>≤ 11%</t>
        </is>
      </c>
      <c r="F32" s="33" t="inlineStr">
        <is>
          <t>TBA</t>
        </is>
      </c>
      <c r="G32" s="3" t="n"/>
      <c r="H32" s="3" t="n"/>
      <c r="I32" s="3" t="n"/>
      <c r="J32" s="3" t="n"/>
      <c r="K32" s="3" t="n"/>
      <c r="L32" s="3" t="n"/>
      <c r="M32" s="3" t="n"/>
      <c r="N32" s="3" t="n"/>
      <c r="O32" s="3" t="n"/>
      <c r="P32" s="3" t="n"/>
      <c r="Q32" s="3" t="n"/>
      <c r="R32" s="3" t="n"/>
      <c r="S32" s="3" t="n"/>
      <c r="T32" s="3" t="n"/>
      <c r="U32" s="3" t="n"/>
      <c r="V32" s="3" t="n"/>
      <c r="W32" s="3" t="n"/>
      <c r="X32" s="3" t="n"/>
      <c r="Y32" s="3" t="n"/>
      <c r="Z32" s="3" t="n"/>
    </row>
    <row r="33" ht="18" customHeight="1">
      <c r="A33" s="3" t="n"/>
      <c r="B33" s="10" t="inlineStr">
        <is>
          <t>Índice de cartera vencida</t>
        </is>
      </c>
      <c r="C33" s="29" t="inlineStr">
        <is>
          <t>Cartera Vencida/ Valor del Portafolio</t>
        </is>
      </c>
      <c r="D33" s="35" t="inlineStr">
        <is>
          <t>≤ 14%</t>
        </is>
      </c>
      <c r="E33" s="35" t="inlineStr">
        <is>
          <t>≤ 14%</t>
        </is>
      </c>
      <c r="F33" s="35" t="inlineStr">
        <is>
          <t>TBA</t>
        </is>
      </c>
      <c r="G33" s="3" t="n"/>
      <c r="H33" s="3" t="n"/>
      <c r="I33" s="3" t="n"/>
      <c r="J33" s="3" t="n"/>
      <c r="K33" s="3" t="n"/>
      <c r="L33" s="3" t="n"/>
      <c r="M33" s="3" t="n"/>
      <c r="N33" s="3" t="n"/>
      <c r="O33" s="3" t="n"/>
      <c r="P33" s="3" t="n"/>
      <c r="Q33" s="3" t="n"/>
      <c r="R33" s="3" t="n"/>
      <c r="S33" s="3" t="n"/>
      <c r="T33" s="3" t="n"/>
      <c r="U33" s="3" t="n"/>
      <c r="V33" s="3" t="n"/>
      <c r="W33" s="3" t="n"/>
      <c r="X33" s="3" t="n"/>
      <c r="Y33" s="3" t="n"/>
      <c r="Z33" s="3" t="n"/>
    </row>
    <row r="34" ht="18" customHeight="1">
      <c r="A34" s="3" t="n"/>
      <c r="B34" s="10" t="inlineStr">
        <is>
          <t>Índice de rendimiento</t>
        </is>
      </c>
      <c r="C34" s="31" t="inlineStr">
        <is>
          <t>Ingresos Agregados / Valor del Portafolio</t>
        </is>
      </c>
      <c r="D34" s="33" t="inlineStr">
        <is>
          <t>≥ 28%</t>
        </is>
      </c>
      <c r="E34" s="33" t="inlineStr">
        <is>
          <t>≥ 30%</t>
        </is>
      </c>
      <c r="F34" s="33" t="inlineStr">
        <is>
          <t>TBA</t>
        </is>
      </c>
      <c r="G34" s="3" t="n"/>
      <c r="H34" s="3" t="n"/>
      <c r="I34" s="3" t="n"/>
      <c r="J34" s="3" t="n"/>
      <c r="K34" s="3" t="n"/>
      <c r="L34" s="3" t="n"/>
      <c r="M34" s="3" t="n"/>
      <c r="N34" s="3" t="n"/>
      <c r="O34" s="3" t="n"/>
      <c r="P34" s="3" t="n"/>
      <c r="Q34" s="3" t="n"/>
      <c r="R34" s="3" t="n"/>
      <c r="S34" s="3" t="n"/>
      <c r="T34" s="3" t="n"/>
      <c r="U34" s="3" t="n"/>
      <c r="V34" s="3" t="n"/>
      <c r="W34" s="3" t="n"/>
      <c r="X34" s="3" t="n"/>
      <c r="Y34" s="3" t="n"/>
      <c r="Z34" s="3" t="n"/>
    </row>
    <row r="35" ht="18" customHeight="1">
      <c r="A35" s="3" t="n"/>
      <c r="B35" s="10" t="inlineStr">
        <is>
          <t>Índice de rentabilidad</t>
        </is>
      </c>
      <c r="C35" s="29" t="inlineStr">
        <is>
          <t>Utilidad Neta / Valor del Portafolio</t>
        </is>
      </c>
      <c r="D35" s="35" t="inlineStr">
        <is>
          <t>≥ -2%</t>
        </is>
      </c>
      <c r="E35" s="35" t="inlineStr">
        <is>
          <t>≥ 0%</t>
        </is>
      </c>
      <c r="F35" s="35" t="inlineStr">
        <is>
          <t>TBA</t>
        </is>
      </c>
      <c r="G35" s="3" t="n"/>
      <c r="H35" s="3" t="n"/>
      <c r="I35" s="3" t="n"/>
      <c r="J35" s="3" t="n"/>
      <c r="K35" s="3" t="n"/>
      <c r="L35" s="3" t="n"/>
      <c r="M35" s="3" t="n"/>
      <c r="N35" s="3" t="n"/>
      <c r="O35" s="3" t="n"/>
      <c r="P35" s="3" t="n"/>
      <c r="Q35" s="3" t="n"/>
      <c r="R35" s="3" t="n"/>
      <c r="S35" s="3" t="n"/>
      <c r="T35" s="3" t="n"/>
      <c r="U35" s="3" t="n"/>
      <c r="V35" s="3" t="n"/>
      <c r="W35" s="3" t="n"/>
      <c r="X35" s="3" t="n"/>
      <c r="Y35" s="3" t="n"/>
      <c r="Z35" s="3" t="n"/>
    </row>
    <row r="36" ht="18" customHeight="1">
      <c r="A36" s="3" t="n"/>
      <c r="B36" s="10" t="inlineStr">
        <is>
          <t>Aforo mínimo</t>
        </is>
      </c>
      <c r="C36" s="31" t="inlineStr">
        <is>
          <t>Ver fórmula completa en pestaña EEFF — CTO A</t>
        </is>
      </c>
      <c r="D36" s="33" t="inlineStr">
        <is>
          <t>≥ 1.35x</t>
        </is>
      </c>
      <c r="E36" s="33" t="inlineStr">
        <is>
          <t>≥ 1.50x*</t>
        </is>
      </c>
      <c r="F36" s="33" t="inlineStr">
        <is>
          <t>TBA</t>
        </is>
      </c>
      <c r="G36" s="3" t="n"/>
      <c r="H36" s="3" t="n"/>
      <c r="I36" s="3" t="n"/>
      <c r="J36" s="3" t="n"/>
      <c r="K36" s="3" t="n"/>
      <c r="L36" s="3" t="n"/>
      <c r="M36" s="3" t="n"/>
      <c r="N36" s="3" t="n"/>
      <c r="O36" s="3" t="n"/>
      <c r="P36" s="3" t="n"/>
      <c r="Q36" s="3" t="n"/>
      <c r="R36" s="3" t="n"/>
      <c r="S36" s="3" t="n"/>
      <c r="T36" s="3" t="n"/>
      <c r="U36" s="3" t="n"/>
      <c r="V36" s="3" t="n"/>
      <c r="W36" s="3" t="n"/>
      <c r="X36" s="3" t="n"/>
      <c r="Y36" s="3" t="n"/>
      <c r="Z36" s="3" t="n"/>
    </row>
    <row r="37" ht="13.5" customHeight="1">
      <c r="A37" s="3" t="n"/>
      <c r="B37" s="36" t="inlineStr">
        <is>
          <t>* El aforo aplicable cambia a 1.50x ante incumplimiento del escenario base de IMOR 16 (IMOR 16 &gt; 7.5%)</t>
        </is>
      </c>
      <c r="C37" s="229" t="n"/>
      <c r="D37" s="229" t="n"/>
      <c r="E37" s="229" t="n"/>
      <c r="F37" s="229"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3.5" customHeight="1">
      <c r="A39" s="3" t="n"/>
      <c r="B39" s="8" t="inlineStr">
        <is>
          <t xml:space="preserve">  C.  EVENTOS DE INCUMPLIMIENTO — CONSECUENCIAS POR NIVEL</t>
        </is>
      </c>
      <c r="C39" s="224" t="n"/>
      <c r="D39" s="224" t="n"/>
      <c r="E39" s="224" t="n"/>
      <c r="F39" s="224" t="n"/>
      <c r="G39" s="224" t="n"/>
      <c r="H39" s="3" t="n"/>
      <c r="I39" s="3" t="n"/>
      <c r="J39" s="3" t="n"/>
      <c r="K39" s="3" t="n"/>
      <c r="L39" s="3" t="n"/>
      <c r="M39" s="3" t="n"/>
      <c r="N39" s="3" t="n"/>
      <c r="O39" s="3" t="n"/>
      <c r="P39" s="3" t="n"/>
      <c r="Q39" s="3" t="n"/>
      <c r="R39" s="3" t="n"/>
      <c r="S39" s="3" t="n"/>
      <c r="T39" s="3" t="n"/>
      <c r="U39" s="3" t="n"/>
      <c r="V39" s="3" t="n"/>
      <c r="W39" s="3" t="n"/>
      <c r="X39" s="3" t="n"/>
      <c r="Y39" s="3" t="n"/>
      <c r="Z39" s="3" t="n"/>
    </row>
    <row r="40" ht="13.5" customHeight="1">
      <c r="A40" s="3" t="n"/>
      <c r="B40" s="37" t="inlineStr">
        <is>
          <t>Nivel</t>
        </is>
      </c>
      <c r="C40" s="38" t="inlineStr">
        <is>
          <t>Descripción</t>
        </is>
      </c>
      <c r="D40" s="25" t="inlineStr">
        <is>
          <t>Consecuencias contractuales</t>
        </is>
      </c>
      <c r="E40" s="233" t="n"/>
      <c r="F40" s="234" t="n"/>
      <c r="G40" s="26" t="inlineStr">
        <is>
          <t>Fecha de activación</t>
        </is>
      </c>
      <c r="H40" s="3" t="n"/>
      <c r="I40" s="3" t="n"/>
      <c r="J40" s="3" t="n"/>
      <c r="K40" s="3" t="n"/>
      <c r="L40" s="3" t="n"/>
      <c r="M40" s="3" t="n"/>
      <c r="N40" s="3" t="n"/>
      <c r="O40" s="3" t="n"/>
      <c r="P40" s="3" t="n"/>
      <c r="Q40" s="3" t="n"/>
      <c r="R40" s="3" t="n"/>
      <c r="S40" s="3" t="n"/>
      <c r="T40" s="3" t="n"/>
      <c r="U40" s="3" t="n"/>
      <c r="V40" s="3" t="n"/>
      <c r="W40" s="3" t="n"/>
      <c r="X40" s="3" t="n"/>
      <c r="Y40" s="3" t="n"/>
      <c r="Z40" s="3" t="n"/>
    </row>
    <row r="41" ht="30" customHeight="1">
      <c r="A41" s="3" t="n"/>
      <c r="B41" s="10" t="inlineStr">
        <is>
          <t>Nivel I</t>
        </is>
      </c>
      <c r="C41" s="42" t="inlineStr">
        <is>
          <t>Incumplimiento de Niveles I de los covenants</t>
        </is>
      </c>
      <c r="D41" s="235" t="inlineStr">
        <is>
          <t>Ajustes en las condiciones generales de los covenants base</t>
        </is>
      </c>
      <c r="E41" s="232" t="n"/>
      <c r="F41" s="236" t="n"/>
      <c r="G41" s="45" t="n">
        <v>45870</v>
      </c>
      <c r="H41" s="3" t="n"/>
      <c r="I41" s="3" t="n"/>
      <c r="J41" s="3" t="n"/>
      <c r="K41" s="3" t="n"/>
      <c r="L41" s="3" t="n"/>
      <c r="M41" s="3" t="n"/>
      <c r="N41" s="3" t="n"/>
      <c r="O41" s="3" t="n"/>
      <c r="P41" s="3" t="n"/>
      <c r="Q41" s="3" t="n"/>
      <c r="R41" s="3" t="n"/>
      <c r="S41" s="3" t="n"/>
      <c r="T41" s="3" t="n"/>
      <c r="U41" s="3" t="n"/>
      <c r="V41" s="3" t="n"/>
      <c r="W41" s="3" t="n"/>
      <c r="X41" s="3" t="n"/>
      <c r="Y41" s="3" t="n"/>
      <c r="Z41" s="3" t="n"/>
    </row>
    <row r="42" ht="30" customHeight="1">
      <c r="A42" s="3" t="n"/>
      <c r="B42" s="10" t="inlineStr">
        <is>
          <t>Nivel II</t>
        </is>
      </c>
      <c r="C42" s="46" t="inlineStr">
        <is>
          <t>Incumplimiento de Niveles II de los covenants</t>
        </is>
      </c>
      <c r="D42" s="237" t="inlineStr">
        <is>
          <t>Ajuste de tasa de interés +1% sobre la tasa vigente. Aforo mínimo requerido sube a 1.50x.</t>
        </is>
      </c>
      <c r="E42" s="229" t="n"/>
      <c r="F42" s="230" t="n"/>
      <c r="G42" s="48" t="inlineStr">
        <is>
          <t>[Fecha]</t>
        </is>
      </c>
      <c r="H42" s="3" t="n"/>
      <c r="I42" s="3" t="n"/>
      <c r="J42" s="3" t="n"/>
      <c r="K42" s="3" t="n"/>
      <c r="L42" s="3" t="n"/>
      <c r="M42" s="3" t="n"/>
      <c r="N42" s="3" t="n"/>
      <c r="O42" s="3" t="n"/>
      <c r="P42" s="3" t="n"/>
      <c r="Q42" s="3" t="n"/>
      <c r="R42" s="3" t="n"/>
      <c r="S42" s="3" t="n"/>
      <c r="T42" s="3" t="n"/>
      <c r="U42" s="3" t="n"/>
      <c r="V42" s="3" t="n"/>
      <c r="W42" s="3" t="n"/>
      <c r="X42" s="3" t="n"/>
      <c r="Y42" s="3" t="n"/>
      <c r="Z42" s="3" t="n"/>
    </row>
    <row r="43" ht="30" customHeight="1">
      <c r="A43" s="3" t="n"/>
      <c r="B43" s="10" t="inlineStr">
        <is>
          <t>[Otro evento]</t>
        </is>
      </c>
      <c r="C43" s="42" t="inlineStr">
        <is>
          <t>[Describir el evento de incumplimiento adicional según el contrato]</t>
        </is>
      </c>
      <c r="D43" s="235" t="inlineStr">
        <is>
          <t>Se considera Evento de Aceleración. El acreditante puede exigir el pago anticipado de la totalidad del crédito.</t>
        </is>
      </c>
      <c r="E43" s="232" t="n"/>
      <c r="F43" s="236" t="n"/>
      <c r="G43" s="49" t="inlineStr">
        <is>
          <t>[Fecha]</t>
        </is>
      </c>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3.5" customHeight="1">
      <c r="A45" s="3" t="n"/>
      <c r="B45" s="8" t="inlineStr">
        <is>
          <t xml:space="preserve">  D.  DEFINICIONES CONTRACTUALES CLAVE</t>
        </is>
      </c>
      <c r="C45" s="224" t="n"/>
      <c r="D45" s="224" t="n"/>
      <c r="E45" s="224" t="n"/>
      <c r="F45" s="224" t="n"/>
      <c r="G45" s="224" t="n"/>
      <c r="H45" s="3" t="n"/>
      <c r="I45" s="3" t="n"/>
      <c r="J45" s="3" t="n"/>
      <c r="K45" s="3" t="n"/>
      <c r="L45" s="3" t="n"/>
      <c r="M45" s="3" t="n"/>
      <c r="N45" s="3" t="n"/>
      <c r="O45" s="3" t="n"/>
      <c r="P45" s="3" t="n"/>
      <c r="Q45" s="3" t="n"/>
      <c r="R45" s="3" t="n"/>
      <c r="S45" s="3" t="n"/>
      <c r="T45" s="3" t="n"/>
      <c r="U45" s="3" t="n"/>
      <c r="V45" s="3" t="n"/>
      <c r="W45" s="3" t="n"/>
      <c r="X45" s="3" t="n"/>
      <c r="Y45" s="3" t="n"/>
      <c r="Z45" s="3" t="n"/>
    </row>
    <row r="46" ht="13.5" customHeight="1">
      <c r="A46" s="50" t="n"/>
      <c r="B46" s="51" t="inlineStr">
        <is>
          <t>Concepto</t>
        </is>
      </c>
      <c r="C46" s="238" t="inlineStr">
        <is>
          <t>Definición resumida</t>
        </is>
      </c>
      <c r="D46" s="239" t="n"/>
      <c r="E46" s="239" t="n"/>
      <c r="F46" s="239" t="n"/>
      <c r="G46" s="240" t="n"/>
      <c r="H46" s="3" t="n"/>
      <c r="I46" s="3" t="n"/>
      <c r="J46" s="3" t="n"/>
      <c r="K46" s="3" t="n"/>
      <c r="L46" s="3" t="n"/>
      <c r="M46" s="3" t="n"/>
      <c r="N46" s="3" t="n"/>
      <c r="O46" s="3" t="n"/>
      <c r="P46" s="3" t="n"/>
      <c r="Q46" s="3" t="n"/>
      <c r="R46" s="3" t="n"/>
      <c r="S46" s="3" t="n"/>
      <c r="T46" s="3" t="n"/>
      <c r="U46" s="3" t="n"/>
      <c r="V46" s="3" t="n"/>
      <c r="W46" s="3" t="n"/>
      <c r="X46" s="3" t="n"/>
      <c r="Y46" s="3" t="n"/>
      <c r="Z46" s="3" t="n"/>
    </row>
    <row r="47" ht="25.5" customHeight="1">
      <c r="A47" s="3" t="n"/>
      <c r="B47" s="55" t="inlineStr">
        <is>
          <t>Cartera Vigente</t>
        </is>
      </c>
      <c r="C47" s="241" t="inlineStr">
        <is>
          <t>Créditos al corriente sin días de atraso.</t>
        </is>
      </c>
      <c r="D47" s="222" t="n"/>
      <c r="E47" s="222" t="n"/>
      <c r="F47" s="222" t="n"/>
      <c r="G47" s="223" t="n"/>
      <c r="H47" s="3" t="n"/>
      <c r="I47" s="3" t="n"/>
      <c r="J47" s="3" t="n"/>
      <c r="K47" s="3" t="n"/>
      <c r="L47" s="3" t="n"/>
      <c r="M47" s="3" t="n"/>
      <c r="N47" s="3" t="n"/>
      <c r="O47" s="3" t="n"/>
      <c r="P47" s="3" t="n"/>
      <c r="Q47" s="3" t="n"/>
      <c r="R47" s="3" t="n"/>
      <c r="S47" s="3" t="n"/>
      <c r="T47" s="3" t="n"/>
      <c r="U47" s="3" t="n"/>
      <c r="V47" s="3" t="n"/>
      <c r="W47" s="3" t="n"/>
      <c r="X47" s="3" t="n"/>
      <c r="Y47" s="3" t="n"/>
      <c r="Z47" s="3" t="n"/>
    </row>
    <row r="48" ht="25.5" customHeight="1">
      <c r="A48" s="3" t="n"/>
      <c r="B48" s="55" t="inlineStr">
        <is>
          <t>Cartera Atrasada</t>
        </is>
      </c>
      <c r="C48" s="242" t="inlineStr">
        <is>
          <t>&gt;30 y &lt;90 días de atraso; o adeudo equiv. a pagos entre 30 y 90 días previos.</t>
        </is>
      </c>
      <c r="D48" s="222" t="n"/>
      <c r="E48" s="222" t="n"/>
      <c r="F48" s="222" t="n"/>
      <c r="G48" s="223" t="n"/>
      <c r="H48" s="3" t="n"/>
      <c r="I48" s="3" t="n"/>
      <c r="J48" s="3" t="n"/>
      <c r="K48" s="3" t="n"/>
      <c r="L48" s="3" t="n"/>
      <c r="M48" s="3" t="n"/>
      <c r="N48" s="3" t="n"/>
      <c r="O48" s="3" t="n"/>
      <c r="P48" s="3" t="n"/>
      <c r="Q48" s="3" t="n"/>
      <c r="R48" s="3" t="n"/>
      <c r="S48" s="3" t="n"/>
      <c r="T48" s="3" t="n"/>
      <c r="U48" s="3" t="n"/>
      <c r="V48" s="3" t="n"/>
      <c r="W48" s="3" t="n"/>
      <c r="X48" s="3" t="n"/>
      <c r="Y48" s="3" t="n"/>
      <c r="Z48" s="3" t="n"/>
    </row>
    <row r="49" ht="25.5" customHeight="1">
      <c r="A49" s="3" t="n"/>
      <c r="B49" s="55" t="inlineStr">
        <is>
          <t>Cartera Vencida</t>
        </is>
      </c>
      <c r="C49" s="241" t="inlineStr">
        <is>
          <t>En concurso mercantil; ≥90 días de atraso; o adeudo equiv. a 90 días previos.</t>
        </is>
      </c>
      <c r="D49" s="222" t="n"/>
      <c r="E49" s="222" t="n"/>
      <c r="F49" s="222" t="n"/>
      <c r="G49" s="223" t="n"/>
      <c r="H49" s="3" t="n"/>
      <c r="I49" s="3" t="n"/>
      <c r="J49" s="3" t="n"/>
      <c r="K49" s="3" t="n"/>
      <c r="L49" s="3" t="n"/>
      <c r="M49" s="3" t="n"/>
      <c r="N49" s="3" t="n"/>
      <c r="O49" s="3" t="n"/>
      <c r="P49" s="3" t="n"/>
      <c r="Q49" s="3" t="n"/>
      <c r="R49" s="3" t="n"/>
      <c r="S49" s="3" t="n"/>
      <c r="T49" s="3" t="n"/>
      <c r="U49" s="3" t="n"/>
      <c r="V49" s="3" t="n"/>
      <c r="W49" s="3" t="n"/>
      <c r="X49" s="3" t="n"/>
      <c r="Y49" s="3" t="n"/>
      <c r="Z49" s="3" t="n"/>
    </row>
    <row r="50" ht="25.5" customHeight="1">
      <c r="A50" s="3" t="n"/>
      <c r="B50" s="55" t="inlineStr">
        <is>
          <t>Reservas para futuras pérdidas</t>
        </is>
      </c>
      <c r="C50" s="242" t="inlineStr">
        <is>
          <t>Estimación preventiva de riesgos constituida conforme a criterios contables aplicables.</t>
        </is>
      </c>
      <c r="D50" s="222" t="n"/>
      <c r="E50" s="222" t="n"/>
      <c r="F50" s="222" t="n"/>
      <c r="G50" s="223" t="n"/>
      <c r="H50" s="3" t="n"/>
      <c r="I50" s="3" t="n"/>
      <c r="J50" s="3" t="n"/>
      <c r="K50" s="3" t="n"/>
      <c r="L50" s="3" t="n"/>
      <c r="M50" s="3" t="n"/>
      <c r="N50" s="3" t="n"/>
      <c r="O50" s="3" t="n"/>
      <c r="P50" s="3" t="n"/>
      <c r="Q50" s="3" t="n"/>
      <c r="R50" s="3" t="n"/>
      <c r="S50" s="3" t="n"/>
      <c r="T50" s="3" t="n"/>
      <c r="U50" s="3" t="n"/>
      <c r="V50" s="3" t="n"/>
      <c r="W50" s="3" t="n"/>
      <c r="X50" s="3" t="n"/>
      <c r="Y50" s="3" t="n"/>
      <c r="Z50" s="3" t="n"/>
    </row>
    <row r="51" ht="25.5" customHeight="1">
      <c r="A51" s="3" t="n"/>
      <c r="B51" s="55" t="inlineStr">
        <is>
          <t>Capital Contable Ajustado / Elegible</t>
        </is>
      </c>
      <c r="C51" s="241" t="inlineStr">
        <is>
          <t>Cap. social suscrito + utilidades ejercicios anteriores + utilidades año corriente − CxC neto.</t>
        </is>
      </c>
      <c r="D51" s="222" t="n"/>
      <c r="E51" s="222" t="n"/>
      <c r="F51" s="222" t="n"/>
      <c r="G51" s="223" t="n"/>
      <c r="H51" s="3" t="n"/>
      <c r="I51" s="3" t="n"/>
      <c r="J51" s="3" t="n"/>
      <c r="K51" s="3" t="n"/>
      <c r="L51" s="3" t="n"/>
      <c r="M51" s="3" t="n"/>
      <c r="N51" s="3" t="n"/>
      <c r="O51" s="3" t="n"/>
      <c r="P51" s="3" t="n"/>
      <c r="Q51" s="3" t="n"/>
      <c r="R51" s="3" t="n"/>
      <c r="S51" s="3" t="n"/>
      <c r="T51" s="3" t="n"/>
      <c r="U51" s="3" t="n"/>
      <c r="V51" s="3" t="n"/>
      <c r="W51" s="3" t="n"/>
      <c r="X51" s="3" t="n"/>
      <c r="Y51" s="3" t="n"/>
      <c r="Z51" s="3" t="n"/>
    </row>
    <row r="52" ht="25.5" customHeight="1">
      <c r="A52" s="3" t="n"/>
      <c r="B52" s="55" t="inlineStr">
        <is>
          <t>Valor del Portafolio</t>
        </is>
      </c>
      <c r="C52" s="242" t="inlineStr">
        <is>
          <t>Saldo D/C Participaciones − créditos &gt;36 meses que califican como cartera vencida.</t>
        </is>
      </c>
      <c r="D52" s="222" t="n"/>
      <c r="E52" s="222" t="n"/>
      <c r="F52" s="222" t="n"/>
      <c r="G52" s="223" t="n"/>
      <c r="H52" s="3" t="n"/>
      <c r="I52" s="3" t="n"/>
      <c r="J52" s="3" t="n"/>
      <c r="K52" s="3" t="n"/>
      <c r="L52" s="3" t="n"/>
      <c r="M52" s="3" t="n"/>
      <c r="N52" s="3" t="n"/>
      <c r="O52" s="3" t="n"/>
      <c r="P52" s="3" t="n"/>
      <c r="Q52" s="3" t="n"/>
      <c r="R52" s="3" t="n"/>
      <c r="S52" s="3" t="n"/>
      <c r="T52" s="3" t="n"/>
      <c r="U52" s="3" t="n"/>
      <c r="V52" s="3" t="n"/>
      <c r="W52" s="3" t="n"/>
      <c r="X52" s="3" t="n"/>
      <c r="Y52" s="3" t="n"/>
      <c r="Z52" s="3" t="n"/>
    </row>
    <row r="53" ht="25.5" customHeight="1">
      <c r="A53" s="3" t="n"/>
      <c r="B53" s="55" t="inlineStr">
        <is>
          <t>Activos Productivos</t>
        </is>
      </c>
      <c r="C53" s="241" t="inlineStr">
        <is>
          <t>Bancos + Inversiones (disponibles y no comprometidas) + Cartera de crédito.</t>
        </is>
      </c>
      <c r="D53" s="222" t="n"/>
      <c r="E53" s="222" t="n"/>
      <c r="F53" s="222" t="n"/>
      <c r="G53" s="223" t="n"/>
      <c r="H53" s="3" t="n"/>
      <c r="I53" s="3" t="n"/>
      <c r="J53" s="3" t="n"/>
      <c r="K53" s="3" t="n"/>
      <c r="L53" s="3" t="n"/>
      <c r="M53" s="3" t="n"/>
      <c r="N53" s="3" t="n"/>
      <c r="O53" s="3" t="n"/>
      <c r="P53" s="3" t="n"/>
      <c r="Q53" s="3" t="n"/>
      <c r="R53" s="3" t="n"/>
      <c r="S53" s="3" t="n"/>
      <c r="T53" s="3" t="n"/>
      <c r="U53" s="3" t="n"/>
      <c r="V53" s="3" t="n"/>
      <c r="W53" s="3" t="n"/>
      <c r="X53" s="3" t="n"/>
      <c r="Y53" s="3" t="n"/>
      <c r="Z53" s="3" t="n"/>
    </row>
    <row r="54" ht="25.5" customHeight="1">
      <c r="A54" s="3" t="n"/>
      <c r="B54" s="55" t="inlineStr">
        <is>
          <t>Ingresos Agregados</t>
        </is>
      </c>
      <c r="C54" s="242" t="inlineStr">
        <is>
          <t>Ingresos por comisiones + intereses cobrados. [Verificar definición contractual exacta]</t>
        </is>
      </c>
      <c r="D54" s="222" t="n"/>
      <c r="E54" s="222" t="n"/>
      <c r="F54" s="222" t="n"/>
      <c r="G54" s="223" t="n"/>
      <c r="H54" s="3" t="n"/>
      <c r="I54" s="3" t="n"/>
      <c r="J54" s="3" t="n"/>
      <c r="K54" s="3" t="n"/>
      <c r="L54" s="3" t="n"/>
      <c r="M54" s="3" t="n"/>
      <c r="N54" s="3" t="n"/>
      <c r="O54" s="3" t="n"/>
      <c r="P54" s="3" t="n"/>
      <c r="Q54" s="3" t="n"/>
      <c r="R54" s="3" t="n"/>
      <c r="S54" s="3" t="n"/>
      <c r="T54" s="3" t="n"/>
      <c r="U54" s="3" t="n"/>
      <c r="V54" s="3" t="n"/>
      <c r="W54" s="3" t="n"/>
      <c r="X54" s="3" t="n"/>
      <c r="Y54" s="3" t="n"/>
      <c r="Z54" s="3" t="n"/>
    </row>
    <row r="55" ht="25.5" customHeight="1">
      <c r="A55" s="3" t="n"/>
      <c r="B55" s="55" t="inlineStr">
        <is>
          <t>Cobranza Programada</t>
        </is>
      </c>
      <c r="C55" s="241" t="inlineStr">
        <is>
          <t>Pagos de capital e intereses programados para los próximos [n] meses. [Definir según contrato]</t>
        </is>
      </c>
      <c r="D55" s="222" t="n"/>
      <c r="E55" s="222" t="n"/>
      <c r="F55" s="222" t="n"/>
      <c r="G55" s="223" t="n"/>
      <c r="H55" s="3" t="n"/>
      <c r="I55" s="3" t="n"/>
      <c r="J55" s="3" t="n"/>
      <c r="K55" s="3" t="n"/>
      <c r="L55" s="3" t="n"/>
      <c r="M55" s="3" t="n"/>
      <c r="N55" s="3" t="n"/>
      <c r="O55" s="3" t="n"/>
      <c r="P55" s="3" t="n"/>
      <c r="Q55" s="3" t="n"/>
      <c r="R55" s="3" t="n"/>
      <c r="S55" s="3" t="n"/>
      <c r="T55" s="3" t="n"/>
      <c r="U55" s="3" t="n"/>
      <c r="V55" s="3" t="n"/>
      <c r="W55" s="3" t="n"/>
      <c r="X55" s="3" t="n"/>
      <c r="Y55" s="3" t="n"/>
      <c r="Z55" s="3" t="n"/>
    </row>
    <row r="56" ht="25.5" customHeight="1">
      <c r="A56" s="3" t="n"/>
      <c r="B56" s="55" t="inlineStr">
        <is>
          <t>Vencimientos de Deuda Programados</t>
        </is>
      </c>
      <c r="C56" s="242" t="inlineStr">
        <is>
          <t>Pagos de capital e intereses de pasivos exigibles en los próximos [n] meses.</t>
        </is>
      </c>
      <c r="D56" s="222" t="n"/>
      <c r="E56" s="222" t="n"/>
      <c r="F56" s="222" t="n"/>
      <c r="G56" s="223" t="n"/>
      <c r="H56" s="3" t="n"/>
      <c r="I56" s="3" t="n"/>
      <c r="J56" s="3" t="n"/>
      <c r="K56" s="3" t="n"/>
      <c r="L56" s="3" t="n"/>
      <c r="M56" s="3" t="n"/>
      <c r="N56" s="3" t="n"/>
      <c r="O56" s="3" t="n"/>
      <c r="P56" s="3" t="n"/>
      <c r="Q56" s="3" t="n"/>
      <c r="R56" s="3" t="n"/>
      <c r="S56" s="3" t="n"/>
      <c r="T56" s="3" t="n"/>
      <c r="U56" s="3" t="n"/>
      <c r="V56" s="3" t="n"/>
      <c r="W56" s="3" t="n"/>
      <c r="X56" s="3" t="n"/>
      <c r="Y56" s="3" t="n"/>
      <c r="Z56" s="3" t="n"/>
    </row>
    <row r="57" ht="25.5" customHeight="1">
      <c r="A57" s="3" t="n"/>
      <c r="B57" s="55" t="inlineStr">
        <is>
          <t>Valor Presente Neto</t>
        </is>
      </c>
      <c r="C57" s="241" t="inlineStr">
        <is>
          <t>Flujos futuros descontados a Tasa Interés / 12. Suma de (flujo ÷ (1+Tasa Mensual)^n).</t>
        </is>
      </c>
      <c r="D57" s="222" t="n"/>
      <c r="E57" s="222" t="n"/>
      <c r="F57" s="222" t="n"/>
      <c r="G57" s="223" t="n"/>
      <c r="H57" s="3" t="n"/>
      <c r="I57" s="3" t="n"/>
      <c r="J57" s="3" t="n"/>
      <c r="K57" s="3" t="n"/>
      <c r="L57" s="3" t="n"/>
      <c r="M57" s="3" t="n"/>
      <c r="N57" s="3" t="n"/>
      <c r="O57" s="3" t="n"/>
      <c r="P57" s="3" t="n"/>
      <c r="Q57" s="3" t="n"/>
      <c r="R57" s="3" t="n"/>
      <c r="S57" s="3" t="n"/>
      <c r="T57" s="3" t="n"/>
      <c r="U57" s="3" t="n"/>
      <c r="V57" s="3" t="n"/>
      <c r="W57" s="3" t="n"/>
      <c r="X57" s="3" t="n"/>
      <c r="Y57" s="3" t="n"/>
      <c r="Z57" s="3" t="n"/>
    </row>
    <row r="58" ht="25.5" customHeight="1">
      <c r="A58" s="3" t="n"/>
      <c r="B58" s="55" t="inlineStr">
        <is>
          <t>[Concepto adicional 1]</t>
        </is>
      </c>
      <c r="C58" s="242" t="inlineStr">
        <is>
          <t>[Definir según contrato]</t>
        </is>
      </c>
      <c r="D58" s="222" t="n"/>
      <c r="E58" s="222" t="n"/>
      <c r="F58" s="222" t="n"/>
      <c r="G58" s="223" t="n"/>
      <c r="H58" s="3" t="n"/>
      <c r="I58" s="3" t="n"/>
      <c r="J58" s="3" t="n"/>
      <c r="K58" s="3" t="n"/>
      <c r="L58" s="3" t="n"/>
      <c r="M58" s="3" t="n"/>
      <c r="N58" s="3" t="n"/>
      <c r="O58" s="3" t="n"/>
      <c r="P58" s="3" t="n"/>
      <c r="Q58" s="3" t="n"/>
      <c r="R58" s="3" t="n"/>
      <c r="S58" s="3" t="n"/>
      <c r="T58" s="3" t="n"/>
      <c r="U58" s="3" t="n"/>
      <c r="V58" s="3" t="n"/>
      <c r="W58" s="3" t="n"/>
      <c r="X58" s="3" t="n"/>
      <c r="Y58" s="3" t="n"/>
      <c r="Z58" s="3" t="n"/>
    </row>
    <row r="59" ht="25.5" customHeight="1">
      <c r="A59" s="3" t="n"/>
      <c r="B59" s="55" t="inlineStr">
        <is>
          <t>[Concepto adicional 2]</t>
        </is>
      </c>
      <c r="C59" s="241" t="inlineStr">
        <is>
          <t>[Definir según contrato]</t>
        </is>
      </c>
      <c r="D59" s="222" t="n"/>
      <c r="E59" s="222" t="n"/>
      <c r="F59" s="222" t="n"/>
      <c r="G59" s="223" t="n"/>
      <c r="H59" s="3" t="n"/>
      <c r="I59" s="3" t="n"/>
      <c r="J59" s="3" t="n"/>
      <c r="K59" s="3" t="n"/>
      <c r="L59" s="3" t="n"/>
      <c r="M59" s="3" t="n"/>
      <c r="N59" s="3" t="n"/>
      <c r="O59" s="3" t="n"/>
      <c r="P59" s="3" t="n"/>
      <c r="Q59" s="3" t="n"/>
      <c r="R59" s="3" t="n"/>
      <c r="S59" s="3" t="n"/>
      <c r="T59" s="3" t="n"/>
      <c r="U59" s="3" t="n"/>
      <c r="V59" s="3" t="n"/>
      <c r="W59" s="3" t="n"/>
      <c r="X59" s="3" t="n"/>
      <c r="Y59" s="3" t="n"/>
      <c r="Z59" s="3" t="n"/>
    </row>
    <row r="60" ht="25.5" customHeight="1">
      <c r="A60" s="3" t="n"/>
      <c r="B60" s="55" t="inlineStr">
        <is>
          <t>[Concepto adicional 3]</t>
        </is>
      </c>
      <c r="C60" s="242" t="inlineStr">
        <is>
          <t>[Definir según contrato]</t>
        </is>
      </c>
      <c r="D60" s="222" t="n"/>
      <c r="E60" s="222" t="n"/>
      <c r="F60" s="222" t="n"/>
      <c r="G60" s="22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3.5" customHeight="1">
      <c r="A62" s="3" t="n"/>
      <c r="B62" s="58" t="inlineStr">
        <is>
          <t xml:space="preserve">  E.  CALENDARIO DE DOCUMENTOS REQUERIDOS</t>
        </is>
      </c>
      <c r="C62" s="243" t="n"/>
      <c r="D62" s="243" t="n"/>
      <c r="E62" s="243" t="n"/>
      <c r="F62" s="243" t="n"/>
      <c r="G62" s="243" t="n"/>
      <c r="H62" s="3" t="n"/>
      <c r="I62" s="3" t="n"/>
      <c r="J62" s="3" t="n"/>
      <c r="K62" s="3" t="n"/>
      <c r="L62" s="3" t="n"/>
      <c r="M62" s="3" t="n"/>
      <c r="N62" s="3" t="n"/>
      <c r="O62" s="3" t="n"/>
      <c r="P62" s="3" t="n"/>
      <c r="Q62" s="3" t="n"/>
      <c r="R62" s="3" t="n"/>
      <c r="S62" s="3" t="n"/>
      <c r="T62" s="3" t="n"/>
      <c r="U62" s="3" t="n"/>
      <c r="V62" s="3" t="n"/>
      <c r="W62" s="3" t="n"/>
      <c r="X62" s="3" t="n"/>
      <c r="Y62" s="3" t="n"/>
      <c r="Z62" s="3" t="n"/>
    </row>
    <row r="63" ht="13.5" customHeight="1">
      <c r="A63" s="3" t="n"/>
      <c r="B63" s="60" t="inlineStr">
        <is>
          <t>Documento</t>
        </is>
      </c>
      <c r="C63" s="61" t="inlineStr">
        <is>
          <t>Frecuencia</t>
        </is>
      </c>
      <c r="D63" s="62" t="inlineStr">
        <is>
          <t>Día límite</t>
        </is>
      </c>
      <c r="E63" s="62" t="inlineStr">
        <is>
          <t>Notas</t>
        </is>
      </c>
      <c r="H63" s="3" t="n"/>
      <c r="I63" s="3" t="n"/>
      <c r="J63" s="3" t="n"/>
      <c r="K63" s="3" t="n"/>
      <c r="L63" s="3" t="n"/>
      <c r="M63" s="3" t="n"/>
      <c r="N63" s="3" t="n"/>
      <c r="O63" s="3" t="n"/>
      <c r="P63" s="3" t="n"/>
      <c r="Q63" s="3" t="n"/>
      <c r="R63" s="3" t="n"/>
      <c r="S63" s="3" t="n"/>
      <c r="T63" s="3" t="n"/>
      <c r="U63" s="3" t="n"/>
      <c r="V63" s="3" t="n"/>
      <c r="W63" s="3" t="n"/>
      <c r="X63" s="3" t="n"/>
      <c r="Y63" s="3" t="n"/>
      <c r="Z63" s="3" t="n"/>
    </row>
    <row r="64" ht="18" customHeight="1">
      <c r="A64" s="3" t="n"/>
      <c r="B64" s="55" t="inlineStr">
        <is>
          <t>Loan Tape</t>
        </is>
      </c>
      <c r="C64" s="63" t="inlineStr">
        <is>
          <t>Mensual</t>
        </is>
      </c>
      <c r="D64" s="63" t="inlineStr">
        <is>
          <t>Día 10</t>
        </is>
      </c>
      <c r="E64" s="241" t="inlineStr">
        <is>
          <t>Cálculo de IMOR, cartera, aforo</t>
        </is>
      </c>
      <c r="F64" s="222" t="n"/>
      <c r="G64" s="223" t="n"/>
      <c r="H64" s="3" t="n"/>
      <c r="I64" s="3" t="n"/>
      <c r="J64" s="3" t="n"/>
      <c r="K64" s="3" t="n"/>
      <c r="L64" s="3" t="n"/>
      <c r="M64" s="3" t="n"/>
      <c r="N64" s="3" t="n"/>
      <c r="O64" s="3" t="n"/>
      <c r="P64" s="3" t="n"/>
      <c r="Q64" s="3" t="n"/>
      <c r="R64" s="3" t="n"/>
      <c r="S64" s="3" t="n"/>
      <c r="T64" s="3" t="n"/>
      <c r="U64" s="3" t="n"/>
      <c r="V64" s="3" t="n"/>
      <c r="W64" s="3" t="n"/>
      <c r="X64" s="3" t="n"/>
      <c r="Y64" s="3" t="n"/>
      <c r="Z64" s="3" t="n"/>
    </row>
    <row r="65" ht="18" customHeight="1">
      <c r="A65" s="3" t="n"/>
      <c r="B65" s="55" t="inlineStr">
        <is>
          <t>Estados Financieros (BG + ER)</t>
        </is>
      </c>
      <c r="C65" s="64" t="inlineStr">
        <is>
          <t>Mensual</t>
        </is>
      </c>
      <c r="D65" s="64" t="inlineStr">
        <is>
          <t>Día 15</t>
        </is>
      </c>
      <c r="E65" s="244" t="n"/>
      <c r="F65" s="222" t="n"/>
      <c r="G65" s="223" t="n"/>
      <c r="H65" s="3" t="n"/>
      <c r="I65" s="3" t="n"/>
      <c r="J65" s="3" t="n"/>
      <c r="K65" s="3" t="n"/>
      <c r="L65" s="3" t="n"/>
      <c r="M65" s="3" t="n"/>
      <c r="N65" s="3" t="n"/>
      <c r="O65" s="3" t="n"/>
      <c r="P65" s="3" t="n"/>
      <c r="Q65" s="3" t="n"/>
      <c r="R65" s="3" t="n"/>
      <c r="S65" s="3" t="n"/>
      <c r="T65" s="3" t="n"/>
      <c r="U65" s="3" t="n"/>
      <c r="V65" s="3" t="n"/>
      <c r="W65" s="3" t="n"/>
      <c r="X65" s="3" t="n"/>
      <c r="Y65" s="3" t="n"/>
      <c r="Z65" s="3" t="n"/>
    </row>
    <row r="66" ht="18" customHeight="1">
      <c r="A66" s="3" t="n"/>
      <c r="B66" s="55" t="inlineStr">
        <is>
          <t>Certificado de cumplimiento</t>
        </is>
      </c>
      <c r="C66" s="63" t="inlineStr">
        <is>
          <t>Mensual</t>
        </is>
      </c>
      <c r="D66" s="63" t="inlineStr">
        <is>
          <t>15 días post-cierre</t>
        </is>
      </c>
      <c r="E66" s="241" t="inlineStr">
        <is>
          <t>Adjuntar pestaña Obligaciones</t>
        </is>
      </c>
      <c r="F66" s="222" t="n"/>
      <c r="G66" s="223" t="n"/>
      <c r="H66" s="3" t="n"/>
      <c r="I66" s="3" t="n"/>
      <c r="J66" s="3" t="n"/>
      <c r="K66" s="3" t="n"/>
      <c r="L66" s="3" t="n"/>
      <c r="M66" s="3" t="n"/>
      <c r="N66" s="3" t="n"/>
      <c r="O66" s="3" t="n"/>
      <c r="P66" s="3" t="n"/>
      <c r="Q66" s="3" t="n"/>
      <c r="R66" s="3" t="n"/>
      <c r="S66" s="3" t="n"/>
      <c r="T66" s="3" t="n"/>
      <c r="U66" s="3" t="n"/>
      <c r="V66" s="3" t="n"/>
      <c r="W66" s="3" t="n"/>
      <c r="X66" s="3" t="n"/>
      <c r="Y66" s="3" t="n"/>
      <c r="Z66" s="3" t="n"/>
    </row>
    <row r="67" ht="18" customHeight="1">
      <c r="A67" s="3" t="n"/>
      <c r="B67" s="55" t="inlineStr">
        <is>
          <t>Desglose de Pasivos</t>
        </is>
      </c>
      <c r="C67" s="64" t="inlineStr">
        <is>
          <t>Trimestral</t>
        </is>
      </c>
      <c r="D67" s="64" t="inlineStr">
        <is>
          <t>15 días post-cierre</t>
        </is>
      </c>
      <c r="E67" s="244" t="n"/>
      <c r="F67" s="222" t="n"/>
      <c r="G67" s="223" t="n"/>
      <c r="H67" s="3" t="n"/>
      <c r="I67" s="3" t="n"/>
      <c r="J67" s="3" t="n"/>
      <c r="K67" s="3" t="n"/>
      <c r="L67" s="3" t="n"/>
      <c r="M67" s="3" t="n"/>
      <c r="N67" s="3" t="n"/>
      <c r="O67" s="3" t="n"/>
      <c r="P67" s="3" t="n"/>
      <c r="Q67" s="3" t="n"/>
      <c r="R67" s="3" t="n"/>
      <c r="S67" s="3" t="n"/>
      <c r="T67" s="3" t="n"/>
      <c r="U67" s="3" t="n"/>
      <c r="V67" s="3" t="n"/>
      <c r="W67" s="3" t="n"/>
      <c r="X67" s="3" t="n"/>
      <c r="Y67" s="3" t="n"/>
      <c r="Z67" s="3" t="n"/>
    </row>
    <row r="68" ht="18" customHeight="1">
      <c r="A68" s="3" t="n"/>
      <c r="B68" s="55" t="inlineStr">
        <is>
          <t>Reporte de Buró de Crédito</t>
        </is>
      </c>
      <c r="C68" s="63" t="inlineStr">
        <is>
          <t>Mensual</t>
        </is>
      </c>
      <c r="D68" s="63" t="inlineStr">
        <is>
          <t>Día 5</t>
        </is>
      </c>
      <c r="E68" s="241" t="inlineStr">
        <is>
          <t>Verificar autorización vigente</t>
        </is>
      </c>
      <c r="F68" s="222" t="n"/>
      <c r="G68" s="223" t="n"/>
      <c r="H68" s="3" t="n"/>
      <c r="I68" s="3" t="n"/>
      <c r="J68" s="3" t="n"/>
      <c r="K68" s="3" t="n"/>
      <c r="L68" s="3" t="n"/>
      <c r="M68" s="3" t="n"/>
      <c r="N68" s="3" t="n"/>
      <c r="O68" s="3" t="n"/>
      <c r="P68" s="3" t="n"/>
      <c r="Q68" s="3" t="n"/>
      <c r="R68" s="3" t="n"/>
      <c r="S68" s="3" t="n"/>
      <c r="T68" s="3" t="n"/>
      <c r="U68" s="3" t="n"/>
      <c r="V68" s="3" t="n"/>
      <c r="W68" s="3" t="n"/>
      <c r="X68" s="3" t="n"/>
      <c r="Y68" s="3" t="n"/>
      <c r="Z68" s="3" t="n"/>
    </row>
    <row r="69" ht="18" customHeight="1">
      <c r="A69" s="3" t="n"/>
      <c r="B69" s="55" t="inlineStr">
        <is>
          <t>Reporte Syntage</t>
        </is>
      </c>
      <c r="C69" s="64" t="inlineStr">
        <is>
          <t>Mensual</t>
        </is>
      </c>
      <c r="D69" s="64" t="inlineStr">
        <is>
          <t>Día 5</t>
        </is>
      </c>
      <c r="E69" s="244" t="n"/>
      <c r="F69" s="222" t="n"/>
      <c r="G69" s="223" t="n"/>
      <c r="H69" s="3" t="n"/>
      <c r="I69" s="3" t="n"/>
      <c r="J69" s="3" t="n"/>
      <c r="K69" s="3" t="n"/>
      <c r="L69" s="3" t="n"/>
      <c r="M69" s="3" t="n"/>
      <c r="N69" s="3" t="n"/>
      <c r="O69" s="3" t="n"/>
      <c r="P69" s="3" t="n"/>
      <c r="Q69" s="3" t="n"/>
      <c r="R69" s="3" t="n"/>
      <c r="S69" s="3" t="n"/>
      <c r="T69" s="3" t="n"/>
      <c r="U69" s="3" t="n"/>
      <c r="V69" s="3" t="n"/>
      <c r="W69" s="3" t="n"/>
      <c r="X69" s="3" t="n"/>
      <c r="Y69" s="3" t="n"/>
      <c r="Z69" s="3" t="n"/>
    </row>
    <row r="70" ht="18" customHeight="1">
      <c r="A70" s="3" t="n"/>
      <c r="B70" s="55" t="inlineStr">
        <is>
          <t>Reporte mensual Fideicomiso</t>
        </is>
      </c>
      <c r="C70" s="63" t="inlineStr">
        <is>
          <t>Mensual</t>
        </is>
      </c>
      <c r="D70" s="63" t="inlineStr">
        <is>
          <t>Día 10</t>
        </is>
      </c>
      <c r="E70" s="241" t="inlineStr">
        <is>
          <t>Solo si aplica</t>
        </is>
      </c>
      <c r="F70" s="222" t="n"/>
      <c r="G70" s="223" t="n"/>
      <c r="H70" s="3" t="n"/>
      <c r="I70" s="3" t="n"/>
      <c r="J70" s="3" t="n"/>
      <c r="K70" s="3" t="n"/>
      <c r="L70" s="3" t="n"/>
      <c r="M70" s="3" t="n"/>
      <c r="N70" s="3" t="n"/>
      <c r="O70" s="3" t="n"/>
      <c r="P70" s="3" t="n"/>
      <c r="Q70" s="3" t="n"/>
      <c r="R70" s="3" t="n"/>
      <c r="S70" s="3" t="n"/>
      <c r="T70" s="3" t="n"/>
      <c r="U70" s="3" t="n"/>
      <c r="V70" s="3" t="n"/>
      <c r="W70" s="3" t="n"/>
      <c r="X70" s="3" t="n"/>
      <c r="Y70" s="3" t="n"/>
      <c r="Z70" s="3" t="n"/>
    </row>
    <row r="71" ht="18" customHeight="1">
      <c r="A71" s="3" t="n"/>
      <c r="B71" s="55" t="inlineStr">
        <is>
          <t>Declaraciones fiscales anuales</t>
        </is>
      </c>
      <c r="C71" s="64" t="inlineStr">
        <is>
          <t>Anual</t>
        </is>
      </c>
      <c r="D71" s="64" t="inlineStr">
        <is>
          <t>30 días post-presentación</t>
        </is>
      </c>
      <c r="E71" s="244" t="n"/>
      <c r="F71" s="222" t="n"/>
      <c r="G71" s="223" t="n"/>
      <c r="H71" s="3" t="n"/>
      <c r="I71" s="3" t="n"/>
      <c r="J71" s="3" t="n"/>
      <c r="K71" s="3" t="n"/>
      <c r="L71" s="3" t="n"/>
      <c r="M71" s="3" t="n"/>
      <c r="N71" s="3" t="n"/>
      <c r="O71" s="3" t="n"/>
      <c r="P71" s="3" t="n"/>
      <c r="Q71" s="3" t="n"/>
      <c r="R71" s="3" t="n"/>
      <c r="S71" s="3" t="n"/>
      <c r="T71" s="3" t="n"/>
      <c r="U71" s="3" t="n"/>
      <c r="V71" s="3" t="n"/>
      <c r="W71" s="3" t="n"/>
      <c r="X71" s="3" t="n"/>
      <c r="Y71" s="3" t="n"/>
      <c r="Z71" s="3" t="n"/>
    </row>
    <row r="72" ht="18" customHeight="1">
      <c r="A72" s="3" t="n"/>
      <c r="B72" s="55" t="inlineStr">
        <is>
          <t>[Documento adicional]</t>
        </is>
      </c>
      <c r="C72" s="63" t="n"/>
      <c r="D72" s="63" t="n"/>
      <c r="E72" s="241" t="n"/>
      <c r="F72" s="222" t="n"/>
      <c r="G72" s="223" t="n"/>
      <c r="H72" s="3" t="n"/>
      <c r="I72" s="3" t="n"/>
      <c r="J72" s="3" t="n"/>
      <c r="K72" s="3" t="n"/>
      <c r="L72" s="3" t="n"/>
      <c r="M72" s="3" t="n"/>
      <c r="N72" s="3" t="n"/>
      <c r="O72" s="3" t="n"/>
      <c r="P72" s="3" t="n"/>
      <c r="Q72" s="3" t="n"/>
      <c r="R72" s="3" t="n"/>
      <c r="S72" s="3" t="n"/>
      <c r="T72" s="3" t="n"/>
      <c r="U72" s="3" t="n"/>
      <c r="V72" s="3" t="n"/>
      <c r="W72" s="3" t="n"/>
      <c r="X72" s="3" t="n"/>
      <c r="Y72" s="3" t="n"/>
      <c r="Z72" s="3" t="n"/>
    </row>
    <row r="73" ht="18" customHeight="1">
      <c r="A73" s="3" t="n"/>
      <c r="B73" s="66" t="n"/>
      <c r="C73" s="67" t="n"/>
      <c r="D73" s="67" t="n"/>
      <c r="E73" s="67" t="n"/>
      <c r="F73" s="3" t="n"/>
      <c r="G73" s="68" t="n"/>
      <c r="H73" s="3" t="n"/>
      <c r="I73" s="3" t="n"/>
      <c r="J73" s="3" t="n"/>
      <c r="K73" s="3" t="n"/>
      <c r="L73" s="3" t="n"/>
      <c r="M73" s="3" t="n"/>
      <c r="N73" s="3" t="n"/>
      <c r="O73" s="3" t="n"/>
      <c r="P73" s="3" t="n"/>
      <c r="Q73" s="3" t="n"/>
      <c r="R73" s="3" t="n"/>
      <c r="S73" s="3" t="n"/>
      <c r="T73" s="3" t="n"/>
      <c r="U73" s="3" t="n"/>
      <c r="V73" s="3" t="n"/>
      <c r="W73" s="3" t="n"/>
      <c r="X73" s="3" t="n"/>
      <c r="Y73" s="3" t="n"/>
      <c r="Z73" s="3" t="n"/>
    </row>
    <row r="74" ht="3.75" customHeight="1">
      <c r="A74" s="69" t="n"/>
      <c r="I74" s="3" t="n"/>
      <c r="J74" s="3" t="n"/>
      <c r="K74" s="3" t="n"/>
      <c r="L74" s="3" t="n"/>
      <c r="M74" s="3" t="n"/>
      <c r="N74" s="3" t="n"/>
      <c r="O74" s="3" t="n"/>
      <c r="P74" s="3" t="n"/>
      <c r="Q74" s="3" t="n"/>
      <c r="R74" s="3" t="n"/>
      <c r="S74" s="3" t="n"/>
      <c r="T74" s="3" t="n"/>
      <c r="U74" s="3" t="n"/>
      <c r="V74" s="3" t="n"/>
      <c r="W74" s="3" t="n"/>
      <c r="X74" s="3" t="n"/>
      <c r="Y74" s="3" t="n"/>
      <c r="Z74" s="3" t="n"/>
    </row>
    <row r="75" ht="15.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50">
    <mergeCell ref="E63:G63"/>
    <mergeCell ref="E10:G10"/>
    <mergeCell ref="C49:G49"/>
    <mergeCell ref="E13:G13"/>
    <mergeCell ref="D41:F41"/>
    <mergeCell ref="C58:G58"/>
    <mergeCell ref="E69:G69"/>
    <mergeCell ref="E65:G65"/>
    <mergeCell ref="E9:G9"/>
    <mergeCell ref="A1:H1"/>
    <mergeCell ref="B5:H5"/>
    <mergeCell ref="E15:G15"/>
    <mergeCell ref="B27:F27"/>
    <mergeCell ref="B18:F18"/>
    <mergeCell ref="D43:F43"/>
    <mergeCell ref="E11:G11"/>
    <mergeCell ref="C47:G47"/>
    <mergeCell ref="B4:H4"/>
    <mergeCell ref="C54:G54"/>
    <mergeCell ref="C50:G50"/>
    <mergeCell ref="E70:G70"/>
    <mergeCell ref="C55:G55"/>
    <mergeCell ref="B17:F17"/>
    <mergeCell ref="A74:H74"/>
    <mergeCell ref="C56:G56"/>
    <mergeCell ref="D42:F42"/>
    <mergeCell ref="C59:G59"/>
    <mergeCell ref="E72:G72"/>
    <mergeCell ref="E66:G66"/>
    <mergeCell ref="C46:G46"/>
    <mergeCell ref="B45:G45"/>
    <mergeCell ref="C60:G60"/>
    <mergeCell ref="C51:G51"/>
    <mergeCell ref="B37:F37"/>
    <mergeCell ref="E12:G12"/>
    <mergeCell ref="C52:G52"/>
    <mergeCell ref="B62:G62"/>
    <mergeCell ref="E68:G68"/>
    <mergeCell ref="B7:G7"/>
    <mergeCell ref="C48:G48"/>
    <mergeCell ref="E71:G71"/>
    <mergeCell ref="E14:G14"/>
    <mergeCell ref="E67:G67"/>
    <mergeCell ref="B20:F20"/>
    <mergeCell ref="E8:G8"/>
    <mergeCell ref="D40:F40"/>
    <mergeCell ref="C57:G57"/>
    <mergeCell ref="C53:G53"/>
    <mergeCell ref="E64:G64"/>
    <mergeCell ref="B39:G39"/>
  </mergeCells>
  <pageMargins left="0.75" right="0.75" top="1" bottom="1" header="0" footer="0"/>
  <pageSetup orientation="portrait" scale="100" fitToHeight="1" fitToWidth="1" firstPageNumber="1" useFirstPageNumber="1" horizontalDpi="4294967295" verticalDpi="4294967295" copies="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showGridLines="0" zoomScale="100" zoomScaleNormal="100" workbookViewId="0">
      <selection activeCell="C31" sqref="C31"/>
    </sheetView>
  </sheetViews>
  <sheetFormatPr baseColWidth="8" defaultColWidth="12.6640625" defaultRowHeight="15" outlineLevelRow="0" outlineLevelCol="0"/>
  <cols>
    <col width="2" customWidth="1" min="1" max="1"/>
    <col width="5" customWidth="1" min="2" max="2"/>
    <col width="109" customWidth="1" min="3" max="3"/>
    <col width="22" customWidth="1" min="4" max="4"/>
    <col width="2" customWidth="1" min="5" max="5"/>
    <col width="8.83203125" customWidth="1" min="6" max="26"/>
  </cols>
  <sheetData>
    <row r="1" ht="4.5" customHeight="1">
      <c r="A1" s="70" t="n"/>
      <c r="F1" s="71" t="n"/>
      <c r="G1" s="71" t="n"/>
      <c r="H1" s="71" t="n"/>
      <c r="I1" s="71" t="n"/>
      <c r="J1" s="71" t="n"/>
      <c r="K1" s="71" t="n"/>
      <c r="L1" s="71" t="n"/>
      <c r="M1" s="71" t="n"/>
      <c r="N1" s="71" t="n"/>
      <c r="O1" s="71" t="n"/>
      <c r="P1" s="71" t="n"/>
      <c r="Q1" s="71" t="n"/>
      <c r="R1" s="71" t="n"/>
      <c r="S1" s="71" t="n"/>
      <c r="T1" s="71" t="n"/>
      <c r="U1" s="71" t="n"/>
      <c r="V1" s="71" t="n"/>
      <c r="W1" s="71" t="n"/>
      <c r="X1" s="71" t="n"/>
      <c r="Y1" s="71" t="n"/>
      <c r="Z1" s="71" t="n"/>
    </row>
    <row r="2" ht="24" customHeight="1">
      <c r="A2" s="71" t="n"/>
      <c r="B2" s="71" t="n"/>
      <c r="C2" s="71" t="n"/>
      <c r="D2" s="71" t="n"/>
      <c r="E2" s="71" t="n"/>
      <c r="F2" s="71" t="n"/>
      <c r="G2" s="71" t="n"/>
      <c r="H2" s="71" t="n"/>
      <c r="I2" s="71" t="n"/>
      <c r="J2" s="71" t="n"/>
      <c r="K2" s="71" t="n"/>
      <c r="L2" s="71" t="n"/>
      <c r="M2" s="71" t="n"/>
      <c r="N2" s="71" t="n"/>
      <c r="O2" s="71" t="n"/>
      <c r="P2" s="71" t="n"/>
      <c r="Q2" s="71" t="n"/>
      <c r="R2" s="71" t="n"/>
      <c r="S2" s="71" t="n"/>
      <c r="T2" s="71" t="n"/>
      <c r="U2" s="71" t="n"/>
      <c r="V2" s="71" t="n"/>
      <c r="W2" s="71" t="n"/>
      <c r="X2" s="71" t="n"/>
      <c r="Y2" s="71" t="n"/>
      <c r="Z2" s="71" t="n"/>
    </row>
    <row r="3" ht="4.5" customHeight="1">
      <c r="A3" s="71" t="n"/>
      <c r="B3" s="71" t="n"/>
      <c r="C3" s="71" t="n"/>
      <c r="D3" s="71" t="n"/>
      <c r="E3" s="71" t="n"/>
      <c r="F3" s="71" t="n"/>
      <c r="G3" s="71" t="n"/>
      <c r="H3" s="71" t="n"/>
      <c r="I3" s="71" t="n"/>
      <c r="J3" s="71" t="n"/>
      <c r="K3" s="71" t="n"/>
      <c r="L3" s="71" t="n"/>
      <c r="M3" s="71" t="n"/>
      <c r="N3" s="71" t="n"/>
      <c r="O3" s="71" t="n"/>
      <c r="P3" s="71" t="n"/>
      <c r="Q3" s="71" t="n"/>
      <c r="R3" s="71" t="n"/>
      <c r="S3" s="71" t="n"/>
      <c r="T3" s="71" t="n"/>
      <c r="U3" s="71" t="n"/>
      <c r="V3" s="71" t="n"/>
      <c r="W3" s="71" t="n"/>
      <c r="X3" s="71" t="n"/>
      <c r="Y3" s="71" t="n"/>
      <c r="Z3" s="71" t="n"/>
    </row>
    <row r="4" ht="21.75" customHeight="1">
      <c r="A4" s="71" t="n"/>
      <c r="B4" s="245" t="inlineStr">
        <is>
          <t>OBLIGACIONES DE HACER Y NO HACER</t>
        </is>
      </c>
      <c r="C4" s="222" t="n"/>
      <c r="D4" s="222" t="n"/>
      <c r="E4" s="223" t="n"/>
      <c r="F4" s="71" t="n"/>
      <c r="G4" s="71" t="n"/>
      <c r="H4" s="71" t="n"/>
      <c r="I4" s="71" t="n"/>
      <c r="J4" s="71" t="n"/>
      <c r="K4" s="71" t="n"/>
      <c r="L4" s="71" t="n"/>
      <c r="M4" s="71" t="n"/>
      <c r="N4" s="71" t="n"/>
      <c r="O4" s="71" t="n"/>
      <c r="P4" s="71" t="n"/>
      <c r="Q4" s="71" t="n"/>
      <c r="R4" s="71" t="n"/>
      <c r="S4" s="71" t="n"/>
      <c r="T4" s="71" t="n"/>
      <c r="U4" s="71" t="n"/>
      <c r="V4" s="71" t="n"/>
      <c r="W4" s="71" t="n"/>
      <c r="X4" s="71" t="n"/>
      <c r="Y4" s="71" t="n"/>
      <c r="Z4" s="71" t="n"/>
    </row>
    <row r="5" ht="13.5" customHeight="1">
      <c r="A5" s="71" t="n"/>
      <c r="B5" s="246" t="inlineStr">
        <is>
          <t>Documento informativo · Adjuntar al correo de solicitud del certificado de cumplimiento trimestral</t>
        </is>
      </c>
      <c r="C5" s="222" t="n"/>
      <c r="D5" s="222" t="n"/>
      <c r="E5" s="223" t="n"/>
      <c r="F5" s="71" t="n"/>
      <c r="G5" s="71" t="n"/>
      <c r="H5" s="71" t="n"/>
      <c r="I5" s="71" t="n"/>
      <c r="J5" s="71" t="n"/>
      <c r="K5" s="71" t="n"/>
      <c r="L5" s="71" t="n"/>
      <c r="M5" s="71" t="n"/>
      <c r="N5" s="71" t="n"/>
      <c r="O5" s="71" t="n"/>
      <c r="P5" s="71" t="n"/>
      <c r="Q5" s="71" t="n"/>
      <c r="R5" s="71" t="n"/>
      <c r="S5" s="71" t="n"/>
      <c r="T5" s="71" t="n"/>
      <c r="U5" s="71" t="n"/>
      <c r="V5" s="71" t="n"/>
      <c r="W5" s="71" t="n"/>
      <c r="X5" s="71" t="n"/>
      <c r="Y5" s="71" t="n"/>
      <c r="Z5" s="71" t="n"/>
    </row>
    <row r="6" ht="7.5" customHeight="1">
      <c r="A6" s="71" t="n"/>
      <c r="B6" s="71" t="n"/>
      <c r="C6" s="71" t="n"/>
      <c r="D6" s="71" t="n"/>
      <c r="E6" s="71" t="n"/>
      <c r="F6" s="71" t="n"/>
      <c r="G6" s="71" t="n"/>
      <c r="H6" s="71" t="n"/>
      <c r="I6" s="71" t="n"/>
      <c r="J6" s="71" t="n"/>
      <c r="K6" s="71" t="n"/>
      <c r="L6" s="71" t="n"/>
      <c r="M6" s="71" t="n"/>
      <c r="N6" s="71" t="n"/>
      <c r="O6" s="71" t="n"/>
      <c r="P6" s="71" t="n"/>
      <c r="Q6" s="71" t="n"/>
      <c r="R6" s="71" t="n"/>
      <c r="S6" s="71" t="n"/>
      <c r="T6" s="71" t="n"/>
      <c r="U6" s="71" t="n"/>
      <c r="V6" s="71" t="n"/>
      <c r="W6" s="71" t="n"/>
      <c r="X6" s="71" t="n"/>
      <c r="Y6" s="71" t="n"/>
      <c r="Z6" s="71" t="n"/>
    </row>
    <row r="7" ht="19.5" customHeight="1">
      <c r="A7" s="71" t="n"/>
      <c r="B7" s="247" t="inlineStr">
        <is>
          <t>Este documento  es un resumen ejecutivo sobre las obligaciones contractuales. Las obligaciones completas, sus definiciones y consecuencias de incumplimiento constan en el Contrato de Crédito respectivo.</t>
        </is>
      </c>
      <c r="C7" s="229" t="n"/>
      <c r="D7" s="230" t="n"/>
      <c r="E7" s="71" t="n"/>
      <c r="F7" s="71" t="n"/>
      <c r="G7" s="71" t="n"/>
      <c r="H7" s="75" t="n"/>
      <c r="I7" s="71" t="n"/>
      <c r="J7" s="71" t="n"/>
      <c r="K7" s="71" t="n"/>
      <c r="L7" s="71" t="n"/>
      <c r="M7" s="71" t="n"/>
      <c r="N7" s="71" t="n"/>
      <c r="O7" s="71" t="n"/>
      <c r="P7" s="71" t="n"/>
      <c r="Q7" s="71" t="n"/>
      <c r="R7" s="71" t="n"/>
      <c r="S7" s="71" t="n"/>
      <c r="T7" s="71" t="n"/>
      <c r="U7" s="71" t="n"/>
      <c r="V7" s="71" t="n"/>
      <c r="W7" s="71" t="n"/>
      <c r="X7" s="71" t="n"/>
      <c r="Y7" s="71" t="n"/>
      <c r="Z7" s="71" t="n"/>
    </row>
    <row r="8" ht="7.5" customHeight="1">
      <c r="A8" s="71" t="n"/>
      <c r="B8" s="71" t="n"/>
      <c r="C8" s="71" t="n"/>
      <c r="D8" s="71" t="n"/>
      <c r="E8" s="71" t="n"/>
      <c r="F8" s="71" t="n"/>
      <c r="G8" s="71" t="n"/>
      <c r="H8" s="76" t="n"/>
      <c r="I8" s="71" t="n"/>
      <c r="J8" s="71" t="n"/>
      <c r="K8" s="71" t="n"/>
      <c r="L8" s="71" t="n"/>
      <c r="M8" s="71" t="n"/>
      <c r="N8" s="71" t="n"/>
      <c r="O8" s="71" t="n"/>
      <c r="P8" s="71" t="n"/>
      <c r="Q8" s="71" t="n"/>
      <c r="R8" s="71" t="n"/>
      <c r="S8" s="71" t="n"/>
      <c r="T8" s="71" t="n"/>
      <c r="U8" s="71" t="n"/>
      <c r="V8" s="71" t="n"/>
      <c r="W8" s="71" t="n"/>
      <c r="X8" s="71" t="n"/>
      <c r="Y8" s="71" t="n"/>
      <c r="Z8" s="71" t="n"/>
    </row>
    <row r="9" ht="13.5" customHeight="1">
      <c r="A9" s="71" t="n"/>
      <c r="B9" s="248" t="inlineStr">
        <is>
          <t xml:space="preserve">  I.  OBLIGACIONES DE HACER</t>
        </is>
      </c>
      <c r="C9" s="249" t="n"/>
      <c r="D9" s="250" t="n"/>
      <c r="E9" s="71" t="n"/>
      <c r="F9" s="71" t="n"/>
      <c r="G9" s="71" t="n"/>
      <c r="H9" s="75" t="n"/>
      <c r="I9" s="71" t="n"/>
      <c r="J9" s="71" t="n"/>
      <c r="K9" s="71" t="n"/>
      <c r="L9" s="71" t="n"/>
      <c r="M9" s="71" t="n"/>
      <c r="N9" s="71" t="n"/>
      <c r="O9" s="71" t="n"/>
      <c r="P9" s="71" t="n"/>
      <c r="Q9" s="71" t="n"/>
      <c r="R9" s="71" t="n"/>
      <c r="S9" s="71" t="n"/>
      <c r="T9" s="71" t="n"/>
      <c r="U9" s="71" t="n"/>
      <c r="V9" s="71" t="n"/>
      <c r="W9" s="71" t="n"/>
      <c r="X9" s="71" t="n"/>
      <c r="Y9" s="71" t="n"/>
      <c r="Z9" s="71" t="n"/>
    </row>
    <row r="10" ht="13.5" customHeight="1">
      <c r="A10" s="71" t="n"/>
      <c r="B10" s="26" t="inlineStr">
        <is>
          <t>#</t>
        </is>
      </c>
      <c r="C10" s="26" t="inlineStr">
        <is>
          <t>Obligación</t>
        </is>
      </c>
      <c r="D10" s="26" t="inlineStr">
        <is>
          <t>Frecuencia / Plazo</t>
        </is>
      </c>
      <c r="E10" s="71" t="n"/>
      <c r="F10" s="71" t="n"/>
      <c r="G10" s="71" t="n"/>
      <c r="H10" s="80" t="n"/>
      <c r="I10" s="71" t="n"/>
      <c r="J10" s="71" t="n"/>
      <c r="K10" s="71" t="n"/>
      <c r="L10" s="71" t="n"/>
      <c r="M10" s="71" t="n"/>
      <c r="N10" s="71" t="n"/>
      <c r="O10" s="71" t="n"/>
      <c r="P10" s="71" t="n"/>
      <c r="Q10" s="71" t="n"/>
      <c r="R10" s="71" t="n"/>
      <c r="S10" s="71" t="n"/>
      <c r="T10" s="71" t="n"/>
      <c r="U10" s="71" t="n"/>
      <c r="V10" s="71" t="n"/>
      <c r="W10" s="71" t="n"/>
      <c r="X10" s="71" t="n"/>
      <c r="Y10" s="71" t="n"/>
      <c r="Z10" s="71" t="n"/>
    </row>
    <row r="11" ht="19.5" customHeight="1">
      <c r="A11" s="71" t="n"/>
      <c r="B11" s="81" t="inlineStr">
        <is>
          <t>1</t>
        </is>
      </c>
      <c r="C11" s="82" t="inlineStr">
        <is>
          <t>Entregar balances y estados de resultados internos mensuales dentro de los 15 días posteriores al cierre de cada mes.</t>
        </is>
      </c>
      <c r="D11" s="35" t="inlineStr">
        <is>
          <t>Mensual — día 15</t>
        </is>
      </c>
      <c r="E11" s="71" t="n"/>
      <c r="F11" s="71" t="n"/>
      <c r="G11" s="71" t="n"/>
      <c r="I11" s="71" t="n"/>
      <c r="J11" s="71" t="n"/>
      <c r="K11" s="71" t="n"/>
      <c r="L11" s="71" t="n"/>
      <c r="M11" s="71" t="n"/>
      <c r="N11" s="71" t="n"/>
      <c r="O11" s="71" t="n"/>
      <c r="P11" s="71" t="n"/>
      <c r="Q11" s="71" t="n"/>
      <c r="R11" s="71" t="n"/>
      <c r="S11" s="71" t="n"/>
      <c r="T11" s="71" t="n"/>
      <c r="U11" s="71" t="n"/>
      <c r="V11" s="71" t="n"/>
      <c r="W11" s="71" t="n"/>
      <c r="X11" s="71" t="n"/>
      <c r="Y11" s="71" t="n"/>
      <c r="Z11" s="71" t="n"/>
    </row>
    <row r="12" ht="19.5" customHeight="1">
      <c r="A12" s="71" t="n"/>
      <c r="B12" s="81" t="inlineStr">
        <is>
          <t>2</t>
        </is>
      </c>
      <c r="C12" s="83" t="inlineStr">
        <is>
          <t>Proporcionar estados financieros auditados por un contador independiente dentro de los 120 días siguientes al cierre del ejercicio fiscal.</t>
        </is>
      </c>
      <c r="D12" s="33" t="inlineStr">
        <is>
          <t>Anual — Hasta 120 días</t>
        </is>
      </c>
      <c r="E12" s="71" t="n"/>
      <c r="F12" s="71" t="n"/>
      <c r="G12" s="71" t="n"/>
      <c r="H12" s="80" t="n"/>
      <c r="I12" s="71" t="n"/>
      <c r="J12" s="71" t="n"/>
      <c r="K12" s="71" t="n"/>
      <c r="L12" s="71" t="n"/>
      <c r="M12" s="71" t="n"/>
      <c r="N12" s="71" t="n"/>
      <c r="O12" s="71" t="n"/>
      <c r="P12" s="71" t="n"/>
      <c r="Q12" s="71" t="n"/>
      <c r="R12" s="71" t="n"/>
      <c r="S12" s="71" t="n"/>
      <c r="T12" s="71" t="n"/>
      <c r="U12" s="71" t="n"/>
      <c r="V12" s="71" t="n"/>
      <c r="W12" s="71" t="n"/>
      <c r="X12" s="71" t="n"/>
      <c r="Y12" s="71" t="n"/>
      <c r="Z12" s="71" t="n"/>
    </row>
    <row r="13" ht="19.5" customHeight="1">
      <c r="A13" s="71" t="n"/>
      <c r="B13" s="81" t="inlineStr">
        <is>
          <t>3</t>
        </is>
      </c>
      <c r="C13" s="82" t="inlineStr">
        <is>
          <t>Entregar, junto con la información financiera, un certificado que acredite el cumplimiento de las obligaciones financieras y la inexistencia de incumplimientos.</t>
        </is>
      </c>
      <c r="D13" s="35" t="inlineStr">
        <is>
          <t>Mensual — día 15</t>
        </is>
      </c>
      <c r="E13" s="71" t="n"/>
      <c r="F13" s="71" t="n"/>
      <c r="G13" s="71" t="n"/>
      <c r="I13" s="71" t="n"/>
      <c r="J13" s="71" t="n"/>
      <c r="K13" s="71" t="n"/>
      <c r="L13" s="71" t="n"/>
      <c r="M13" s="71" t="n"/>
      <c r="N13" s="71" t="n"/>
      <c r="O13" s="71" t="n"/>
      <c r="P13" s="71" t="n"/>
      <c r="Q13" s="71" t="n"/>
      <c r="R13" s="71" t="n"/>
      <c r="S13" s="71" t="n"/>
      <c r="T13" s="71" t="n"/>
      <c r="U13" s="71" t="n"/>
      <c r="V13" s="71" t="n"/>
      <c r="W13" s="71" t="n"/>
      <c r="X13" s="71" t="n"/>
      <c r="Y13" s="71" t="n"/>
      <c r="Z13" s="71" t="n"/>
    </row>
    <row r="14" ht="31.5" customHeight="1">
      <c r="A14" s="71" t="n"/>
      <c r="B14" s="81" t="inlineStr">
        <is>
          <t>4</t>
        </is>
      </c>
      <c r="C14" s="83" t="inlineStr">
        <is>
          <t>Mantener una conexión en tiempo real entre sus sistemas contables y de cobranza con el Agente Administrativo y el Administrador Maestro. Que permitan al agente administrativo el acceso en todo momento a la información relacionada con los Derecho de Cobro Transmitidos</t>
        </is>
      </c>
      <c r="D14" s="33" t="inlineStr">
        <is>
          <t>Continua</t>
        </is>
      </c>
      <c r="E14" s="71" t="n"/>
      <c r="F14" s="71" t="n"/>
      <c r="G14" s="71" t="n"/>
      <c r="H14" s="80" t="n"/>
      <c r="I14" s="71" t="n"/>
      <c r="J14" s="71" t="n"/>
      <c r="K14" s="71" t="n"/>
      <c r="L14" s="71" t="n"/>
      <c r="M14" s="71" t="n"/>
      <c r="N14" s="71" t="n"/>
      <c r="O14" s="71" t="n"/>
      <c r="P14" s="71" t="n"/>
      <c r="Q14" s="71" t="n"/>
      <c r="R14" s="71" t="n"/>
      <c r="S14" s="71" t="n"/>
      <c r="T14" s="71" t="n"/>
      <c r="U14" s="71" t="n"/>
      <c r="V14" s="71" t="n"/>
      <c r="W14" s="71" t="n"/>
      <c r="X14" s="71" t="n"/>
      <c r="Y14" s="71" t="n"/>
      <c r="Z14" s="71" t="n"/>
    </row>
    <row r="15" ht="19.5" customHeight="1">
      <c r="A15" s="71" t="n"/>
      <c r="B15" s="81" t="inlineStr">
        <is>
          <t>5</t>
        </is>
      </c>
      <c r="C15" s="82" t="inlineStr">
        <is>
          <t>Informar al Agente Administrativo sobre cualquier "Efecto Adverso de Importancia" o incumplimiento en un plazo máximo de 5 días hábiles.</t>
        </is>
      </c>
      <c r="D15" s="35" t="inlineStr">
        <is>
          <t>Inmediato al evento</t>
        </is>
      </c>
      <c r="E15" s="71" t="n"/>
      <c r="F15" s="71" t="n"/>
      <c r="G15" s="71" t="n"/>
      <c r="I15" s="71" t="n"/>
      <c r="J15" s="71" t="n"/>
      <c r="K15" s="71" t="n"/>
      <c r="L15" s="71" t="n"/>
      <c r="M15" s="71" t="n"/>
      <c r="N15" s="71" t="n"/>
      <c r="O15" s="71" t="n"/>
      <c r="P15" s="71" t="n"/>
      <c r="Q15" s="71" t="n"/>
      <c r="R15" s="71" t="n"/>
      <c r="S15" s="71" t="n"/>
      <c r="T15" s="71" t="n"/>
      <c r="U15" s="71" t="n"/>
      <c r="V15" s="71" t="n"/>
      <c r="W15" s="71" t="n"/>
      <c r="X15" s="71" t="n"/>
      <c r="Y15" s="71" t="n"/>
      <c r="Z15" s="71" t="n"/>
    </row>
    <row r="16" ht="19.5" customHeight="1">
      <c r="A16" s="71" t="n"/>
      <c r="B16" s="81" t="inlineStr">
        <is>
          <t>6</t>
        </is>
      </c>
      <c r="C16" s="83" t="inlineStr">
        <is>
          <t>Notificar sobre litigios cuya cuantía exceda los $5,000,000.00 MXN o multas impuestas por autoridades que superen dicho umbral.</t>
        </is>
      </c>
      <c r="D16" s="33" t="inlineStr">
        <is>
          <t>Inmediato al evento</t>
        </is>
      </c>
      <c r="E16" s="71" t="n"/>
      <c r="F16" s="71" t="n"/>
      <c r="G16" s="71" t="n"/>
      <c r="H16" s="80" t="n"/>
      <c r="I16" s="71" t="n"/>
      <c r="J16" s="71" t="n"/>
      <c r="K16" s="71" t="n"/>
      <c r="L16" s="71" t="n"/>
      <c r="M16" s="71" t="n"/>
      <c r="N16" s="71" t="n"/>
      <c r="O16" s="71" t="n"/>
      <c r="P16" s="71" t="n"/>
      <c r="Q16" s="71" t="n"/>
      <c r="R16" s="71" t="n"/>
      <c r="S16" s="71" t="n"/>
      <c r="T16" s="71" t="n"/>
      <c r="U16" s="71" t="n"/>
      <c r="V16" s="71" t="n"/>
      <c r="W16" s="71" t="n"/>
      <c r="X16" s="71" t="n"/>
      <c r="Y16" s="71" t="n"/>
      <c r="Z16" s="71" t="n"/>
    </row>
    <row r="17" ht="19.5" customHeight="1">
      <c r="A17" s="71" t="n"/>
      <c r="B17" s="81" t="inlineStr">
        <is>
          <t>7</t>
        </is>
      </c>
      <c r="C17" s="82" t="inlineStr">
        <is>
          <t>Observar todas las leyes aplicables (especialmente LRITF, LTOSF y LPDUSF), así como presentar y pagar impuestos de manera oportuna.</t>
        </is>
      </c>
      <c r="D17" s="35" t="inlineStr">
        <is>
          <t>Continua</t>
        </is>
      </c>
      <c r="E17" s="71" t="n"/>
      <c r="F17" s="71" t="n"/>
      <c r="G17" s="71" t="n"/>
      <c r="I17" s="71" t="n"/>
      <c r="J17" s="71" t="n"/>
      <c r="K17" s="71" t="n"/>
      <c r="L17" s="71" t="n"/>
      <c r="M17" s="71" t="n"/>
      <c r="N17" s="71" t="n"/>
      <c r="O17" s="71" t="n"/>
      <c r="P17" s="71" t="n"/>
      <c r="Q17" s="71" t="n"/>
      <c r="R17" s="71" t="n"/>
      <c r="S17" s="71" t="n"/>
      <c r="T17" s="71" t="n"/>
      <c r="U17" s="71" t="n"/>
      <c r="V17" s="71" t="n"/>
      <c r="W17" s="71" t="n"/>
      <c r="X17" s="71" t="n"/>
      <c r="Y17" s="71" t="n"/>
      <c r="Z17" s="71" t="n"/>
    </row>
    <row r="18" ht="19.5" customHeight="1">
      <c r="A18" s="71" t="n"/>
      <c r="B18" s="81" t="inlineStr">
        <is>
          <t>8</t>
        </is>
      </c>
      <c r="C18" s="83" t="inlineStr">
        <is>
          <t>Realizar todos los actos necesarios para transmitir los Derechos de Cobro al Patrimonio del Fideicomiso y mantener vigente el Contrato de Factoraje.</t>
        </is>
      </c>
      <c r="D18" s="33" t="inlineStr">
        <is>
          <t>Continua</t>
        </is>
      </c>
      <c r="E18" s="71" t="n"/>
      <c r="F18" s="71" t="n"/>
      <c r="G18" s="71" t="n"/>
      <c r="H18" s="80" t="n"/>
      <c r="I18" s="71" t="n"/>
      <c r="J18" s="71" t="n"/>
      <c r="K18" s="71" t="n"/>
      <c r="L18" s="71" t="n"/>
      <c r="M18" s="71" t="n"/>
      <c r="N18" s="71" t="n"/>
      <c r="O18" s="71" t="n"/>
      <c r="P18" s="71" t="n"/>
      <c r="Q18" s="71" t="n"/>
      <c r="R18" s="71" t="n"/>
      <c r="S18" s="71" t="n"/>
      <c r="T18" s="71" t="n"/>
      <c r="U18" s="71" t="n"/>
      <c r="V18" s="71" t="n"/>
      <c r="W18" s="71" t="n"/>
      <c r="X18" s="71" t="n"/>
      <c r="Y18" s="71" t="n"/>
      <c r="Z18" s="71" t="n"/>
    </row>
    <row r="19" ht="19.5" customHeight="1">
      <c r="A19" s="71" t="n"/>
      <c r="B19" s="81" t="inlineStr">
        <is>
          <t>9</t>
        </is>
      </c>
      <c r="C19" s="82" t="inlineStr">
        <is>
          <t>Mantener covenants financieros dentro de los límites del contrato.</t>
        </is>
      </c>
      <c r="D19" s="35" t="inlineStr">
        <is>
          <t>Mensual</t>
        </is>
      </c>
      <c r="E19" s="71" t="n"/>
      <c r="F19" s="71" t="n"/>
      <c r="G19" s="71" t="n"/>
      <c r="I19" s="71" t="n"/>
      <c r="J19" s="71" t="n"/>
      <c r="K19" s="71" t="n"/>
      <c r="L19" s="71" t="n"/>
      <c r="M19" s="71" t="n"/>
      <c r="N19" s="71" t="n"/>
      <c r="O19" s="71" t="n"/>
      <c r="P19" s="71" t="n"/>
      <c r="Q19" s="71" t="n"/>
      <c r="R19" s="71" t="n"/>
      <c r="S19" s="71" t="n"/>
      <c r="T19" s="71" t="n"/>
      <c r="U19" s="71" t="n"/>
      <c r="V19" s="71" t="n"/>
      <c r="W19" s="71" t="n"/>
      <c r="X19" s="71" t="n"/>
      <c r="Y19" s="71" t="n"/>
      <c r="Z19" s="71" t="n"/>
    </row>
    <row r="20" ht="19.5" customHeight="1">
      <c r="A20" s="71" t="n"/>
      <c r="B20" s="81" t="inlineStr">
        <is>
          <t>10</t>
        </is>
      </c>
      <c r="C20" s="83" t="inlineStr">
        <is>
          <t>Permitir al Agente Administrativo auditar sus bienes y libros con un aviso previo de 5 días.</t>
        </is>
      </c>
      <c r="D20" s="33" t="inlineStr">
        <is>
          <t>A Solicitud</t>
        </is>
      </c>
      <c r="E20" s="71" t="n"/>
      <c r="F20" s="71" t="n"/>
      <c r="G20" s="71" t="n"/>
      <c r="H20" s="80" t="n"/>
      <c r="I20" s="71" t="n"/>
      <c r="J20" s="71" t="n"/>
      <c r="K20" s="71" t="n"/>
      <c r="L20" s="71" t="n"/>
      <c r="M20" s="71" t="n"/>
      <c r="N20" s="71" t="n"/>
      <c r="O20" s="71" t="n"/>
      <c r="P20" s="71" t="n"/>
      <c r="Q20" s="71" t="n"/>
      <c r="R20" s="71" t="n"/>
      <c r="S20" s="71" t="n"/>
      <c r="T20" s="71" t="n"/>
      <c r="U20" s="71" t="n"/>
      <c r="V20" s="71" t="n"/>
      <c r="W20" s="71" t="n"/>
      <c r="X20" s="71" t="n"/>
      <c r="Y20" s="71" t="n"/>
      <c r="Z20" s="71" t="n"/>
    </row>
    <row r="21" ht="19.5" customHeight="1">
      <c r="A21" s="71" t="n"/>
      <c r="B21" s="81" t="inlineStr">
        <is>
          <t>11</t>
        </is>
      </c>
      <c r="C21" s="82" t="inlineStr">
        <is>
          <t>Mantener en el fideicomiso el monto necesario para cubrir capital e intereses de la siguiente fecha de pago.</t>
        </is>
      </c>
      <c r="D21" s="35" t="inlineStr">
        <is>
          <t>Continua</t>
        </is>
      </c>
      <c r="E21" s="71" t="n"/>
      <c r="F21" s="71" t="n"/>
      <c r="G21" s="71" t="n"/>
      <c r="I21" s="71" t="n"/>
      <c r="J21" s="71" t="n"/>
      <c r="K21" s="71" t="n"/>
      <c r="L21" s="71" t="n"/>
      <c r="M21" s="71" t="n"/>
      <c r="N21" s="71" t="n"/>
      <c r="O21" s="71" t="n"/>
      <c r="P21" s="71" t="n"/>
      <c r="Q21" s="71" t="n"/>
      <c r="R21" s="71" t="n"/>
      <c r="S21" s="71" t="n"/>
      <c r="T21" s="71" t="n"/>
      <c r="U21" s="71" t="n"/>
      <c r="V21" s="71" t="n"/>
      <c r="W21" s="71" t="n"/>
      <c r="X21" s="71" t="n"/>
      <c r="Y21" s="71" t="n"/>
      <c r="Z21" s="71" t="n"/>
    </row>
    <row r="22" ht="15.75" customHeight="1">
      <c r="A22" s="71" t="n"/>
      <c r="B22" s="71" t="n"/>
      <c r="C22" s="71" t="n"/>
      <c r="D22" s="71" t="n"/>
      <c r="E22" s="71" t="n"/>
      <c r="F22" s="71" t="n"/>
      <c r="G22" s="71" t="n"/>
      <c r="I22" s="71" t="n"/>
      <c r="J22" s="71" t="n"/>
      <c r="K22" s="71" t="n"/>
      <c r="L22" s="71" t="n"/>
      <c r="M22" s="71" t="n"/>
      <c r="N22" s="71" t="n"/>
      <c r="O22" s="71" t="n"/>
      <c r="P22" s="71" t="n"/>
      <c r="Q22" s="71" t="n"/>
      <c r="R22" s="71" t="n"/>
      <c r="S22" s="71" t="n"/>
      <c r="T22" s="71" t="n"/>
      <c r="U22" s="71" t="n"/>
      <c r="V22" s="71" t="n"/>
      <c r="W22" s="71" t="n"/>
      <c r="X22" s="71" t="n"/>
      <c r="Y22" s="71" t="n"/>
      <c r="Z22" s="71" t="n"/>
    </row>
    <row r="23" ht="13.5" customHeight="1">
      <c r="A23" s="71" t="n"/>
      <c r="B23" s="248" t="inlineStr">
        <is>
          <t xml:space="preserve">  II.  OBLIGACIONES DE NO HACER</t>
        </is>
      </c>
      <c r="C23" s="249" t="n"/>
      <c r="D23" s="250" t="n"/>
      <c r="E23" s="71" t="n"/>
      <c r="F23" s="71" t="n"/>
      <c r="G23" s="71" t="n"/>
      <c r="H23" s="80" t="n"/>
      <c r="I23" s="71" t="n"/>
      <c r="J23" s="71" t="n"/>
      <c r="K23" s="71" t="n"/>
      <c r="L23" s="71" t="n"/>
      <c r="M23" s="71" t="n"/>
      <c r="N23" s="71" t="n"/>
      <c r="O23" s="71" t="n"/>
      <c r="P23" s="71" t="n"/>
      <c r="Q23" s="71" t="n"/>
      <c r="R23" s="71" t="n"/>
      <c r="S23" s="71" t="n"/>
      <c r="T23" s="71" t="n"/>
      <c r="U23" s="71" t="n"/>
      <c r="V23" s="71" t="n"/>
      <c r="W23" s="71" t="n"/>
      <c r="X23" s="71" t="n"/>
      <c r="Y23" s="71" t="n"/>
      <c r="Z23" s="71" t="n"/>
    </row>
    <row r="24" ht="13.5" customHeight="1">
      <c r="A24" s="71" t="n"/>
      <c r="B24" s="26" t="inlineStr">
        <is>
          <t>#</t>
        </is>
      </c>
      <c r="C24" s="26" t="inlineStr">
        <is>
          <t>Restricción</t>
        </is>
      </c>
      <c r="D24" s="26" t="inlineStr">
        <is>
          <t>Condiciones / Excepciones</t>
        </is>
      </c>
      <c r="E24" s="71" t="n"/>
      <c r="F24" s="71" t="n"/>
      <c r="G24" s="71" t="n"/>
      <c r="H24" s="80" t="n"/>
      <c r="I24" s="71" t="n"/>
      <c r="J24" s="71" t="n"/>
      <c r="K24" s="71" t="n"/>
      <c r="L24" s="71" t="n"/>
      <c r="M24" s="71" t="n"/>
      <c r="N24" s="71" t="n"/>
      <c r="O24" s="71" t="n"/>
      <c r="P24" s="71" t="n"/>
      <c r="Q24" s="71" t="n"/>
      <c r="R24" s="71" t="n"/>
      <c r="S24" s="71" t="n"/>
      <c r="T24" s="71" t="n"/>
      <c r="U24" s="71" t="n"/>
      <c r="V24" s="71" t="n"/>
      <c r="W24" s="71" t="n"/>
      <c r="X24" s="71" t="n"/>
      <c r="Y24" s="71" t="n"/>
      <c r="Z24" s="71" t="n"/>
    </row>
    <row r="25" ht="19.5" customHeight="1">
      <c r="A25" s="71" t="n"/>
      <c r="B25" s="81" t="inlineStr">
        <is>
          <t>1</t>
        </is>
      </c>
      <c r="C25" s="82" t="inlineStr">
        <is>
          <t>No contratar nueva deuda, salvo la ya existente o aquella que no cause incumplimiento en sus obligaciones financieras.</t>
        </is>
      </c>
      <c r="D25" s="84" t="inlineStr">
        <is>
          <t>Con autorización escrita previa</t>
        </is>
      </c>
      <c r="E25" s="71" t="n"/>
      <c r="F25" s="71" t="n"/>
      <c r="G25" s="71" t="n"/>
      <c r="I25" s="71" t="n"/>
      <c r="J25" s="71" t="n"/>
      <c r="K25" s="71" t="n"/>
      <c r="L25" s="71" t="n"/>
      <c r="M25" s="71" t="n"/>
      <c r="N25" s="71" t="n"/>
      <c r="O25" s="71" t="n"/>
      <c r="P25" s="71" t="n"/>
      <c r="Q25" s="71" t="n"/>
      <c r="R25" s="71" t="n"/>
      <c r="S25" s="71" t="n"/>
      <c r="T25" s="71" t="n"/>
      <c r="U25" s="71" t="n"/>
      <c r="V25" s="71" t="n"/>
      <c r="W25" s="71" t="n"/>
      <c r="X25" s="71" t="n"/>
      <c r="Y25" s="71" t="n"/>
      <c r="Z25" s="71" t="n"/>
    </row>
    <row r="26" ht="27" customHeight="1">
      <c r="A26" s="71" t="n"/>
      <c r="B26" s="81" t="inlineStr">
        <is>
          <t>2</t>
        </is>
      </c>
      <c r="C26" s="83" t="inlineStr">
        <is>
          <t>No otorgar garantías a favor de terceros o constituir gravámenes sobre sus activos (especialmente sobre los que forman parte del patrimonio del fideicomiso).</t>
        </is>
      </c>
      <c r="D26" s="85" t="inlineStr">
        <is>
          <t>Ver covenants de capitalización y cobertura</t>
        </is>
      </c>
      <c r="E26" s="71" t="n"/>
      <c r="F26" s="71" t="n"/>
      <c r="G26" s="71" t="n"/>
      <c r="H26" s="80" t="n"/>
      <c r="I26" s="71" t="n"/>
      <c r="J26" s="71" t="n"/>
      <c r="K26" s="71" t="n"/>
      <c r="L26" s="71" t="n"/>
      <c r="M26" s="71" t="n"/>
      <c r="N26" s="71" t="n"/>
      <c r="O26" s="71" t="n"/>
      <c r="P26" s="71" t="n"/>
      <c r="Q26" s="71" t="n"/>
      <c r="R26" s="71" t="n"/>
      <c r="S26" s="71" t="n"/>
      <c r="T26" s="71" t="n"/>
      <c r="U26" s="71" t="n"/>
      <c r="V26" s="71" t="n"/>
      <c r="W26" s="71" t="n"/>
      <c r="X26" s="71" t="n"/>
      <c r="Y26" s="71" t="n"/>
      <c r="Z26" s="71" t="n"/>
    </row>
    <row r="27" ht="19.5" customHeight="1">
      <c r="A27" s="71" t="n"/>
      <c r="B27" s="81" t="inlineStr">
        <is>
          <t>3</t>
        </is>
      </c>
      <c r="C27" s="82" t="inlineStr">
        <is>
          <t>No realizar fusiones, escisiones, disoluciones o ventas de activos sustanciales, ni cambiar la naturaleza de su negocio.</t>
        </is>
      </c>
      <c r="D27" s="84" t="inlineStr">
        <is>
          <t>Ver condiciones específicas del contrato</t>
        </is>
      </c>
      <c r="E27" s="71" t="n"/>
      <c r="F27" s="71" t="n"/>
      <c r="G27" s="71" t="n"/>
      <c r="I27" s="71" t="n"/>
      <c r="J27" s="71" t="n"/>
      <c r="K27" s="71" t="n"/>
      <c r="L27" s="71" t="n"/>
      <c r="M27" s="71" t="n"/>
      <c r="N27" s="71" t="n"/>
      <c r="O27" s="71" t="n"/>
      <c r="P27" s="71" t="n"/>
      <c r="Q27" s="71" t="n"/>
      <c r="R27" s="71" t="n"/>
      <c r="S27" s="71" t="n"/>
      <c r="T27" s="71" t="n"/>
      <c r="U27" s="71" t="n"/>
      <c r="V27" s="71" t="n"/>
      <c r="W27" s="71" t="n"/>
      <c r="X27" s="71" t="n"/>
      <c r="Y27" s="71" t="n"/>
      <c r="Z27" s="71" t="n"/>
    </row>
    <row r="28" ht="19.5" customHeight="1">
      <c r="A28" s="71" t="n"/>
      <c r="B28" s="81" t="inlineStr">
        <is>
          <t>4</t>
        </is>
      </c>
      <c r="C28" s="83" t="inlineStr">
        <is>
          <t>No distribuir dividendos si esto resulta en un incumplimiento de sus obligaciones bajo los Documentos del Crédito.</t>
        </is>
      </c>
      <c r="D28" s="85" t="inlineStr">
        <is>
          <t>Ver condiciones específicas del contrato</t>
        </is>
      </c>
      <c r="E28" s="71" t="n"/>
      <c r="F28" s="71" t="n"/>
      <c r="G28" s="71" t="n"/>
      <c r="H28" s="80" t="n"/>
      <c r="I28" s="71" t="n"/>
      <c r="J28" s="71" t="n"/>
      <c r="K28" s="71" t="n"/>
      <c r="L28" s="71" t="n"/>
      <c r="M28" s="71" t="n"/>
      <c r="N28" s="71" t="n"/>
      <c r="O28" s="71" t="n"/>
      <c r="P28" s="71" t="n"/>
      <c r="Q28" s="71" t="n"/>
      <c r="R28" s="71" t="n"/>
      <c r="S28" s="71" t="n"/>
      <c r="T28" s="71" t="n"/>
      <c r="U28" s="71" t="n"/>
      <c r="V28" s="71" t="n"/>
      <c r="W28" s="71" t="n"/>
      <c r="X28" s="71" t="n"/>
      <c r="Y28" s="71" t="n"/>
      <c r="Z28" s="71" t="n"/>
    </row>
    <row r="29" ht="19.5" customHeight="1">
      <c r="A29" s="71" t="n"/>
      <c r="B29" s="81" t="inlineStr">
        <is>
          <t>5</t>
        </is>
      </c>
      <c r="C29" s="82" t="inlineStr">
        <is>
          <t>No realizar pagos extraordinarios de salarios o bonos a accionistas o funcionarios fuera de términos de mercado o que afecten los límites financieros.</t>
        </is>
      </c>
      <c r="D29" s="84" t="inlineStr">
        <is>
          <t>Ver condiciones específicas del contrato</t>
        </is>
      </c>
      <c r="E29" s="71" t="n"/>
      <c r="F29" s="71" t="n"/>
      <c r="G29" s="71" t="n"/>
      <c r="I29" s="71" t="n"/>
      <c r="J29" s="71" t="n"/>
      <c r="K29" s="71" t="n"/>
      <c r="L29" s="71" t="n"/>
      <c r="M29" s="71" t="n"/>
      <c r="N29" s="71" t="n"/>
      <c r="O29" s="71" t="n"/>
      <c r="P29" s="71" t="n"/>
      <c r="Q29" s="71" t="n"/>
      <c r="R29" s="71" t="n"/>
      <c r="S29" s="71" t="n"/>
      <c r="T29" s="71" t="n"/>
      <c r="U29" s="71" t="n"/>
      <c r="V29" s="71" t="n"/>
      <c r="W29" s="71" t="n"/>
      <c r="X29" s="71" t="n"/>
      <c r="Y29" s="71" t="n"/>
      <c r="Z29" s="71" t="n"/>
    </row>
    <row r="30" ht="19.5" customHeight="1">
      <c r="A30" s="71" t="n"/>
      <c r="B30" s="81" t="inlineStr">
        <is>
          <t>6</t>
        </is>
      </c>
      <c r="C30" s="83" t="inlineStr">
        <is>
          <t>No realizar un "Cambio de Control" (perder el control o bajar del 50% de los valores representativos de capital).</t>
        </is>
      </c>
      <c r="D30" s="85" t="inlineStr">
        <is>
          <t>Ver condiciones específicas del contrato</t>
        </is>
      </c>
      <c r="E30" s="71" t="n"/>
      <c r="F30" s="71" t="n"/>
      <c r="G30" s="71" t="n"/>
      <c r="H30" s="80" t="n"/>
      <c r="I30" s="71" t="n"/>
      <c r="J30" s="71" t="n"/>
      <c r="K30" s="71" t="n"/>
      <c r="L30" s="71" t="n"/>
      <c r="M30" s="71" t="n"/>
      <c r="N30" s="71" t="n"/>
      <c r="O30" s="71" t="n"/>
      <c r="P30" s="71" t="n"/>
      <c r="Q30" s="71" t="n"/>
      <c r="R30" s="71" t="n"/>
      <c r="S30" s="71" t="n"/>
      <c r="T30" s="71" t="n"/>
      <c r="U30" s="71" t="n"/>
      <c r="V30" s="71" t="n"/>
      <c r="W30" s="71" t="n"/>
      <c r="X30" s="71" t="n"/>
      <c r="Y30" s="71" t="n"/>
      <c r="Z30" s="71" t="n"/>
    </row>
    <row r="31" ht="19.5" customHeight="1">
      <c r="A31" s="71" t="n"/>
      <c r="B31" s="81" t="inlineStr">
        <is>
          <t>7</t>
        </is>
      </c>
      <c r="C31" s="82" t="inlineStr">
        <is>
          <t>No modificar sus políticas de otorgamiento de crédito o los formatos de contratos con sus clientes (Contratos de Crédito Red Girasol) sin autorización.</t>
        </is>
      </c>
      <c r="D31" s="84" t="inlineStr">
        <is>
          <t>Ver condiciones específicas del contrato</t>
        </is>
      </c>
      <c r="E31" s="71" t="n"/>
      <c r="F31" s="71" t="n"/>
      <c r="G31" s="71" t="n"/>
      <c r="I31" s="71" t="n"/>
      <c r="J31" s="71" t="n"/>
      <c r="K31" s="71" t="n"/>
      <c r="L31" s="71" t="n"/>
      <c r="M31" s="71" t="n"/>
      <c r="N31" s="71" t="n"/>
      <c r="O31" s="71" t="n"/>
      <c r="P31" s="71" t="n"/>
      <c r="Q31" s="71" t="n"/>
      <c r="R31" s="71" t="n"/>
      <c r="S31" s="71" t="n"/>
      <c r="T31" s="71" t="n"/>
      <c r="U31" s="71" t="n"/>
      <c r="V31" s="71" t="n"/>
      <c r="W31" s="71" t="n"/>
      <c r="X31" s="71" t="n"/>
      <c r="Y31" s="71" t="n"/>
      <c r="Z31" s="71" t="n"/>
    </row>
    <row r="32" ht="19.5" customHeight="1">
      <c r="A32" s="71" t="n"/>
      <c r="B32" s="81" t="n">
        <v>8</v>
      </c>
      <c r="C32" s="83" t="inlineStr">
        <is>
          <t>No Participar en actividades ilícitas, producción de armas, tabaco, juegos de azar o aquellas que dañen el medio ambiente.</t>
        </is>
      </c>
      <c r="D32" s="85" t="n"/>
      <c r="E32" s="71" t="n"/>
      <c r="F32" s="71" t="n"/>
      <c r="G32" s="71" t="n"/>
      <c r="H32" s="80" t="n"/>
      <c r="I32" s="71" t="n"/>
      <c r="J32" s="71" t="n"/>
      <c r="K32" s="71" t="n"/>
      <c r="L32" s="71" t="n"/>
      <c r="M32" s="71" t="n"/>
      <c r="N32" s="71" t="n"/>
      <c r="O32" s="71" t="n"/>
      <c r="P32" s="71" t="n"/>
      <c r="Q32" s="71" t="n"/>
      <c r="R32" s="71" t="n"/>
      <c r="S32" s="71" t="n"/>
      <c r="T32" s="71" t="n"/>
      <c r="U32" s="71" t="n"/>
      <c r="V32" s="71" t="n"/>
      <c r="W32" s="71" t="n"/>
      <c r="X32" s="71" t="n"/>
      <c r="Y32" s="71" t="n"/>
      <c r="Z32" s="71" t="n"/>
    </row>
    <row r="33" ht="19.5" customHeight="1">
      <c r="A33" s="71" t="n"/>
      <c r="B33" s="81" t="n">
        <v>9</v>
      </c>
      <c r="C33" s="82" t="inlineStr">
        <is>
          <t>No permitir que otras obligaciones quirografarias tengan mayor preferencia de pago que el crédito presente.</t>
        </is>
      </c>
      <c r="D33" s="84" t="n"/>
      <c r="E33" s="71" t="n"/>
      <c r="F33" s="71" t="n"/>
      <c r="G33" s="71" t="n"/>
      <c r="I33" s="71" t="n"/>
      <c r="J33" s="71" t="n"/>
      <c r="K33" s="71" t="n"/>
      <c r="L33" s="71" t="n"/>
      <c r="M33" s="71" t="n"/>
      <c r="N33" s="71" t="n"/>
      <c r="O33" s="71" t="n"/>
      <c r="P33" s="71" t="n"/>
      <c r="Q33" s="71" t="n"/>
      <c r="R33" s="71" t="n"/>
      <c r="S33" s="71" t="n"/>
      <c r="T33" s="71" t="n"/>
      <c r="U33" s="71" t="n"/>
      <c r="V33" s="71" t="n"/>
      <c r="W33" s="71" t="n"/>
      <c r="X33" s="71" t="n"/>
      <c r="Y33" s="71" t="n"/>
      <c r="Z33" s="71" t="n"/>
    </row>
    <row r="34" ht="15.75" customHeight="1">
      <c r="A34" s="71" t="n"/>
      <c r="B34" s="71" t="n"/>
      <c r="C34" s="71" t="n"/>
      <c r="D34" s="71" t="n"/>
      <c r="E34" s="71" t="n"/>
      <c r="F34" s="71" t="n"/>
      <c r="G34" s="71" t="n"/>
      <c r="I34" s="71" t="n"/>
      <c r="J34" s="71" t="n"/>
      <c r="K34" s="71" t="n"/>
      <c r="L34" s="71" t="n"/>
      <c r="M34" s="71" t="n"/>
      <c r="N34" s="71" t="n"/>
      <c r="O34" s="71" t="n"/>
      <c r="P34" s="71" t="n"/>
      <c r="Q34" s="71" t="n"/>
      <c r="R34" s="71" t="n"/>
      <c r="S34" s="71" t="n"/>
      <c r="T34" s="71" t="n"/>
      <c r="U34" s="71" t="n"/>
      <c r="V34" s="71" t="n"/>
      <c r="W34" s="71" t="n"/>
      <c r="X34" s="71" t="n"/>
      <c r="Y34" s="71" t="n"/>
      <c r="Z34" s="71" t="n"/>
    </row>
    <row r="35" ht="3.75" customHeight="1">
      <c r="A35" s="70" t="n"/>
      <c r="F35" s="71" t="n"/>
      <c r="G35" s="71" t="n"/>
      <c r="H35" s="76" t="n"/>
      <c r="I35" s="71" t="n"/>
      <c r="J35" s="71" t="n"/>
      <c r="K35" s="71" t="n"/>
      <c r="L35" s="71" t="n"/>
      <c r="M35" s="71" t="n"/>
      <c r="N35" s="71" t="n"/>
      <c r="O35" s="71" t="n"/>
      <c r="P35" s="71" t="n"/>
      <c r="Q35" s="71" t="n"/>
      <c r="R35" s="71" t="n"/>
      <c r="S35" s="71" t="n"/>
      <c r="T35" s="71" t="n"/>
      <c r="U35" s="71" t="n"/>
      <c r="V35" s="71" t="n"/>
      <c r="W35" s="71" t="n"/>
      <c r="X35" s="71" t="n"/>
      <c r="Y35" s="71" t="n"/>
      <c r="Z35" s="71" t="n"/>
    </row>
    <row r="36" ht="15.75" customHeight="1">
      <c r="A36" s="71" t="n"/>
      <c r="B36" s="71" t="n"/>
      <c r="C36" s="71" t="n"/>
      <c r="D36" s="71" t="n"/>
      <c r="E36" s="71" t="n"/>
      <c r="F36" s="71" t="n"/>
      <c r="G36" s="71" t="n"/>
      <c r="H36" s="75" t="n"/>
      <c r="I36" s="71" t="n"/>
      <c r="J36" s="71" t="n"/>
      <c r="K36" s="71" t="n"/>
      <c r="L36" s="71" t="n"/>
      <c r="M36" s="71" t="n"/>
      <c r="N36" s="71" t="n"/>
      <c r="O36" s="71" t="n"/>
      <c r="P36" s="71" t="n"/>
      <c r="Q36" s="71" t="n"/>
      <c r="R36" s="71" t="n"/>
      <c r="S36" s="71" t="n"/>
      <c r="T36" s="71" t="n"/>
      <c r="U36" s="71" t="n"/>
      <c r="V36" s="71" t="n"/>
      <c r="W36" s="71" t="n"/>
      <c r="X36" s="71" t="n"/>
      <c r="Y36" s="71" t="n"/>
      <c r="Z36" s="71" t="n"/>
    </row>
    <row r="37" ht="15.75" customHeight="1">
      <c r="A37" s="71" t="n"/>
      <c r="B37" s="71" t="n"/>
      <c r="C37" s="71" t="n"/>
      <c r="D37" s="71" t="n"/>
      <c r="E37" s="71" t="n"/>
      <c r="F37" s="71" t="n"/>
      <c r="G37" s="71" t="n"/>
      <c r="H37" s="80" t="n"/>
      <c r="I37" s="71" t="n"/>
      <c r="J37" s="71" t="n"/>
      <c r="K37" s="71" t="n"/>
      <c r="L37" s="71" t="n"/>
      <c r="M37" s="71" t="n"/>
      <c r="N37" s="71" t="n"/>
      <c r="O37" s="71" t="n"/>
      <c r="P37" s="71" t="n"/>
      <c r="Q37" s="71" t="n"/>
      <c r="R37" s="71" t="n"/>
      <c r="S37" s="71" t="n"/>
      <c r="T37" s="71" t="n"/>
      <c r="U37" s="71" t="n"/>
      <c r="V37" s="71" t="n"/>
      <c r="W37" s="71" t="n"/>
      <c r="X37" s="71" t="n"/>
      <c r="Y37" s="71" t="n"/>
      <c r="Z37" s="71" t="n"/>
    </row>
    <row r="38" ht="15.75" customHeight="1">
      <c r="A38" s="71" t="n"/>
      <c r="B38" s="71" t="n"/>
      <c r="C38" s="71" t="n"/>
      <c r="D38" s="71" t="n"/>
      <c r="E38" s="71" t="n"/>
      <c r="F38" s="71" t="n"/>
      <c r="G38" s="71" t="n"/>
      <c r="I38" s="71" t="n"/>
      <c r="J38" s="71" t="n"/>
      <c r="K38" s="71" t="n"/>
      <c r="L38" s="71" t="n"/>
      <c r="M38" s="71" t="n"/>
      <c r="N38" s="71" t="n"/>
      <c r="O38" s="71" t="n"/>
      <c r="P38" s="71" t="n"/>
      <c r="Q38" s="71" t="n"/>
      <c r="R38" s="71" t="n"/>
      <c r="S38" s="71" t="n"/>
      <c r="T38" s="71" t="n"/>
      <c r="U38" s="71" t="n"/>
      <c r="V38" s="71" t="n"/>
      <c r="W38" s="71" t="n"/>
      <c r="X38" s="71" t="n"/>
      <c r="Y38" s="71" t="n"/>
      <c r="Z38" s="71" t="n"/>
    </row>
    <row r="39" ht="15.75" customHeight="1">
      <c r="A39" s="71" t="n"/>
      <c r="B39" s="71" t="n"/>
      <c r="C39" s="71" t="n"/>
      <c r="D39" s="71" t="n"/>
      <c r="E39" s="71" t="n"/>
      <c r="F39" s="71" t="n"/>
      <c r="G39" s="71" t="n"/>
      <c r="H39" s="80" t="n"/>
      <c r="I39" s="71" t="n"/>
      <c r="J39" s="71" t="n"/>
      <c r="K39" s="71" t="n"/>
      <c r="L39" s="71" t="n"/>
      <c r="M39" s="71" t="n"/>
      <c r="N39" s="71" t="n"/>
      <c r="O39" s="71" t="n"/>
      <c r="P39" s="71" t="n"/>
      <c r="Q39" s="71" t="n"/>
      <c r="R39" s="71" t="n"/>
      <c r="S39" s="71" t="n"/>
      <c r="T39" s="71" t="n"/>
      <c r="U39" s="71" t="n"/>
      <c r="V39" s="71" t="n"/>
      <c r="W39" s="71" t="n"/>
      <c r="X39" s="71" t="n"/>
      <c r="Y39" s="71" t="n"/>
      <c r="Z39" s="71" t="n"/>
    </row>
    <row r="40" ht="15.75" customHeight="1">
      <c r="A40" s="71" t="n"/>
      <c r="B40" s="71" t="n"/>
      <c r="C40" s="71" t="n"/>
      <c r="D40" s="71" t="n"/>
      <c r="E40" s="71" t="n"/>
      <c r="F40" s="71" t="n"/>
      <c r="G40" s="71" t="n"/>
      <c r="I40" s="71" t="n"/>
      <c r="J40" s="71" t="n"/>
      <c r="K40" s="71" t="n"/>
      <c r="L40" s="71" t="n"/>
      <c r="M40" s="71" t="n"/>
      <c r="N40" s="71" t="n"/>
      <c r="O40" s="71" t="n"/>
      <c r="P40" s="71" t="n"/>
      <c r="Q40" s="71" t="n"/>
      <c r="R40" s="71" t="n"/>
      <c r="S40" s="71" t="n"/>
      <c r="T40" s="71" t="n"/>
      <c r="U40" s="71" t="n"/>
      <c r="V40" s="71" t="n"/>
      <c r="W40" s="71" t="n"/>
      <c r="X40" s="71" t="n"/>
      <c r="Y40" s="71" t="n"/>
      <c r="Z40" s="71" t="n"/>
    </row>
    <row r="41" ht="15.75" customHeight="1">
      <c r="A41" s="71" t="n"/>
      <c r="B41" s="71" t="n"/>
      <c r="C41" s="71" t="n"/>
      <c r="D41" s="71" t="n"/>
      <c r="E41" s="71" t="n"/>
      <c r="F41" s="71" t="n"/>
      <c r="G41" s="71" t="n"/>
      <c r="H41" s="80" t="n"/>
      <c r="I41" s="71" t="n"/>
      <c r="J41" s="71" t="n"/>
      <c r="K41" s="71" t="n"/>
      <c r="L41" s="71" t="n"/>
      <c r="M41" s="71" t="n"/>
      <c r="N41" s="71" t="n"/>
      <c r="O41" s="71" t="n"/>
      <c r="P41" s="71" t="n"/>
      <c r="Q41" s="71" t="n"/>
      <c r="R41" s="71" t="n"/>
      <c r="S41" s="71" t="n"/>
      <c r="T41" s="71" t="n"/>
      <c r="U41" s="71" t="n"/>
      <c r="V41" s="71" t="n"/>
      <c r="W41" s="71" t="n"/>
      <c r="X41" s="71" t="n"/>
      <c r="Y41" s="71" t="n"/>
      <c r="Z41" s="71" t="n"/>
    </row>
    <row r="42" ht="15.75" customHeight="1">
      <c r="A42" s="71" t="n"/>
      <c r="B42" s="71" t="n"/>
      <c r="C42" s="71" t="n"/>
      <c r="D42" s="71" t="n"/>
      <c r="E42" s="71" t="n"/>
      <c r="F42" s="71" t="n"/>
      <c r="G42" s="71" t="n"/>
      <c r="I42" s="71" t="n"/>
      <c r="J42" s="71" t="n"/>
      <c r="K42" s="71" t="n"/>
      <c r="L42" s="71" t="n"/>
      <c r="M42" s="71" t="n"/>
      <c r="N42" s="71" t="n"/>
      <c r="O42" s="71" t="n"/>
      <c r="P42" s="71" t="n"/>
      <c r="Q42" s="71" t="n"/>
      <c r="R42" s="71" t="n"/>
      <c r="S42" s="71" t="n"/>
      <c r="T42" s="71" t="n"/>
      <c r="U42" s="71" t="n"/>
      <c r="V42" s="71" t="n"/>
      <c r="W42" s="71" t="n"/>
      <c r="X42" s="71" t="n"/>
      <c r="Y42" s="71" t="n"/>
      <c r="Z42" s="71" t="n"/>
    </row>
    <row r="43" ht="15.75" customHeight="1">
      <c r="A43" s="71" t="n"/>
      <c r="B43" s="71" t="n"/>
      <c r="C43" s="71" t="n"/>
      <c r="D43" s="71" t="n"/>
      <c r="E43" s="71" t="n"/>
      <c r="F43" s="71" t="n"/>
      <c r="G43" s="71" t="n"/>
      <c r="H43" s="80" t="n"/>
      <c r="I43" s="71" t="n"/>
      <c r="J43" s="71" t="n"/>
      <c r="K43" s="71" t="n"/>
      <c r="L43" s="71" t="n"/>
      <c r="M43" s="71" t="n"/>
      <c r="N43" s="71" t="n"/>
      <c r="O43" s="71" t="n"/>
      <c r="P43" s="71" t="n"/>
      <c r="Q43" s="71" t="n"/>
      <c r="R43" s="71" t="n"/>
      <c r="S43" s="71" t="n"/>
      <c r="T43" s="71" t="n"/>
      <c r="U43" s="71" t="n"/>
      <c r="V43" s="71" t="n"/>
      <c r="W43" s="71" t="n"/>
      <c r="X43" s="71" t="n"/>
      <c r="Y43" s="71" t="n"/>
      <c r="Z43" s="71" t="n"/>
    </row>
    <row r="44" ht="15.75" customHeight="1">
      <c r="A44" s="71" t="n"/>
      <c r="B44" s="71" t="n"/>
      <c r="C44" s="71" t="n"/>
      <c r="D44" s="71" t="n"/>
      <c r="E44" s="71" t="n"/>
      <c r="F44" s="71" t="n"/>
      <c r="G44" s="71" t="n"/>
      <c r="I44" s="71" t="n"/>
      <c r="J44" s="71" t="n"/>
      <c r="K44" s="71" t="n"/>
      <c r="L44" s="71" t="n"/>
      <c r="M44" s="71" t="n"/>
      <c r="N44" s="71" t="n"/>
      <c r="O44" s="71" t="n"/>
      <c r="P44" s="71" t="n"/>
      <c r="Q44" s="71" t="n"/>
      <c r="R44" s="71" t="n"/>
      <c r="S44" s="71" t="n"/>
      <c r="T44" s="71" t="n"/>
      <c r="U44" s="71" t="n"/>
      <c r="V44" s="71" t="n"/>
      <c r="W44" s="71" t="n"/>
      <c r="X44" s="71" t="n"/>
      <c r="Y44" s="71" t="n"/>
      <c r="Z44" s="71" t="n"/>
    </row>
    <row r="45" ht="15.75" customHeight="1">
      <c r="A45" s="71" t="n"/>
      <c r="B45" s="71" t="n"/>
      <c r="C45" s="71" t="n"/>
      <c r="D45" s="71" t="n"/>
      <c r="E45" s="71" t="n"/>
      <c r="F45" s="71" t="n"/>
      <c r="G45" s="71" t="n"/>
      <c r="H45" s="80" t="n"/>
      <c r="I45" s="71" t="n"/>
      <c r="J45" s="71" t="n"/>
      <c r="K45" s="71" t="n"/>
      <c r="L45" s="71" t="n"/>
      <c r="M45" s="71" t="n"/>
      <c r="N45" s="71" t="n"/>
      <c r="O45" s="71" t="n"/>
      <c r="P45" s="71" t="n"/>
      <c r="Q45" s="71" t="n"/>
      <c r="R45" s="71" t="n"/>
      <c r="S45" s="71" t="n"/>
      <c r="T45" s="71" t="n"/>
      <c r="U45" s="71" t="n"/>
      <c r="V45" s="71" t="n"/>
      <c r="W45" s="71" t="n"/>
      <c r="X45" s="71" t="n"/>
      <c r="Y45" s="71" t="n"/>
      <c r="Z45" s="71" t="n"/>
    </row>
    <row r="46" ht="15.75" customHeight="1">
      <c r="A46" s="71" t="n"/>
      <c r="B46" s="71" t="n"/>
      <c r="C46" s="71" t="n"/>
      <c r="D46" s="71" t="n"/>
      <c r="E46" s="71" t="n"/>
      <c r="F46" s="71" t="n"/>
      <c r="G46" s="71" t="n"/>
      <c r="I46" s="71" t="n"/>
      <c r="J46" s="71" t="n"/>
      <c r="K46" s="71" t="n"/>
      <c r="L46" s="71" t="n"/>
      <c r="M46" s="71" t="n"/>
      <c r="N46" s="71" t="n"/>
      <c r="O46" s="71" t="n"/>
      <c r="P46" s="71" t="n"/>
      <c r="Q46" s="71" t="n"/>
      <c r="R46" s="71" t="n"/>
      <c r="S46" s="71" t="n"/>
      <c r="T46" s="71" t="n"/>
      <c r="U46" s="71" t="n"/>
      <c r="V46" s="71" t="n"/>
      <c r="W46" s="71" t="n"/>
      <c r="X46" s="71" t="n"/>
      <c r="Y46" s="71" t="n"/>
      <c r="Z46" s="71" t="n"/>
    </row>
    <row r="47" ht="15.75" customHeight="1">
      <c r="A47" s="71" t="n"/>
      <c r="B47" s="71" t="n"/>
      <c r="C47" s="71" t="n"/>
      <c r="D47" s="71" t="n"/>
      <c r="E47" s="71" t="n"/>
      <c r="F47" s="71" t="n"/>
      <c r="G47" s="71" t="n"/>
      <c r="H47" s="80" t="n"/>
      <c r="I47" s="71" t="n"/>
      <c r="J47" s="71" t="n"/>
      <c r="K47" s="71" t="n"/>
      <c r="L47" s="71" t="n"/>
      <c r="M47" s="71" t="n"/>
      <c r="N47" s="71" t="n"/>
      <c r="O47" s="71" t="n"/>
      <c r="P47" s="71" t="n"/>
      <c r="Q47" s="71" t="n"/>
      <c r="R47" s="71" t="n"/>
      <c r="S47" s="71" t="n"/>
      <c r="T47" s="71" t="n"/>
      <c r="U47" s="71" t="n"/>
      <c r="V47" s="71" t="n"/>
      <c r="W47" s="71" t="n"/>
      <c r="X47" s="71" t="n"/>
      <c r="Y47" s="71" t="n"/>
      <c r="Z47" s="71" t="n"/>
    </row>
    <row r="48" ht="15.75" customHeight="1">
      <c r="A48" s="71" t="n"/>
      <c r="B48" s="71" t="n"/>
      <c r="C48" s="71" t="n"/>
      <c r="D48" s="71" t="n"/>
      <c r="E48" s="71" t="n"/>
      <c r="F48" s="71" t="n"/>
      <c r="G48" s="71" t="n"/>
      <c r="I48" s="71" t="n"/>
      <c r="J48" s="71" t="n"/>
      <c r="K48" s="71" t="n"/>
      <c r="L48" s="71" t="n"/>
      <c r="M48" s="71" t="n"/>
      <c r="N48" s="71" t="n"/>
      <c r="O48" s="71" t="n"/>
      <c r="P48" s="71" t="n"/>
      <c r="Q48" s="71" t="n"/>
      <c r="R48" s="71" t="n"/>
      <c r="S48" s="71" t="n"/>
      <c r="T48" s="71" t="n"/>
      <c r="U48" s="71" t="n"/>
      <c r="V48" s="71" t="n"/>
      <c r="W48" s="71" t="n"/>
      <c r="X48" s="71" t="n"/>
      <c r="Y48" s="71" t="n"/>
      <c r="Z48" s="71" t="n"/>
    </row>
    <row r="49" ht="15.75" customHeight="1">
      <c r="A49" s="71" t="n"/>
      <c r="B49" s="71" t="n"/>
      <c r="C49" s="71" t="n"/>
      <c r="D49" s="71" t="n"/>
      <c r="E49" s="71" t="n"/>
      <c r="F49" s="71" t="n"/>
      <c r="G49" s="71" t="n"/>
      <c r="H49" s="80" t="n"/>
      <c r="I49" s="71" t="n"/>
      <c r="J49" s="71" t="n"/>
      <c r="K49" s="71" t="n"/>
      <c r="L49" s="71" t="n"/>
      <c r="M49" s="71" t="n"/>
      <c r="N49" s="71" t="n"/>
      <c r="O49" s="71" t="n"/>
      <c r="P49" s="71" t="n"/>
      <c r="Q49" s="71" t="n"/>
      <c r="R49" s="71" t="n"/>
      <c r="S49" s="71" t="n"/>
      <c r="T49" s="71" t="n"/>
      <c r="U49" s="71" t="n"/>
      <c r="V49" s="71" t="n"/>
      <c r="W49" s="71" t="n"/>
      <c r="X49" s="71" t="n"/>
      <c r="Y49" s="71" t="n"/>
      <c r="Z49" s="71" t="n"/>
    </row>
    <row r="50" ht="15.75" customHeight="1">
      <c r="A50" s="71" t="n"/>
      <c r="B50" s="71" t="n"/>
      <c r="C50" s="71" t="n"/>
      <c r="D50" s="71" t="n"/>
      <c r="E50" s="71" t="n"/>
      <c r="F50" s="71" t="n"/>
      <c r="G50" s="71" t="n"/>
      <c r="I50" s="71" t="n"/>
      <c r="J50" s="71" t="n"/>
      <c r="K50" s="71" t="n"/>
      <c r="L50" s="71" t="n"/>
      <c r="M50" s="71" t="n"/>
      <c r="N50" s="71" t="n"/>
      <c r="O50" s="71" t="n"/>
      <c r="P50" s="71" t="n"/>
      <c r="Q50" s="71" t="n"/>
      <c r="R50" s="71" t="n"/>
      <c r="S50" s="71" t="n"/>
      <c r="T50" s="71" t="n"/>
      <c r="U50" s="71" t="n"/>
      <c r="V50" s="71" t="n"/>
      <c r="W50" s="71" t="n"/>
      <c r="X50" s="71" t="n"/>
      <c r="Y50" s="71" t="n"/>
      <c r="Z50" s="71" t="n"/>
    </row>
    <row r="51" ht="15.75" customHeight="1">
      <c r="A51" s="71" t="n"/>
      <c r="B51" s="71" t="n"/>
      <c r="C51" s="71" t="n"/>
      <c r="D51" s="71" t="n"/>
      <c r="E51" s="71" t="n"/>
      <c r="F51" s="71" t="n"/>
      <c r="G51" s="71" t="n"/>
      <c r="H51" s="80" t="n"/>
      <c r="I51" s="71" t="n"/>
      <c r="J51" s="71" t="n"/>
      <c r="K51" s="71" t="n"/>
      <c r="L51" s="71" t="n"/>
      <c r="M51" s="71" t="n"/>
      <c r="N51" s="71" t="n"/>
      <c r="O51" s="71" t="n"/>
      <c r="P51" s="71" t="n"/>
      <c r="Q51" s="71" t="n"/>
      <c r="R51" s="71" t="n"/>
      <c r="S51" s="71" t="n"/>
      <c r="T51" s="71" t="n"/>
      <c r="U51" s="71" t="n"/>
      <c r="V51" s="71" t="n"/>
      <c r="W51" s="71" t="n"/>
      <c r="X51" s="71" t="n"/>
      <c r="Y51" s="71" t="n"/>
      <c r="Z51" s="71" t="n"/>
    </row>
    <row r="52" ht="15.75" customHeight="1">
      <c r="A52" s="71" t="n"/>
      <c r="B52" s="71" t="n"/>
      <c r="C52" s="71" t="n"/>
      <c r="D52" s="71" t="n"/>
      <c r="E52" s="71" t="n"/>
      <c r="F52" s="71" t="n"/>
      <c r="G52" s="71" t="n"/>
      <c r="I52" s="71" t="n"/>
      <c r="J52" s="71" t="n"/>
      <c r="K52" s="71" t="n"/>
      <c r="L52" s="71" t="n"/>
      <c r="M52" s="71" t="n"/>
      <c r="N52" s="71" t="n"/>
      <c r="O52" s="71" t="n"/>
      <c r="P52" s="71" t="n"/>
      <c r="Q52" s="71" t="n"/>
      <c r="R52" s="71" t="n"/>
      <c r="S52" s="71" t="n"/>
      <c r="T52" s="71" t="n"/>
      <c r="U52" s="71" t="n"/>
      <c r="V52" s="71" t="n"/>
      <c r="W52" s="71" t="n"/>
      <c r="X52" s="71" t="n"/>
      <c r="Y52" s="71" t="n"/>
      <c r="Z52" s="71" t="n"/>
    </row>
    <row r="53" ht="15.75" customHeight="1">
      <c r="A53" s="71" t="n"/>
      <c r="B53" s="71" t="n"/>
      <c r="C53" s="71" t="n"/>
      <c r="D53" s="71" t="n"/>
      <c r="E53" s="71" t="n"/>
      <c r="F53" s="71" t="n"/>
      <c r="G53" s="71" t="n"/>
      <c r="H53" s="80" t="n"/>
      <c r="I53" s="71" t="n"/>
      <c r="J53" s="71" t="n"/>
      <c r="K53" s="71" t="n"/>
      <c r="L53" s="71" t="n"/>
      <c r="M53" s="71" t="n"/>
      <c r="N53" s="71" t="n"/>
      <c r="O53" s="71" t="n"/>
      <c r="P53" s="71" t="n"/>
      <c r="Q53" s="71" t="n"/>
      <c r="R53" s="71" t="n"/>
      <c r="S53" s="71" t="n"/>
      <c r="T53" s="71" t="n"/>
      <c r="U53" s="71" t="n"/>
      <c r="V53" s="71" t="n"/>
      <c r="W53" s="71" t="n"/>
      <c r="X53" s="71" t="n"/>
      <c r="Y53" s="71" t="n"/>
      <c r="Z53" s="71" t="n"/>
    </row>
    <row r="54" ht="15.75" customHeight="1">
      <c r="A54" s="71" t="n"/>
      <c r="B54" s="71" t="n"/>
      <c r="C54" s="71" t="n"/>
      <c r="D54" s="71" t="n"/>
      <c r="E54" s="71" t="n"/>
      <c r="F54" s="71" t="n"/>
      <c r="G54" s="71" t="n"/>
      <c r="H54" s="71" t="n"/>
      <c r="I54" s="71" t="n"/>
      <c r="J54" s="71" t="n"/>
      <c r="K54" s="71" t="n"/>
      <c r="L54" s="71" t="n"/>
      <c r="M54" s="71" t="n"/>
      <c r="N54" s="71" t="n"/>
      <c r="O54" s="71" t="n"/>
      <c r="P54" s="71" t="n"/>
      <c r="Q54" s="71" t="n"/>
      <c r="R54" s="71" t="n"/>
      <c r="S54" s="71" t="n"/>
      <c r="T54" s="71" t="n"/>
      <c r="U54" s="71" t="n"/>
      <c r="V54" s="71" t="n"/>
      <c r="W54" s="71" t="n"/>
      <c r="X54" s="71" t="n"/>
      <c r="Y54" s="71" t="n"/>
      <c r="Z54" s="71" t="n"/>
    </row>
    <row r="55" ht="15.75" customHeight="1">
      <c r="A55" s="71" t="n"/>
      <c r="B55" s="71" t="n"/>
      <c r="C55" s="71" t="n"/>
      <c r="D55" s="71" t="n"/>
      <c r="E55" s="71" t="n"/>
      <c r="F55" s="71" t="n"/>
      <c r="G55" s="71" t="n"/>
      <c r="H55" s="71" t="n"/>
      <c r="I55" s="71" t="n"/>
      <c r="J55" s="71" t="n"/>
      <c r="K55" s="71" t="n"/>
      <c r="L55" s="71" t="n"/>
      <c r="M55" s="71" t="n"/>
      <c r="N55" s="71" t="n"/>
      <c r="O55" s="71" t="n"/>
      <c r="P55" s="71" t="n"/>
      <c r="Q55" s="71" t="n"/>
      <c r="R55" s="71" t="n"/>
      <c r="S55" s="71" t="n"/>
      <c r="T55" s="71" t="n"/>
      <c r="U55" s="71" t="n"/>
      <c r="V55" s="71" t="n"/>
      <c r="W55" s="71" t="n"/>
      <c r="X55" s="71" t="n"/>
      <c r="Y55" s="71" t="n"/>
      <c r="Z55" s="71" t="n"/>
    </row>
    <row r="56" ht="15.75" customHeight="1">
      <c r="A56" s="71" t="n"/>
      <c r="B56" s="71" t="n"/>
      <c r="C56" s="71" t="n"/>
      <c r="D56" s="71" t="n"/>
      <c r="E56" s="71" t="n"/>
      <c r="F56" s="71" t="n"/>
      <c r="G56" s="71" t="n"/>
      <c r="H56" s="71" t="n"/>
      <c r="I56" s="71" t="n"/>
      <c r="J56" s="71" t="n"/>
      <c r="K56" s="71" t="n"/>
      <c r="L56" s="71" t="n"/>
      <c r="M56" s="71" t="n"/>
      <c r="N56" s="71" t="n"/>
      <c r="O56" s="71" t="n"/>
      <c r="P56" s="71" t="n"/>
      <c r="Q56" s="71" t="n"/>
      <c r="R56" s="71" t="n"/>
      <c r="S56" s="71" t="n"/>
      <c r="T56" s="71" t="n"/>
      <c r="U56" s="71" t="n"/>
      <c r="V56" s="71" t="n"/>
      <c r="W56" s="71" t="n"/>
      <c r="X56" s="71" t="n"/>
      <c r="Y56" s="71" t="n"/>
      <c r="Z56" s="71" t="n"/>
    </row>
    <row r="57" ht="15.75" customHeight="1">
      <c r="A57" s="71" t="n"/>
      <c r="B57" s="71" t="n"/>
      <c r="C57" s="71" t="n"/>
      <c r="D57" s="71" t="n"/>
      <c r="E57" s="71" t="n"/>
      <c r="F57" s="71" t="n"/>
      <c r="G57" s="71" t="n"/>
      <c r="H57" s="71" t="n"/>
      <c r="I57" s="71" t="n"/>
      <c r="J57" s="71" t="n"/>
      <c r="K57" s="71" t="n"/>
      <c r="L57" s="71" t="n"/>
      <c r="M57" s="71" t="n"/>
      <c r="N57" s="71" t="n"/>
      <c r="O57" s="71" t="n"/>
      <c r="P57" s="71" t="n"/>
      <c r="Q57" s="71" t="n"/>
      <c r="R57" s="71" t="n"/>
      <c r="S57" s="71" t="n"/>
      <c r="T57" s="71" t="n"/>
      <c r="U57" s="71" t="n"/>
      <c r="V57" s="71" t="n"/>
      <c r="W57" s="71" t="n"/>
      <c r="X57" s="71" t="n"/>
      <c r="Y57" s="71" t="n"/>
      <c r="Z57" s="71" t="n"/>
    </row>
    <row r="58" ht="15.75" customHeight="1">
      <c r="A58" s="71" t="n"/>
      <c r="B58" s="71" t="n"/>
      <c r="C58" s="71" t="n"/>
      <c r="D58" s="71" t="n"/>
      <c r="E58" s="71" t="n"/>
      <c r="F58" s="71" t="n"/>
      <c r="G58" s="71" t="n"/>
      <c r="H58" s="71" t="n"/>
      <c r="I58" s="71" t="n"/>
      <c r="J58" s="71" t="n"/>
      <c r="K58" s="71" t="n"/>
      <c r="L58" s="71" t="n"/>
      <c r="M58" s="71" t="n"/>
      <c r="N58" s="71" t="n"/>
      <c r="O58" s="71" t="n"/>
      <c r="P58" s="71" t="n"/>
      <c r="Q58" s="71" t="n"/>
      <c r="R58" s="71" t="n"/>
      <c r="S58" s="71" t="n"/>
      <c r="T58" s="71" t="n"/>
      <c r="U58" s="71" t="n"/>
      <c r="V58" s="71" t="n"/>
      <c r="W58" s="71" t="n"/>
      <c r="X58" s="71" t="n"/>
      <c r="Y58" s="71" t="n"/>
      <c r="Z58" s="71" t="n"/>
    </row>
    <row r="59" ht="15.75" customHeight="1">
      <c r="A59" s="71" t="n"/>
      <c r="B59" s="71" t="n"/>
      <c r="C59" s="71" t="n"/>
      <c r="D59" s="71" t="n"/>
      <c r="E59" s="71" t="n"/>
      <c r="F59" s="71" t="n"/>
      <c r="G59" s="71" t="n"/>
      <c r="H59" s="71" t="n"/>
      <c r="I59" s="71" t="n"/>
      <c r="J59" s="71" t="n"/>
      <c r="K59" s="71" t="n"/>
      <c r="L59" s="71" t="n"/>
      <c r="M59" s="71" t="n"/>
      <c r="N59" s="71" t="n"/>
      <c r="O59" s="71" t="n"/>
      <c r="P59" s="71" t="n"/>
      <c r="Q59" s="71" t="n"/>
      <c r="R59" s="71" t="n"/>
      <c r="S59" s="71" t="n"/>
      <c r="T59" s="71" t="n"/>
      <c r="U59" s="71" t="n"/>
      <c r="V59" s="71" t="n"/>
      <c r="W59" s="71" t="n"/>
      <c r="X59" s="71" t="n"/>
      <c r="Y59" s="71" t="n"/>
      <c r="Z59" s="71" t="n"/>
    </row>
    <row r="60" ht="15.75" customHeight="1">
      <c r="A60" s="71" t="n"/>
      <c r="B60" s="71" t="n"/>
      <c r="C60" s="71" t="n"/>
      <c r="D60" s="71" t="n"/>
      <c r="E60" s="71" t="n"/>
      <c r="F60" s="71" t="n"/>
      <c r="G60" s="71" t="n"/>
      <c r="H60" s="71" t="n"/>
      <c r="I60" s="71" t="n"/>
      <c r="J60" s="71" t="n"/>
      <c r="K60" s="71" t="n"/>
      <c r="L60" s="71" t="n"/>
      <c r="M60" s="71" t="n"/>
      <c r="N60" s="71" t="n"/>
      <c r="O60" s="71" t="n"/>
      <c r="P60" s="71" t="n"/>
      <c r="Q60" s="71" t="n"/>
      <c r="R60" s="71" t="n"/>
      <c r="S60" s="71" t="n"/>
      <c r="T60" s="71" t="n"/>
      <c r="U60" s="71" t="n"/>
      <c r="V60" s="71" t="n"/>
      <c r="W60" s="71" t="n"/>
      <c r="X60" s="71" t="n"/>
      <c r="Y60" s="71" t="n"/>
      <c r="Z60" s="71" t="n"/>
    </row>
    <row r="61" ht="15.75" customHeight="1">
      <c r="A61" s="71" t="n"/>
      <c r="B61" s="71" t="n"/>
      <c r="C61" s="71" t="n"/>
      <c r="D61" s="71" t="n"/>
      <c r="E61" s="71" t="n"/>
      <c r="F61" s="71" t="n"/>
      <c r="G61" s="71" t="n"/>
      <c r="H61" s="71" t="n"/>
      <c r="I61" s="71" t="n"/>
      <c r="J61" s="71" t="n"/>
      <c r="K61" s="71" t="n"/>
      <c r="L61" s="71" t="n"/>
      <c r="M61" s="71" t="n"/>
      <c r="N61" s="71" t="n"/>
      <c r="O61" s="71" t="n"/>
      <c r="P61" s="71" t="n"/>
      <c r="Q61" s="71" t="n"/>
      <c r="R61" s="71" t="n"/>
      <c r="S61" s="71" t="n"/>
      <c r="T61" s="71" t="n"/>
      <c r="U61" s="71" t="n"/>
      <c r="V61" s="71" t="n"/>
      <c r="W61" s="71" t="n"/>
      <c r="X61" s="71" t="n"/>
      <c r="Y61" s="71" t="n"/>
      <c r="Z61" s="71" t="n"/>
    </row>
    <row r="62" ht="15.75" customHeight="1">
      <c r="A62" s="71" t="n"/>
      <c r="B62" s="71" t="n"/>
      <c r="C62" s="71" t="n"/>
      <c r="D62" s="71" t="n"/>
      <c r="E62" s="71" t="n"/>
      <c r="F62" s="71" t="n"/>
      <c r="G62" s="71" t="n"/>
      <c r="H62" s="71" t="n"/>
      <c r="I62" s="71" t="n"/>
      <c r="J62" s="71" t="n"/>
      <c r="K62" s="71" t="n"/>
      <c r="L62" s="71" t="n"/>
      <c r="M62" s="71" t="n"/>
      <c r="N62" s="71" t="n"/>
      <c r="O62" s="71" t="n"/>
      <c r="P62" s="71" t="n"/>
      <c r="Q62" s="71" t="n"/>
      <c r="R62" s="71" t="n"/>
      <c r="S62" s="71" t="n"/>
      <c r="T62" s="71" t="n"/>
      <c r="U62" s="71" t="n"/>
      <c r="V62" s="71" t="n"/>
      <c r="W62" s="71" t="n"/>
      <c r="X62" s="71" t="n"/>
      <c r="Y62" s="71" t="n"/>
      <c r="Z62" s="71" t="n"/>
    </row>
    <row r="63" ht="15.75" customHeight="1">
      <c r="A63" s="71" t="n"/>
      <c r="B63" s="71" t="n"/>
      <c r="C63" s="71" t="n"/>
      <c r="D63" s="71" t="n"/>
      <c r="E63" s="71" t="n"/>
      <c r="F63" s="71" t="n"/>
      <c r="G63" s="71" t="n"/>
      <c r="H63" s="71" t="n"/>
      <c r="I63" s="71" t="n"/>
      <c r="J63" s="71" t="n"/>
      <c r="K63" s="71" t="n"/>
      <c r="L63" s="71" t="n"/>
      <c r="M63" s="71" t="n"/>
      <c r="N63" s="71" t="n"/>
      <c r="O63" s="71" t="n"/>
      <c r="P63" s="71" t="n"/>
      <c r="Q63" s="71" t="n"/>
      <c r="R63" s="71" t="n"/>
      <c r="S63" s="71" t="n"/>
      <c r="T63" s="71" t="n"/>
      <c r="U63" s="71" t="n"/>
      <c r="V63" s="71" t="n"/>
      <c r="W63" s="71" t="n"/>
      <c r="X63" s="71" t="n"/>
      <c r="Y63" s="71" t="n"/>
      <c r="Z63" s="71" t="n"/>
    </row>
    <row r="64" ht="15.75" customHeight="1">
      <c r="A64" s="71" t="n"/>
      <c r="B64" s="71" t="n"/>
      <c r="C64" s="71" t="n"/>
      <c r="D64" s="71" t="n"/>
      <c r="E64" s="71" t="n"/>
      <c r="F64" s="71" t="n"/>
      <c r="G64" s="71" t="n"/>
      <c r="H64" s="71" t="n"/>
      <c r="I64" s="71" t="n"/>
      <c r="J64" s="71" t="n"/>
      <c r="K64" s="71" t="n"/>
      <c r="L64" s="71" t="n"/>
      <c r="M64" s="71" t="n"/>
      <c r="N64" s="71" t="n"/>
      <c r="O64" s="71" t="n"/>
      <c r="P64" s="71" t="n"/>
      <c r="Q64" s="71" t="n"/>
      <c r="R64" s="71" t="n"/>
      <c r="S64" s="71" t="n"/>
      <c r="T64" s="71" t="n"/>
      <c r="U64" s="71" t="n"/>
      <c r="V64" s="71" t="n"/>
      <c r="W64" s="71" t="n"/>
      <c r="X64" s="71" t="n"/>
      <c r="Y64" s="71" t="n"/>
      <c r="Z64" s="71" t="n"/>
    </row>
    <row r="65" ht="15.75" customHeight="1">
      <c r="A65" s="71" t="n"/>
      <c r="B65" s="71" t="n"/>
      <c r="C65" s="71" t="n"/>
      <c r="D65" s="71" t="n"/>
      <c r="E65" s="71" t="n"/>
      <c r="F65" s="71" t="n"/>
      <c r="G65" s="71" t="n"/>
      <c r="H65" s="71" t="n"/>
      <c r="I65" s="71" t="n"/>
      <c r="J65" s="71" t="n"/>
      <c r="K65" s="71" t="n"/>
      <c r="L65" s="71" t="n"/>
      <c r="M65" s="71" t="n"/>
      <c r="N65" s="71" t="n"/>
      <c r="O65" s="71" t="n"/>
      <c r="P65" s="71" t="n"/>
      <c r="Q65" s="71" t="n"/>
      <c r="R65" s="71" t="n"/>
      <c r="S65" s="71" t="n"/>
      <c r="T65" s="71" t="n"/>
      <c r="U65" s="71" t="n"/>
      <c r="V65" s="71" t="n"/>
      <c r="W65" s="71" t="n"/>
      <c r="X65" s="71" t="n"/>
      <c r="Y65" s="71" t="n"/>
      <c r="Z65" s="71" t="n"/>
    </row>
    <row r="66" ht="15.75" customHeight="1">
      <c r="A66" s="71" t="n"/>
      <c r="B66" s="71" t="n"/>
      <c r="C66" s="71" t="n"/>
      <c r="D66" s="71" t="n"/>
      <c r="E66" s="71" t="n"/>
      <c r="F66" s="71" t="n"/>
      <c r="G66" s="71" t="n"/>
      <c r="H66" s="71" t="n"/>
      <c r="I66" s="71" t="n"/>
      <c r="J66" s="71" t="n"/>
      <c r="K66" s="71" t="n"/>
      <c r="L66" s="71" t="n"/>
      <c r="M66" s="71" t="n"/>
      <c r="N66" s="71" t="n"/>
      <c r="O66" s="71" t="n"/>
      <c r="P66" s="71" t="n"/>
      <c r="Q66" s="71" t="n"/>
      <c r="R66" s="71" t="n"/>
      <c r="S66" s="71" t="n"/>
      <c r="T66" s="71" t="n"/>
      <c r="U66" s="71" t="n"/>
      <c r="V66" s="71" t="n"/>
      <c r="W66" s="71" t="n"/>
      <c r="X66" s="71" t="n"/>
      <c r="Y66" s="71" t="n"/>
      <c r="Z66" s="71" t="n"/>
    </row>
    <row r="67" ht="15.75" customHeight="1">
      <c r="A67" s="71" t="n"/>
      <c r="B67" s="71" t="n"/>
      <c r="C67" s="71" t="n"/>
      <c r="D67" s="71" t="n"/>
      <c r="E67" s="71" t="n"/>
      <c r="F67" s="71" t="n"/>
      <c r="G67" s="71" t="n"/>
      <c r="H67" s="71" t="n"/>
      <c r="I67" s="71" t="n"/>
      <c r="J67" s="71" t="n"/>
      <c r="K67" s="71" t="n"/>
      <c r="L67" s="71" t="n"/>
      <c r="M67" s="71" t="n"/>
      <c r="N67" s="71" t="n"/>
      <c r="O67" s="71" t="n"/>
      <c r="P67" s="71" t="n"/>
      <c r="Q67" s="71" t="n"/>
      <c r="R67" s="71" t="n"/>
      <c r="S67" s="71" t="n"/>
      <c r="T67" s="71" t="n"/>
      <c r="U67" s="71" t="n"/>
      <c r="V67" s="71" t="n"/>
      <c r="W67" s="71" t="n"/>
      <c r="X67" s="71" t="n"/>
      <c r="Y67" s="71" t="n"/>
      <c r="Z67" s="71" t="n"/>
    </row>
    <row r="68" ht="15.75" customHeight="1">
      <c r="A68" s="71" t="n"/>
      <c r="B68" s="71" t="n"/>
      <c r="C68" s="71" t="n"/>
      <c r="D68" s="71" t="n"/>
      <c r="E68" s="71" t="n"/>
      <c r="F68" s="71" t="n"/>
      <c r="G68" s="71" t="n"/>
      <c r="H68" s="71" t="n"/>
      <c r="I68" s="71" t="n"/>
      <c r="J68" s="71" t="n"/>
      <c r="K68" s="71" t="n"/>
      <c r="L68" s="71" t="n"/>
      <c r="M68" s="71" t="n"/>
      <c r="N68" s="71" t="n"/>
      <c r="O68" s="71" t="n"/>
      <c r="P68" s="71" t="n"/>
      <c r="Q68" s="71" t="n"/>
      <c r="R68" s="71" t="n"/>
      <c r="S68" s="71" t="n"/>
      <c r="T68" s="71" t="n"/>
      <c r="U68" s="71" t="n"/>
      <c r="V68" s="71" t="n"/>
      <c r="W68" s="71" t="n"/>
      <c r="X68" s="71" t="n"/>
      <c r="Y68" s="71" t="n"/>
      <c r="Z68" s="71" t="n"/>
    </row>
    <row r="69" ht="15.75" customHeight="1">
      <c r="A69" s="71" t="n"/>
      <c r="B69" s="71" t="n"/>
      <c r="C69" s="71" t="n"/>
      <c r="D69" s="71" t="n"/>
      <c r="E69" s="71" t="n"/>
      <c r="F69" s="71" t="n"/>
      <c r="G69" s="71" t="n"/>
      <c r="H69" s="71" t="n"/>
      <c r="I69" s="71" t="n"/>
      <c r="J69" s="71" t="n"/>
      <c r="K69" s="71" t="n"/>
      <c r="L69" s="71" t="n"/>
      <c r="M69" s="71" t="n"/>
      <c r="N69" s="71" t="n"/>
      <c r="O69" s="71" t="n"/>
      <c r="P69" s="71" t="n"/>
      <c r="Q69" s="71" t="n"/>
      <c r="R69" s="71" t="n"/>
      <c r="S69" s="71" t="n"/>
      <c r="T69" s="71" t="n"/>
      <c r="U69" s="71" t="n"/>
      <c r="V69" s="71" t="n"/>
      <c r="W69" s="71" t="n"/>
      <c r="X69" s="71" t="n"/>
      <c r="Y69" s="71" t="n"/>
      <c r="Z69" s="71" t="n"/>
    </row>
    <row r="70" ht="15.75" customHeight="1">
      <c r="A70" s="71" t="n"/>
      <c r="B70" s="71" t="n"/>
      <c r="C70" s="71" t="n"/>
      <c r="D70" s="71" t="n"/>
      <c r="E70" s="71" t="n"/>
      <c r="F70" s="71" t="n"/>
      <c r="G70" s="71" t="n"/>
      <c r="H70" s="71" t="n"/>
      <c r="I70" s="71" t="n"/>
      <c r="J70" s="71" t="n"/>
      <c r="K70" s="71" t="n"/>
      <c r="L70" s="71" t="n"/>
      <c r="M70" s="71" t="n"/>
      <c r="N70" s="71" t="n"/>
      <c r="O70" s="71" t="n"/>
      <c r="P70" s="71" t="n"/>
      <c r="Q70" s="71" t="n"/>
      <c r="R70" s="71" t="n"/>
      <c r="S70" s="71" t="n"/>
      <c r="T70" s="71" t="n"/>
      <c r="U70" s="71" t="n"/>
      <c r="V70" s="71" t="n"/>
      <c r="W70" s="71" t="n"/>
      <c r="X70" s="71" t="n"/>
      <c r="Y70" s="71" t="n"/>
      <c r="Z70" s="71" t="n"/>
    </row>
    <row r="71" ht="15.75" customHeight="1">
      <c r="A71" s="71" t="n"/>
      <c r="B71" s="71" t="n"/>
      <c r="C71" s="71" t="n"/>
      <c r="D71" s="71" t="n"/>
      <c r="E71" s="71" t="n"/>
      <c r="F71" s="71" t="n"/>
      <c r="G71" s="71" t="n"/>
      <c r="H71" s="71" t="n"/>
      <c r="I71" s="71" t="n"/>
      <c r="J71" s="71" t="n"/>
      <c r="K71" s="71" t="n"/>
      <c r="L71" s="71" t="n"/>
      <c r="M71" s="71" t="n"/>
      <c r="N71" s="71" t="n"/>
      <c r="O71" s="71" t="n"/>
      <c r="P71" s="71" t="n"/>
      <c r="Q71" s="71" t="n"/>
      <c r="R71" s="71" t="n"/>
      <c r="S71" s="71" t="n"/>
      <c r="T71" s="71" t="n"/>
      <c r="U71" s="71" t="n"/>
      <c r="V71" s="71" t="n"/>
      <c r="W71" s="71" t="n"/>
      <c r="X71" s="71" t="n"/>
      <c r="Y71" s="71" t="n"/>
      <c r="Z71" s="71" t="n"/>
    </row>
    <row r="72" ht="15.75" customHeight="1">
      <c r="A72" s="71" t="n"/>
      <c r="B72" s="71" t="n"/>
      <c r="C72" s="71" t="n"/>
      <c r="D72" s="71" t="n"/>
      <c r="E72" s="71" t="n"/>
      <c r="F72" s="71" t="n"/>
      <c r="G72" s="71" t="n"/>
      <c r="H72" s="71" t="n"/>
      <c r="I72" s="71" t="n"/>
      <c r="J72" s="71" t="n"/>
      <c r="K72" s="71" t="n"/>
      <c r="L72" s="71" t="n"/>
      <c r="M72" s="71" t="n"/>
      <c r="N72" s="71" t="n"/>
      <c r="O72" s="71" t="n"/>
      <c r="P72" s="71" t="n"/>
      <c r="Q72" s="71" t="n"/>
      <c r="R72" s="71" t="n"/>
      <c r="S72" s="71" t="n"/>
      <c r="T72" s="71" t="n"/>
      <c r="U72" s="71" t="n"/>
      <c r="V72" s="71" t="n"/>
      <c r="W72" s="71" t="n"/>
      <c r="X72" s="71" t="n"/>
      <c r="Y72" s="71" t="n"/>
      <c r="Z72" s="71" t="n"/>
    </row>
    <row r="73" ht="15.75" customHeight="1">
      <c r="A73" s="71" t="n"/>
      <c r="B73" s="71" t="n"/>
      <c r="C73" s="71" t="n"/>
      <c r="D73" s="71" t="n"/>
      <c r="E73" s="71" t="n"/>
      <c r="F73" s="71" t="n"/>
      <c r="G73" s="71" t="n"/>
      <c r="H73" s="71" t="n"/>
      <c r="I73" s="71" t="n"/>
      <c r="J73" s="71" t="n"/>
      <c r="K73" s="71" t="n"/>
      <c r="L73" s="71" t="n"/>
      <c r="M73" s="71" t="n"/>
      <c r="N73" s="71" t="n"/>
      <c r="O73" s="71" t="n"/>
      <c r="P73" s="71" t="n"/>
      <c r="Q73" s="71" t="n"/>
      <c r="R73" s="71" t="n"/>
      <c r="S73" s="71" t="n"/>
      <c r="T73" s="71" t="n"/>
      <c r="U73" s="71" t="n"/>
      <c r="V73" s="71" t="n"/>
      <c r="W73" s="71" t="n"/>
      <c r="X73" s="71" t="n"/>
      <c r="Y73" s="71" t="n"/>
      <c r="Z73" s="71" t="n"/>
    </row>
    <row r="74" ht="15.75" customHeight="1">
      <c r="A74" s="71" t="n"/>
      <c r="B74" s="71" t="n"/>
      <c r="C74" s="71" t="n"/>
      <c r="D74" s="71" t="n"/>
      <c r="E74" s="71" t="n"/>
      <c r="F74" s="71" t="n"/>
      <c r="G74" s="71" t="n"/>
      <c r="H74" s="71" t="n"/>
      <c r="I74" s="71" t="n"/>
      <c r="J74" s="71" t="n"/>
      <c r="K74" s="71" t="n"/>
      <c r="L74" s="71" t="n"/>
      <c r="M74" s="71" t="n"/>
      <c r="N74" s="71" t="n"/>
      <c r="O74" s="71" t="n"/>
      <c r="P74" s="71" t="n"/>
      <c r="Q74" s="71" t="n"/>
      <c r="R74" s="71" t="n"/>
      <c r="S74" s="71" t="n"/>
      <c r="T74" s="71" t="n"/>
      <c r="U74" s="71" t="n"/>
      <c r="V74" s="71" t="n"/>
      <c r="W74" s="71" t="n"/>
      <c r="X74" s="71" t="n"/>
      <c r="Y74" s="71" t="n"/>
      <c r="Z74" s="71" t="n"/>
    </row>
    <row r="75" ht="15.75" customHeight="1">
      <c r="A75" s="71" t="n"/>
      <c r="B75" s="71" t="n"/>
      <c r="C75" s="71" t="n"/>
      <c r="D75" s="71" t="n"/>
      <c r="E75" s="71" t="n"/>
      <c r="F75" s="71" t="n"/>
      <c r="G75" s="71" t="n"/>
      <c r="H75" s="71" t="n"/>
      <c r="I75" s="71" t="n"/>
      <c r="J75" s="71" t="n"/>
      <c r="K75" s="71" t="n"/>
      <c r="L75" s="71" t="n"/>
      <c r="M75" s="71" t="n"/>
      <c r="N75" s="71" t="n"/>
      <c r="O75" s="71" t="n"/>
      <c r="P75" s="71" t="n"/>
      <c r="Q75" s="71" t="n"/>
      <c r="R75" s="71" t="n"/>
      <c r="S75" s="71" t="n"/>
      <c r="T75" s="71" t="n"/>
      <c r="U75" s="71" t="n"/>
      <c r="V75" s="71" t="n"/>
      <c r="W75" s="71" t="n"/>
      <c r="X75" s="71" t="n"/>
      <c r="Y75" s="71" t="n"/>
      <c r="Z75" s="71" t="n"/>
    </row>
    <row r="76" ht="15.75" customHeight="1">
      <c r="A76" s="71" t="n"/>
      <c r="B76" s="71" t="n"/>
      <c r="C76" s="71" t="n"/>
      <c r="D76" s="71" t="n"/>
      <c r="E76" s="71" t="n"/>
      <c r="F76" s="71" t="n"/>
      <c r="G76" s="71" t="n"/>
      <c r="H76" s="71" t="n"/>
      <c r="I76" s="71" t="n"/>
      <c r="J76" s="71" t="n"/>
      <c r="K76" s="71" t="n"/>
      <c r="L76" s="71" t="n"/>
      <c r="M76" s="71" t="n"/>
      <c r="N76" s="71" t="n"/>
      <c r="O76" s="71" t="n"/>
      <c r="P76" s="71" t="n"/>
      <c r="Q76" s="71" t="n"/>
      <c r="R76" s="71" t="n"/>
      <c r="S76" s="71" t="n"/>
      <c r="T76" s="71" t="n"/>
      <c r="U76" s="71" t="n"/>
      <c r="V76" s="71" t="n"/>
      <c r="W76" s="71" t="n"/>
      <c r="X76" s="71" t="n"/>
      <c r="Y76" s="71" t="n"/>
      <c r="Z76" s="71" t="n"/>
    </row>
    <row r="77" ht="15.75" customHeight="1">
      <c r="A77" s="71" t="n"/>
      <c r="B77" s="71" t="n"/>
      <c r="C77" s="71" t="n"/>
      <c r="D77" s="71" t="n"/>
      <c r="E77" s="71" t="n"/>
      <c r="F77" s="71" t="n"/>
      <c r="G77" s="71" t="n"/>
      <c r="H77" s="71" t="n"/>
      <c r="I77" s="71" t="n"/>
      <c r="J77" s="71" t="n"/>
      <c r="K77" s="71" t="n"/>
      <c r="L77" s="71" t="n"/>
      <c r="M77" s="71" t="n"/>
      <c r="N77" s="71" t="n"/>
      <c r="O77" s="71" t="n"/>
      <c r="P77" s="71" t="n"/>
      <c r="Q77" s="71" t="n"/>
      <c r="R77" s="71" t="n"/>
      <c r="S77" s="71" t="n"/>
      <c r="T77" s="71" t="n"/>
      <c r="U77" s="71" t="n"/>
      <c r="V77" s="71" t="n"/>
      <c r="W77" s="71" t="n"/>
      <c r="X77" s="71" t="n"/>
      <c r="Y77" s="71" t="n"/>
      <c r="Z77" s="71" t="n"/>
    </row>
    <row r="78" ht="15.75" customHeight="1">
      <c r="A78" s="71" t="n"/>
      <c r="B78" s="71" t="n"/>
      <c r="C78" s="71" t="n"/>
      <c r="D78" s="71" t="n"/>
      <c r="E78" s="71" t="n"/>
      <c r="F78" s="71" t="n"/>
      <c r="G78" s="71" t="n"/>
      <c r="H78" s="71" t="n"/>
      <c r="I78" s="71" t="n"/>
      <c r="J78" s="71" t="n"/>
      <c r="K78" s="71" t="n"/>
      <c r="L78" s="71" t="n"/>
      <c r="M78" s="71" t="n"/>
      <c r="N78" s="71" t="n"/>
      <c r="O78" s="71" t="n"/>
      <c r="P78" s="71" t="n"/>
      <c r="Q78" s="71" t="n"/>
      <c r="R78" s="71" t="n"/>
      <c r="S78" s="71" t="n"/>
      <c r="T78" s="71" t="n"/>
      <c r="U78" s="71" t="n"/>
      <c r="V78" s="71" t="n"/>
      <c r="W78" s="71" t="n"/>
      <c r="X78" s="71" t="n"/>
      <c r="Y78" s="71" t="n"/>
      <c r="Z78" s="71" t="n"/>
    </row>
    <row r="79" ht="15.75" customHeight="1">
      <c r="A79" s="71" t="n"/>
      <c r="B79" s="71" t="n"/>
      <c r="C79" s="71" t="n"/>
      <c r="D79" s="71" t="n"/>
      <c r="E79" s="71" t="n"/>
      <c r="F79" s="71" t="n"/>
      <c r="G79" s="71" t="n"/>
      <c r="H79" s="71" t="n"/>
      <c r="I79" s="71" t="n"/>
      <c r="J79" s="71" t="n"/>
      <c r="K79" s="71" t="n"/>
      <c r="L79" s="71" t="n"/>
      <c r="M79" s="71" t="n"/>
      <c r="N79" s="71" t="n"/>
      <c r="O79" s="71" t="n"/>
      <c r="P79" s="71" t="n"/>
      <c r="Q79" s="71" t="n"/>
      <c r="R79" s="71" t="n"/>
      <c r="S79" s="71" t="n"/>
      <c r="T79" s="71" t="n"/>
      <c r="U79" s="71" t="n"/>
      <c r="V79" s="71" t="n"/>
      <c r="W79" s="71" t="n"/>
      <c r="X79" s="71" t="n"/>
      <c r="Y79" s="71" t="n"/>
      <c r="Z79" s="71" t="n"/>
    </row>
    <row r="80" ht="15.75" customHeight="1">
      <c r="A80" s="71" t="n"/>
      <c r="B80" s="71" t="n"/>
      <c r="C80" s="71" t="n"/>
      <c r="D80" s="71" t="n"/>
      <c r="E80" s="71" t="n"/>
      <c r="F80" s="71" t="n"/>
      <c r="G80" s="71" t="n"/>
      <c r="H80" s="71" t="n"/>
      <c r="I80" s="71" t="n"/>
      <c r="J80" s="71" t="n"/>
      <c r="K80" s="71" t="n"/>
      <c r="L80" s="71" t="n"/>
      <c r="M80" s="71" t="n"/>
      <c r="N80" s="71" t="n"/>
      <c r="O80" s="71" t="n"/>
      <c r="P80" s="71" t="n"/>
      <c r="Q80" s="71" t="n"/>
      <c r="R80" s="71" t="n"/>
      <c r="S80" s="71" t="n"/>
      <c r="T80" s="71" t="n"/>
      <c r="U80" s="71" t="n"/>
      <c r="V80" s="71" t="n"/>
      <c r="W80" s="71" t="n"/>
      <c r="X80" s="71" t="n"/>
      <c r="Y80" s="71" t="n"/>
      <c r="Z80" s="71" t="n"/>
    </row>
    <row r="81" ht="15.75" customHeight="1">
      <c r="A81" s="71" t="n"/>
      <c r="B81" s="71" t="n"/>
      <c r="C81" s="71" t="n"/>
      <c r="D81" s="71" t="n"/>
      <c r="E81" s="71" t="n"/>
      <c r="F81" s="71" t="n"/>
      <c r="G81" s="71" t="n"/>
      <c r="H81" s="71" t="n"/>
      <c r="I81" s="71" t="n"/>
      <c r="J81" s="71" t="n"/>
      <c r="K81" s="71" t="n"/>
      <c r="L81" s="71" t="n"/>
      <c r="M81" s="71" t="n"/>
      <c r="N81" s="71" t="n"/>
      <c r="O81" s="71" t="n"/>
      <c r="P81" s="71" t="n"/>
      <c r="Q81" s="71" t="n"/>
      <c r="R81" s="71" t="n"/>
      <c r="S81" s="71" t="n"/>
      <c r="T81" s="71" t="n"/>
      <c r="U81" s="71" t="n"/>
      <c r="V81" s="71" t="n"/>
      <c r="W81" s="71" t="n"/>
      <c r="X81" s="71" t="n"/>
      <c r="Y81" s="71" t="n"/>
      <c r="Z81" s="71" t="n"/>
    </row>
    <row r="82" ht="15.75" customHeight="1">
      <c r="A82" s="71" t="n"/>
      <c r="B82" s="71" t="n"/>
      <c r="C82" s="71" t="n"/>
      <c r="D82" s="71" t="n"/>
      <c r="E82" s="71" t="n"/>
      <c r="F82" s="71" t="n"/>
      <c r="G82" s="71" t="n"/>
      <c r="H82" s="71" t="n"/>
      <c r="I82" s="71" t="n"/>
      <c r="J82" s="71" t="n"/>
      <c r="K82" s="71" t="n"/>
      <c r="L82" s="71" t="n"/>
      <c r="M82" s="71" t="n"/>
      <c r="N82" s="71" t="n"/>
      <c r="O82" s="71" t="n"/>
      <c r="P82" s="71" t="n"/>
      <c r="Q82" s="71" t="n"/>
      <c r="R82" s="71" t="n"/>
      <c r="S82" s="71" t="n"/>
      <c r="T82" s="71" t="n"/>
      <c r="U82" s="71" t="n"/>
      <c r="V82" s="71" t="n"/>
      <c r="W82" s="71" t="n"/>
      <c r="X82" s="71" t="n"/>
      <c r="Y82" s="71" t="n"/>
      <c r="Z82" s="71" t="n"/>
    </row>
    <row r="83" ht="15.75" customHeight="1">
      <c r="A83" s="71" t="n"/>
      <c r="B83" s="71" t="n"/>
      <c r="C83" s="71" t="n"/>
      <c r="D83" s="71" t="n"/>
      <c r="E83" s="71" t="n"/>
      <c r="F83" s="71" t="n"/>
      <c r="G83" s="71" t="n"/>
      <c r="H83" s="71" t="n"/>
      <c r="I83" s="71" t="n"/>
      <c r="J83" s="71" t="n"/>
      <c r="K83" s="71" t="n"/>
      <c r="L83" s="71" t="n"/>
      <c r="M83" s="71" t="n"/>
      <c r="N83" s="71" t="n"/>
      <c r="O83" s="71" t="n"/>
      <c r="P83" s="71" t="n"/>
      <c r="Q83" s="71" t="n"/>
      <c r="R83" s="71" t="n"/>
      <c r="S83" s="71" t="n"/>
      <c r="T83" s="71" t="n"/>
      <c r="U83" s="71" t="n"/>
      <c r="V83" s="71" t="n"/>
      <c r="W83" s="71" t="n"/>
      <c r="X83" s="71" t="n"/>
      <c r="Y83" s="71" t="n"/>
      <c r="Z83" s="71" t="n"/>
    </row>
    <row r="84" ht="15.75" customHeight="1">
      <c r="A84" s="71" t="n"/>
      <c r="B84" s="71" t="n"/>
      <c r="C84" s="71" t="n"/>
      <c r="D84" s="71" t="n"/>
      <c r="E84" s="71" t="n"/>
      <c r="F84" s="71" t="n"/>
      <c r="G84" s="71" t="n"/>
      <c r="H84" s="71" t="n"/>
      <c r="I84" s="71" t="n"/>
      <c r="J84" s="71" t="n"/>
      <c r="K84" s="71" t="n"/>
      <c r="L84" s="71" t="n"/>
      <c r="M84" s="71" t="n"/>
      <c r="N84" s="71" t="n"/>
      <c r="O84" s="71" t="n"/>
      <c r="P84" s="71" t="n"/>
      <c r="Q84" s="71" t="n"/>
      <c r="R84" s="71" t="n"/>
      <c r="S84" s="71" t="n"/>
      <c r="T84" s="71" t="n"/>
      <c r="U84" s="71" t="n"/>
      <c r="V84" s="71" t="n"/>
      <c r="W84" s="71" t="n"/>
      <c r="X84" s="71" t="n"/>
      <c r="Y84" s="71" t="n"/>
      <c r="Z84" s="71" t="n"/>
    </row>
    <row r="85" ht="15.75" customHeight="1">
      <c r="A85" s="71" t="n"/>
      <c r="B85" s="71" t="n"/>
      <c r="C85" s="71" t="n"/>
      <c r="D85" s="71" t="n"/>
      <c r="E85" s="71" t="n"/>
      <c r="F85" s="71" t="n"/>
      <c r="G85" s="71" t="n"/>
      <c r="H85" s="71" t="n"/>
      <c r="I85" s="71" t="n"/>
      <c r="J85" s="71" t="n"/>
      <c r="K85" s="71" t="n"/>
      <c r="L85" s="71" t="n"/>
      <c r="M85" s="71" t="n"/>
      <c r="N85" s="71" t="n"/>
      <c r="O85" s="71" t="n"/>
      <c r="P85" s="71" t="n"/>
      <c r="Q85" s="71" t="n"/>
      <c r="R85" s="71" t="n"/>
      <c r="S85" s="71" t="n"/>
      <c r="T85" s="71" t="n"/>
      <c r="U85" s="71" t="n"/>
      <c r="V85" s="71" t="n"/>
      <c r="W85" s="71" t="n"/>
      <c r="X85" s="71" t="n"/>
      <c r="Y85" s="71" t="n"/>
      <c r="Z85" s="71" t="n"/>
    </row>
    <row r="86" ht="15.75" customHeight="1">
      <c r="A86" s="71" t="n"/>
      <c r="B86" s="71" t="n"/>
      <c r="C86" s="71" t="n"/>
      <c r="D86" s="71" t="n"/>
      <c r="E86" s="71" t="n"/>
      <c r="F86" s="71" t="n"/>
      <c r="G86" s="71" t="n"/>
      <c r="H86" s="71" t="n"/>
      <c r="I86" s="71" t="n"/>
      <c r="J86" s="71" t="n"/>
      <c r="K86" s="71" t="n"/>
      <c r="L86" s="71" t="n"/>
      <c r="M86" s="71" t="n"/>
      <c r="N86" s="71" t="n"/>
      <c r="O86" s="71" t="n"/>
      <c r="P86" s="71" t="n"/>
      <c r="Q86" s="71" t="n"/>
      <c r="R86" s="71" t="n"/>
      <c r="S86" s="71" t="n"/>
      <c r="T86" s="71" t="n"/>
      <c r="U86" s="71" t="n"/>
      <c r="V86" s="71" t="n"/>
      <c r="W86" s="71" t="n"/>
      <c r="X86" s="71" t="n"/>
      <c r="Y86" s="71" t="n"/>
      <c r="Z86" s="71" t="n"/>
    </row>
    <row r="87" ht="15.75" customHeight="1">
      <c r="A87" s="71" t="n"/>
      <c r="B87" s="71" t="n"/>
      <c r="C87" s="71" t="n"/>
      <c r="D87" s="71" t="n"/>
      <c r="E87" s="71" t="n"/>
      <c r="F87" s="71" t="n"/>
      <c r="G87" s="71" t="n"/>
      <c r="H87" s="71" t="n"/>
      <c r="I87" s="71" t="n"/>
      <c r="J87" s="71" t="n"/>
      <c r="K87" s="71" t="n"/>
      <c r="L87" s="71" t="n"/>
      <c r="M87" s="71" t="n"/>
      <c r="N87" s="71" t="n"/>
      <c r="O87" s="71" t="n"/>
      <c r="P87" s="71" t="n"/>
      <c r="Q87" s="71" t="n"/>
      <c r="R87" s="71" t="n"/>
      <c r="S87" s="71" t="n"/>
      <c r="T87" s="71" t="n"/>
      <c r="U87" s="71" t="n"/>
      <c r="V87" s="71" t="n"/>
      <c r="W87" s="71" t="n"/>
      <c r="X87" s="71" t="n"/>
      <c r="Y87" s="71" t="n"/>
      <c r="Z87" s="71" t="n"/>
    </row>
    <row r="88" ht="15.75" customHeight="1">
      <c r="A88" s="71" t="n"/>
      <c r="B88" s="71" t="n"/>
      <c r="C88" s="71" t="n"/>
      <c r="D88" s="71" t="n"/>
      <c r="E88" s="71" t="n"/>
      <c r="F88" s="71" t="n"/>
      <c r="G88" s="71" t="n"/>
      <c r="H88" s="71" t="n"/>
      <c r="I88" s="71" t="n"/>
      <c r="J88" s="71" t="n"/>
      <c r="K88" s="71" t="n"/>
      <c r="L88" s="71" t="n"/>
      <c r="M88" s="71" t="n"/>
      <c r="N88" s="71" t="n"/>
      <c r="O88" s="71" t="n"/>
      <c r="P88" s="71" t="n"/>
      <c r="Q88" s="71" t="n"/>
      <c r="R88" s="71" t="n"/>
      <c r="S88" s="71" t="n"/>
      <c r="T88" s="71" t="n"/>
      <c r="U88" s="71" t="n"/>
      <c r="V88" s="71" t="n"/>
      <c r="W88" s="71" t="n"/>
      <c r="X88" s="71" t="n"/>
      <c r="Y88" s="71" t="n"/>
      <c r="Z88" s="71" t="n"/>
    </row>
    <row r="89" ht="15.75" customHeight="1">
      <c r="A89" s="71" t="n"/>
      <c r="B89" s="71" t="n"/>
      <c r="C89" s="71" t="n"/>
      <c r="D89" s="71" t="n"/>
      <c r="E89" s="71" t="n"/>
      <c r="F89" s="71" t="n"/>
      <c r="G89" s="71" t="n"/>
      <c r="H89" s="71" t="n"/>
      <c r="I89" s="71" t="n"/>
      <c r="J89" s="71" t="n"/>
      <c r="K89" s="71" t="n"/>
      <c r="L89" s="71" t="n"/>
      <c r="M89" s="71" t="n"/>
      <c r="N89" s="71" t="n"/>
      <c r="O89" s="71" t="n"/>
      <c r="P89" s="71" t="n"/>
      <c r="Q89" s="71" t="n"/>
      <c r="R89" s="71" t="n"/>
      <c r="S89" s="71" t="n"/>
      <c r="T89" s="71" t="n"/>
      <c r="U89" s="71" t="n"/>
      <c r="V89" s="71" t="n"/>
      <c r="W89" s="71" t="n"/>
      <c r="X89" s="71" t="n"/>
      <c r="Y89" s="71" t="n"/>
      <c r="Z89" s="71" t="n"/>
    </row>
    <row r="90" ht="15.75" customHeight="1">
      <c r="A90" s="71" t="n"/>
      <c r="B90" s="71" t="n"/>
      <c r="C90" s="71" t="n"/>
      <c r="D90" s="71" t="n"/>
      <c r="E90" s="71" t="n"/>
      <c r="F90" s="71" t="n"/>
      <c r="G90" s="71" t="n"/>
      <c r="H90" s="71" t="n"/>
      <c r="I90" s="71" t="n"/>
      <c r="J90" s="71" t="n"/>
      <c r="K90" s="71" t="n"/>
      <c r="L90" s="71" t="n"/>
      <c r="M90" s="71" t="n"/>
      <c r="N90" s="71" t="n"/>
      <c r="O90" s="71" t="n"/>
      <c r="P90" s="71" t="n"/>
      <c r="Q90" s="71" t="n"/>
      <c r="R90" s="71" t="n"/>
      <c r="S90" s="71" t="n"/>
      <c r="T90" s="71" t="n"/>
      <c r="U90" s="71" t="n"/>
      <c r="V90" s="71" t="n"/>
      <c r="W90" s="71" t="n"/>
      <c r="X90" s="71" t="n"/>
      <c r="Y90" s="71" t="n"/>
      <c r="Z90" s="71" t="n"/>
    </row>
    <row r="91" ht="15.75" customHeight="1">
      <c r="A91" s="71" t="n"/>
      <c r="B91" s="71" t="n"/>
      <c r="C91" s="71" t="n"/>
      <c r="D91" s="71" t="n"/>
      <c r="E91" s="71" t="n"/>
      <c r="F91" s="71" t="n"/>
      <c r="G91" s="71" t="n"/>
      <c r="H91" s="71" t="n"/>
      <c r="I91" s="71" t="n"/>
      <c r="J91" s="71" t="n"/>
      <c r="K91" s="71" t="n"/>
      <c r="L91" s="71" t="n"/>
      <c r="M91" s="71" t="n"/>
      <c r="N91" s="71" t="n"/>
      <c r="O91" s="71" t="n"/>
      <c r="P91" s="71" t="n"/>
      <c r="Q91" s="71" t="n"/>
      <c r="R91" s="71" t="n"/>
      <c r="S91" s="71" t="n"/>
      <c r="T91" s="71" t="n"/>
      <c r="U91" s="71" t="n"/>
      <c r="V91" s="71" t="n"/>
      <c r="W91" s="71" t="n"/>
      <c r="X91" s="71" t="n"/>
      <c r="Y91" s="71" t="n"/>
      <c r="Z91" s="71" t="n"/>
    </row>
    <row r="92" ht="15.75" customHeight="1">
      <c r="A92" s="71" t="n"/>
      <c r="B92" s="71" t="n"/>
      <c r="C92" s="71" t="n"/>
      <c r="D92" s="71" t="n"/>
      <c r="E92" s="71" t="n"/>
      <c r="F92" s="71" t="n"/>
      <c r="G92" s="71" t="n"/>
      <c r="H92" s="71" t="n"/>
      <c r="I92" s="71" t="n"/>
      <c r="J92" s="71" t="n"/>
      <c r="K92" s="71" t="n"/>
      <c r="L92" s="71" t="n"/>
      <c r="M92" s="71" t="n"/>
      <c r="N92" s="71" t="n"/>
      <c r="O92" s="71" t="n"/>
      <c r="P92" s="71" t="n"/>
      <c r="Q92" s="71" t="n"/>
      <c r="R92" s="71" t="n"/>
      <c r="S92" s="71" t="n"/>
      <c r="T92" s="71" t="n"/>
      <c r="U92" s="71" t="n"/>
      <c r="V92" s="71" t="n"/>
      <c r="W92" s="71" t="n"/>
      <c r="X92" s="71" t="n"/>
      <c r="Y92" s="71" t="n"/>
      <c r="Z92" s="71" t="n"/>
    </row>
    <row r="93" ht="15.75" customHeight="1">
      <c r="A93" s="71" t="n"/>
      <c r="B93" s="71" t="n"/>
      <c r="C93" s="71" t="n"/>
      <c r="D93" s="71" t="n"/>
      <c r="E93" s="71" t="n"/>
      <c r="F93" s="71" t="n"/>
      <c r="G93" s="71" t="n"/>
      <c r="H93" s="71" t="n"/>
      <c r="I93" s="71" t="n"/>
      <c r="J93" s="71" t="n"/>
      <c r="K93" s="71" t="n"/>
      <c r="L93" s="71" t="n"/>
      <c r="M93" s="71" t="n"/>
      <c r="N93" s="71" t="n"/>
      <c r="O93" s="71" t="n"/>
      <c r="P93" s="71" t="n"/>
      <c r="Q93" s="71" t="n"/>
      <c r="R93" s="71" t="n"/>
      <c r="S93" s="71" t="n"/>
      <c r="T93" s="71" t="n"/>
      <c r="U93" s="71" t="n"/>
      <c r="V93" s="71" t="n"/>
      <c r="W93" s="71" t="n"/>
      <c r="X93" s="71" t="n"/>
      <c r="Y93" s="71" t="n"/>
      <c r="Z93" s="71" t="n"/>
    </row>
    <row r="94" ht="15.75" customHeight="1">
      <c r="A94" s="71" t="n"/>
      <c r="B94" s="71" t="n"/>
      <c r="C94" s="71" t="n"/>
      <c r="D94" s="71" t="n"/>
      <c r="E94" s="71" t="n"/>
      <c r="F94" s="71" t="n"/>
      <c r="G94" s="71" t="n"/>
      <c r="H94" s="71" t="n"/>
      <c r="I94" s="71" t="n"/>
      <c r="J94" s="71" t="n"/>
      <c r="K94" s="71" t="n"/>
      <c r="L94" s="71" t="n"/>
      <c r="M94" s="71" t="n"/>
      <c r="N94" s="71" t="n"/>
      <c r="O94" s="71" t="n"/>
      <c r="P94" s="71" t="n"/>
      <c r="Q94" s="71" t="n"/>
      <c r="R94" s="71" t="n"/>
      <c r="S94" s="71" t="n"/>
      <c r="T94" s="71" t="n"/>
      <c r="U94" s="71" t="n"/>
      <c r="V94" s="71" t="n"/>
      <c r="W94" s="71" t="n"/>
      <c r="X94" s="71" t="n"/>
      <c r="Y94" s="71" t="n"/>
      <c r="Z94" s="71" t="n"/>
    </row>
    <row r="95" ht="15.75" customHeight="1">
      <c r="A95" s="71" t="n"/>
      <c r="B95" s="71" t="n"/>
      <c r="C95" s="71" t="n"/>
      <c r="D95" s="71" t="n"/>
      <c r="E95" s="71" t="n"/>
      <c r="F95" s="71" t="n"/>
      <c r="G95" s="71" t="n"/>
      <c r="H95" s="71" t="n"/>
      <c r="I95" s="71" t="n"/>
      <c r="J95" s="71" t="n"/>
      <c r="K95" s="71" t="n"/>
      <c r="L95" s="71" t="n"/>
      <c r="M95" s="71" t="n"/>
      <c r="N95" s="71" t="n"/>
      <c r="O95" s="71" t="n"/>
      <c r="P95" s="71" t="n"/>
      <c r="Q95" s="71" t="n"/>
      <c r="R95" s="71" t="n"/>
      <c r="S95" s="71" t="n"/>
      <c r="T95" s="71" t="n"/>
      <c r="U95" s="71" t="n"/>
      <c r="V95" s="71" t="n"/>
      <c r="W95" s="71" t="n"/>
      <c r="X95" s="71" t="n"/>
      <c r="Y95" s="71" t="n"/>
      <c r="Z95" s="71" t="n"/>
    </row>
    <row r="96" ht="15.75" customHeight="1">
      <c r="A96" s="71" t="n"/>
      <c r="B96" s="71" t="n"/>
      <c r="C96" s="71" t="n"/>
      <c r="D96" s="71" t="n"/>
      <c r="E96" s="71" t="n"/>
      <c r="F96" s="71" t="n"/>
      <c r="G96" s="71" t="n"/>
      <c r="H96" s="71" t="n"/>
      <c r="I96" s="71" t="n"/>
      <c r="J96" s="71" t="n"/>
      <c r="K96" s="71" t="n"/>
      <c r="L96" s="71" t="n"/>
      <c r="M96" s="71" t="n"/>
      <c r="N96" s="71" t="n"/>
      <c r="O96" s="71" t="n"/>
      <c r="P96" s="71" t="n"/>
      <c r="Q96" s="71" t="n"/>
      <c r="R96" s="71" t="n"/>
      <c r="S96" s="71" t="n"/>
      <c r="T96" s="71" t="n"/>
      <c r="U96" s="71" t="n"/>
      <c r="V96" s="71" t="n"/>
      <c r="W96" s="71" t="n"/>
      <c r="X96" s="71" t="n"/>
      <c r="Y96" s="71" t="n"/>
      <c r="Z96" s="71" t="n"/>
    </row>
    <row r="97" ht="15.75" customHeight="1">
      <c r="A97" s="71" t="n"/>
      <c r="B97" s="71" t="n"/>
      <c r="C97" s="71" t="n"/>
      <c r="D97" s="71" t="n"/>
      <c r="E97" s="71" t="n"/>
      <c r="F97" s="71" t="n"/>
      <c r="G97" s="71" t="n"/>
      <c r="H97" s="71" t="n"/>
      <c r="I97" s="71" t="n"/>
      <c r="J97" s="71" t="n"/>
      <c r="K97" s="71" t="n"/>
      <c r="L97" s="71" t="n"/>
      <c r="M97" s="71" t="n"/>
      <c r="N97" s="71" t="n"/>
      <c r="O97" s="71" t="n"/>
      <c r="P97" s="71" t="n"/>
      <c r="Q97" s="71" t="n"/>
      <c r="R97" s="71" t="n"/>
      <c r="S97" s="71" t="n"/>
      <c r="T97" s="71" t="n"/>
      <c r="U97" s="71" t="n"/>
      <c r="V97" s="71" t="n"/>
      <c r="W97" s="71" t="n"/>
      <c r="X97" s="71" t="n"/>
      <c r="Y97" s="71" t="n"/>
      <c r="Z97" s="71" t="n"/>
    </row>
    <row r="98" ht="15.75" customHeight="1">
      <c r="A98" s="71" t="n"/>
      <c r="B98" s="71" t="n"/>
      <c r="C98" s="71" t="n"/>
      <c r="D98" s="71" t="n"/>
      <c r="E98" s="71" t="n"/>
      <c r="F98" s="71" t="n"/>
      <c r="G98" s="71" t="n"/>
      <c r="H98" s="71" t="n"/>
      <c r="I98" s="71" t="n"/>
      <c r="J98" s="71" t="n"/>
      <c r="K98" s="71" t="n"/>
      <c r="L98" s="71" t="n"/>
      <c r="M98" s="71" t="n"/>
      <c r="N98" s="71" t="n"/>
      <c r="O98" s="71" t="n"/>
      <c r="P98" s="71" t="n"/>
      <c r="Q98" s="71" t="n"/>
      <c r="R98" s="71" t="n"/>
      <c r="S98" s="71" t="n"/>
      <c r="T98" s="71" t="n"/>
      <c r="U98" s="71" t="n"/>
      <c r="V98" s="71" t="n"/>
      <c r="W98" s="71" t="n"/>
      <c r="X98" s="71" t="n"/>
      <c r="Y98" s="71" t="n"/>
      <c r="Z98" s="71" t="n"/>
    </row>
    <row r="99" ht="15.75" customHeight="1">
      <c r="A99" s="71" t="n"/>
      <c r="B99" s="71" t="n"/>
      <c r="C99" s="71" t="n"/>
      <c r="D99" s="71" t="n"/>
      <c r="E99" s="71" t="n"/>
      <c r="F99" s="71" t="n"/>
      <c r="G99" s="71" t="n"/>
      <c r="H99" s="71" t="n"/>
      <c r="I99" s="71" t="n"/>
      <c r="J99" s="71" t="n"/>
      <c r="K99" s="71" t="n"/>
      <c r="L99" s="71" t="n"/>
      <c r="M99" s="71" t="n"/>
      <c r="N99" s="71" t="n"/>
      <c r="O99" s="71" t="n"/>
      <c r="P99" s="71" t="n"/>
      <c r="Q99" s="71" t="n"/>
      <c r="R99" s="71" t="n"/>
      <c r="S99" s="71" t="n"/>
      <c r="T99" s="71" t="n"/>
      <c r="U99" s="71" t="n"/>
      <c r="V99" s="71" t="n"/>
      <c r="W99" s="71" t="n"/>
      <c r="X99" s="71" t="n"/>
      <c r="Y99" s="71" t="n"/>
      <c r="Z99" s="71" t="n"/>
    </row>
    <row r="100" ht="15.75" customHeight="1">
      <c r="A100" s="71" t="n"/>
      <c r="B100" s="71" t="n"/>
      <c r="C100" s="71" t="n"/>
      <c r="D100" s="71" t="n"/>
      <c r="E100" s="71" t="n"/>
      <c r="F100" s="71" t="n"/>
      <c r="G100" s="71" t="n"/>
      <c r="H100" s="71" t="n"/>
      <c r="I100" s="71" t="n"/>
      <c r="J100" s="71" t="n"/>
      <c r="K100" s="71" t="n"/>
      <c r="L100" s="71" t="n"/>
      <c r="M100" s="71" t="n"/>
      <c r="N100" s="71" t="n"/>
      <c r="O100" s="71" t="n"/>
      <c r="P100" s="71" t="n"/>
      <c r="Q100" s="71" t="n"/>
      <c r="R100" s="71" t="n"/>
      <c r="S100" s="71" t="n"/>
      <c r="T100" s="71" t="n"/>
      <c r="U100" s="71" t="n"/>
      <c r="V100" s="71" t="n"/>
      <c r="W100" s="71" t="n"/>
      <c r="X100" s="71" t="n"/>
      <c r="Y100" s="71" t="n"/>
      <c r="Z100" s="71" t="n"/>
    </row>
    <row r="101" ht="15.75" customHeight="1">
      <c r="A101" s="71" t="n"/>
      <c r="B101" s="71" t="n"/>
      <c r="C101" s="71" t="n"/>
      <c r="D101" s="71" t="n"/>
      <c r="E101" s="71" t="n"/>
      <c r="F101" s="71" t="n"/>
      <c r="G101" s="71" t="n"/>
      <c r="H101" s="71" t="n"/>
      <c r="I101" s="71" t="n"/>
      <c r="J101" s="71" t="n"/>
      <c r="K101" s="71" t="n"/>
      <c r="L101" s="71" t="n"/>
      <c r="M101" s="71" t="n"/>
      <c r="N101" s="71" t="n"/>
      <c r="O101" s="71" t="n"/>
      <c r="P101" s="71" t="n"/>
      <c r="Q101" s="71" t="n"/>
      <c r="R101" s="71" t="n"/>
      <c r="S101" s="71" t="n"/>
      <c r="T101" s="71" t="n"/>
      <c r="U101" s="71" t="n"/>
      <c r="V101" s="71" t="n"/>
      <c r="W101" s="71" t="n"/>
      <c r="X101" s="71" t="n"/>
      <c r="Y101" s="71" t="n"/>
      <c r="Z101" s="71" t="n"/>
    </row>
    <row r="102" ht="15.75" customHeight="1">
      <c r="A102" s="71" t="n"/>
      <c r="B102" s="71" t="n"/>
      <c r="C102" s="71" t="n"/>
      <c r="D102" s="71" t="n"/>
      <c r="E102" s="71" t="n"/>
      <c r="F102" s="71" t="n"/>
      <c r="G102" s="71" t="n"/>
      <c r="H102" s="71" t="n"/>
      <c r="I102" s="71" t="n"/>
      <c r="J102" s="71" t="n"/>
      <c r="K102" s="71" t="n"/>
      <c r="L102" s="71" t="n"/>
      <c r="M102" s="71" t="n"/>
      <c r="N102" s="71" t="n"/>
      <c r="O102" s="71" t="n"/>
      <c r="P102" s="71" t="n"/>
      <c r="Q102" s="71" t="n"/>
      <c r="R102" s="71" t="n"/>
      <c r="S102" s="71" t="n"/>
      <c r="T102" s="71" t="n"/>
      <c r="U102" s="71" t="n"/>
      <c r="V102" s="71" t="n"/>
      <c r="W102" s="71" t="n"/>
      <c r="X102" s="71" t="n"/>
      <c r="Y102" s="71" t="n"/>
      <c r="Z102" s="71" t="n"/>
    </row>
    <row r="103" ht="15.75" customHeight="1">
      <c r="A103" s="71" t="n"/>
      <c r="B103" s="71" t="n"/>
      <c r="C103" s="71" t="n"/>
      <c r="D103" s="71" t="n"/>
      <c r="E103" s="71" t="n"/>
      <c r="F103" s="71" t="n"/>
      <c r="G103" s="71" t="n"/>
      <c r="H103" s="71" t="n"/>
      <c r="I103" s="71" t="n"/>
      <c r="J103" s="71" t="n"/>
      <c r="K103" s="71" t="n"/>
      <c r="L103" s="71" t="n"/>
      <c r="M103" s="71" t="n"/>
      <c r="N103" s="71" t="n"/>
      <c r="O103" s="71" t="n"/>
      <c r="P103" s="71" t="n"/>
      <c r="Q103" s="71" t="n"/>
      <c r="R103" s="71" t="n"/>
      <c r="S103" s="71" t="n"/>
      <c r="T103" s="71" t="n"/>
      <c r="U103" s="71" t="n"/>
      <c r="V103" s="71" t="n"/>
      <c r="W103" s="71" t="n"/>
      <c r="X103" s="71" t="n"/>
      <c r="Y103" s="71" t="n"/>
      <c r="Z103" s="71" t="n"/>
    </row>
    <row r="104" ht="15.75" customHeight="1">
      <c r="A104" s="71" t="n"/>
      <c r="B104" s="71" t="n"/>
      <c r="C104" s="71" t="n"/>
      <c r="D104" s="71" t="n"/>
      <c r="E104" s="71" t="n"/>
      <c r="F104" s="71" t="n"/>
      <c r="G104" s="71" t="n"/>
      <c r="H104" s="71" t="n"/>
      <c r="I104" s="71" t="n"/>
      <c r="J104" s="71" t="n"/>
      <c r="K104" s="71" t="n"/>
      <c r="L104" s="71" t="n"/>
      <c r="M104" s="71" t="n"/>
      <c r="N104" s="71" t="n"/>
      <c r="O104" s="71" t="n"/>
      <c r="P104" s="71" t="n"/>
      <c r="Q104" s="71" t="n"/>
      <c r="R104" s="71" t="n"/>
      <c r="S104" s="71" t="n"/>
      <c r="T104" s="71" t="n"/>
      <c r="U104" s="71" t="n"/>
      <c r="V104" s="71" t="n"/>
      <c r="W104" s="71" t="n"/>
      <c r="X104" s="71" t="n"/>
      <c r="Y104" s="71" t="n"/>
      <c r="Z104" s="71" t="n"/>
    </row>
    <row r="105" ht="15.75" customHeight="1">
      <c r="A105" s="71" t="n"/>
      <c r="B105" s="71" t="n"/>
      <c r="C105" s="71" t="n"/>
      <c r="D105" s="71" t="n"/>
      <c r="E105" s="71" t="n"/>
      <c r="F105" s="71" t="n"/>
      <c r="G105" s="71" t="n"/>
      <c r="H105" s="71" t="n"/>
      <c r="I105" s="71" t="n"/>
      <c r="J105" s="71" t="n"/>
      <c r="K105" s="71" t="n"/>
      <c r="L105" s="71" t="n"/>
      <c r="M105" s="71" t="n"/>
      <c r="N105" s="71" t="n"/>
      <c r="O105" s="71" t="n"/>
      <c r="P105" s="71" t="n"/>
      <c r="Q105" s="71" t="n"/>
      <c r="R105" s="71" t="n"/>
      <c r="S105" s="71" t="n"/>
      <c r="T105" s="71" t="n"/>
      <c r="U105" s="71" t="n"/>
      <c r="V105" s="71" t="n"/>
      <c r="W105" s="71" t="n"/>
      <c r="X105" s="71" t="n"/>
      <c r="Y105" s="71" t="n"/>
      <c r="Z105" s="71" t="n"/>
    </row>
    <row r="106" ht="15.75" customHeight="1">
      <c r="A106" s="71" t="n"/>
      <c r="B106" s="71" t="n"/>
      <c r="C106" s="71" t="n"/>
      <c r="D106" s="71" t="n"/>
      <c r="E106" s="71" t="n"/>
      <c r="F106" s="71" t="n"/>
      <c r="G106" s="71" t="n"/>
      <c r="H106" s="71" t="n"/>
      <c r="I106" s="71" t="n"/>
      <c r="J106" s="71" t="n"/>
      <c r="K106" s="71" t="n"/>
      <c r="L106" s="71" t="n"/>
      <c r="M106" s="71" t="n"/>
      <c r="N106" s="71" t="n"/>
      <c r="O106" s="71" t="n"/>
      <c r="P106" s="71" t="n"/>
      <c r="Q106" s="71" t="n"/>
      <c r="R106" s="71" t="n"/>
      <c r="S106" s="71" t="n"/>
      <c r="T106" s="71" t="n"/>
      <c r="U106" s="71" t="n"/>
      <c r="V106" s="71" t="n"/>
      <c r="W106" s="71" t="n"/>
      <c r="X106" s="71" t="n"/>
      <c r="Y106" s="71" t="n"/>
      <c r="Z106" s="71" t="n"/>
    </row>
    <row r="107" ht="15.75" customHeight="1">
      <c r="A107" s="71" t="n"/>
      <c r="B107" s="71" t="n"/>
      <c r="C107" s="71" t="n"/>
      <c r="D107" s="71" t="n"/>
      <c r="E107" s="71" t="n"/>
      <c r="F107" s="71" t="n"/>
      <c r="G107" s="71" t="n"/>
      <c r="H107" s="71" t="n"/>
      <c r="I107" s="71" t="n"/>
      <c r="J107" s="71" t="n"/>
      <c r="K107" s="71" t="n"/>
      <c r="L107" s="71" t="n"/>
      <c r="M107" s="71" t="n"/>
      <c r="N107" s="71" t="n"/>
      <c r="O107" s="71" t="n"/>
      <c r="P107" s="71" t="n"/>
      <c r="Q107" s="71" t="n"/>
      <c r="R107" s="71" t="n"/>
      <c r="S107" s="71" t="n"/>
      <c r="T107" s="71" t="n"/>
      <c r="U107" s="71" t="n"/>
      <c r="V107" s="71" t="n"/>
      <c r="W107" s="71" t="n"/>
      <c r="X107" s="71" t="n"/>
      <c r="Y107" s="71" t="n"/>
      <c r="Z107" s="71" t="n"/>
    </row>
    <row r="108" ht="15.75" customHeight="1">
      <c r="A108" s="71" t="n"/>
      <c r="B108" s="71" t="n"/>
      <c r="C108" s="71" t="n"/>
      <c r="D108" s="71" t="n"/>
      <c r="E108" s="71" t="n"/>
      <c r="F108" s="71" t="n"/>
      <c r="G108" s="71" t="n"/>
      <c r="H108" s="71" t="n"/>
      <c r="I108" s="71" t="n"/>
      <c r="J108" s="71" t="n"/>
      <c r="K108" s="71" t="n"/>
      <c r="L108" s="71" t="n"/>
      <c r="M108" s="71" t="n"/>
      <c r="N108" s="71" t="n"/>
      <c r="O108" s="71" t="n"/>
      <c r="P108" s="71" t="n"/>
      <c r="Q108" s="71" t="n"/>
      <c r="R108" s="71" t="n"/>
      <c r="S108" s="71" t="n"/>
      <c r="T108" s="71" t="n"/>
      <c r="U108" s="71" t="n"/>
      <c r="V108" s="71" t="n"/>
      <c r="W108" s="71" t="n"/>
      <c r="X108" s="71" t="n"/>
      <c r="Y108" s="71" t="n"/>
      <c r="Z108" s="71" t="n"/>
    </row>
    <row r="109" ht="15.75" customHeight="1">
      <c r="A109" s="71" t="n"/>
      <c r="B109" s="71" t="n"/>
      <c r="C109" s="71" t="n"/>
      <c r="D109" s="71" t="n"/>
      <c r="E109" s="71" t="n"/>
      <c r="F109" s="71" t="n"/>
      <c r="G109" s="71" t="n"/>
      <c r="H109" s="71" t="n"/>
      <c r="I109" s="71" t="n"/>
      <c r="J109" s="71" t="n"/>
      <c r="K109" s="71" t="n"/>
      <c r="L109" s="71" t="n"/>
      <c r="M109" s="71" t="n"/>
      <c r="N109" s="71" t="n"/>
      <c r="O109" s="71" t="n"/>
      <c r="P109" s="71" t="n"/>
      <c r="Q109" s="71" t="n"/>
      <c r="R109" s="71" t="n"/>
      <c r="S109" s="71" t="n"/>
      <c r="T109" s="71" t="n"/>
      <c r="U109" s="71" t="n"/>
      <c r="V109" s="71" t="n"/>
      <c r="W109" s="71" t="n"/>
      <c r="X109" s="71" t="n"/>
      <c r="Y109" s="71" t="n"/>
      <c r="Z109" s="71" t="n"/>
    </row>
    <row r="110" ht="15.75" customHeight="1">
      <c r="A110" s="71" t="n"/>
      <c r="B110" s="71" t="n"/>
      <c r="C110" s="71" t="n"/>
      <c r="D110" s="71" t="n"/>
      <c r="E110" s="71" t="n"/>
      <c r="F110" s="71" t="n"/>
      <c r="G110" s="71" t="n"/>
      <c r="H110" s="71" t="n"/>
      <c r="I110" s="71" t="n"/>
      <c r="J110" s="71" t="n"/>
      <c r="K110" s="71" t="n"/>
      <c r="L110" s="71" t="n"/>
      <c r="M110" s="71" t="n"/>
      <c r="N110" s="71" t="n"/>
      <c r="O110" s="71" t="n"/>
      <c r="P110" s="71" t="n"/>
      <c r="Q110" s="71" t="n"/>
      <c r="R110" s="71" t="n"/>
      <c r="S110" s="71" t="n"/>
      <c r="T110" s="71" t="n"/>
      <c r="U110" s="71" t="n"/>
      <c r="V110" s="71" t="n"/>
      <c r="W110" s="71" t="n"/>
      <c r="X110" s="71" t="n"/>
      <c r="Y110" s="71" t="n"/>
      <c r="Z110" s="71" t="n"/>
    </row>
    <row r="111" ht="15.75" customHeight="1">
      <c r="A111" s="71" t="n"/>
      <c r="B111" s="71" t="n"/>
      <c r="C111" s="71" t="n"/>
      <c r="D111" s="71" t="n"/>
      <c r="E111" s="71" t="n"/>
      <c r="F111" s="71" t="n"/>
      <c r="G111" s="71" t="n"/>
      <c r="H111" s="71" t="n"/>
      <c r="I111" s="71" t="n"/>
      <c r="J111" s="71" t="n"/>
      <c r="K111" s="71" t="n"/>
      <c r="L111" s="71" t="n"/>
      <c r="M111" s="71" t="n"/>
      <c r="N111" s="71" t="n"/>
      <c r="O111" s="71" t="n"/>
      <c r="P111" s="71" t="n"/>
      <c r="Q111" s="71" t="n"/>
      <c r="R111" s="71" t="n"/>
      <c r="S111" s="71" t="n"/>
      <c r="T111" s="71" t="n"/>
      <c r="U111" s="71" t="n"/>
      <c r="V111" s="71" t="n"/>
      <c r="W111" s="71" t="n"/>
      <c r="X111" s="71" t="n"/>
      <c r="Y111" s="71" t="n"/>
      <c r="Z111" s="71" t="n"/>
    </row>
    <row r="112" ht="15.75" customHeight="1">
      <c r="A112" s="71" t="n"/>
      <c r="B112" s="71" t="n"/>
      <c r="C112" s="71" t="n"/>
      <c r="D112" s="71" t="n"/>
      <c r="E112" s="71" t="n"/>
      <c r="F112" s="71" t="n"/>
      <c r="G112" s="71" t="n"/>
      <c r="H112" s="71" t="n"/>
      <c r="I112" s="71" t="n"/>
      <c r="J112" s="71" t="n"/>
      <c r="K112" s="71" t="n"/>
      <c r="L112" s="71" t="n"/>
      <c r="M112" s="71" t="n"/>
      <c r="N112" s="71" t="n"/>
      <c r="O112" s="71" t="n"/>
      <c r="P112" s="71" t="n"/>
      <c r="Q112" s="71" t="n"/>
      <c r="R112" s="71" t="n"/>
      <c r="S112" s="71" t="n"/>
      <c r="T112" s="71" t="n"/>
      <c r="U112" s="71" t="n"/>
      <c r="V112" s="71" t="n"/>
      <c r="W112" s="71" t="n"/>
      <c r="X112" s="71" t="n"/>
      <c r="Y112" s="71" t="n"/>
      <c r="Z112" s="71" t="n"/>
    </row>
    <row r="113" ht="15.75" customHeight="1">
      <c r="A113" s="71" t="n"/>
      <c r="B113" s="71" t="n"/>
      <c r="C113" s="71" t="n"/>
      <c r="D113" s="71" t="n"/>
      <c r="E113" s="71" t="n"/>
      <c r="F113" s="71" t="n"/>
      <c r="G113" s="71" t="n"/>
      <c r="H113" s="71" t="n"/>
      <c r="I113" s="71" t="n"/>
      <c r="J113" s="71" t="n"/>
      <c r="K113" s="71" t="n"/>
      <c r="L113" s="71" t="n"/>
      <c r="M113" s="71" t="n"/>
      <c r="N113" s="71" t="n"/>
      <c r="O113" s="71" t="n"/>
      <c r="P113" s="71" t="n"/>
      <c r="Q113" s="71" t="n"/>
      <c r="R113" s="71" t="n"/>
      <c r="S113" s="71" t="n"/>
      <c r="T113" s="71" t="n"/>
      <c r="U113" s="71" t="n"/>
      <c r="V113" s="71" t="n"/>
      <c r="W113" s="71" t="n"/>
      <c r="X113" s="71" t="n"/>
      <c r="Y113" s="71" t="n"/>
      <c r="Z113" s="71" t="n"/>
    </row>
    <row r="114" ht="15.75" customHeight="1">
      <c r="A114" s="71" t="n"/>
      <c r="B114" s="71" t="n"/>
      <c r="C114" s="71" t="n"/>
      <c r="D114" s="71" t="n"/>
      <c r="E114" s="71" t="n"/>
      <c r="F114" s="71" t="n"/>
      <c r="G114" s="71" t="n"/>
      <c r="H114" s="71" t="n"/>
      <c r="I114" s="71" t="n"/>
      <c r="J114" s="71" t="n"/>
      <c r="K114" s="71" t="n"/>
      <c r="L114" s="71" t="n"/>
      <c r="M114" s="71" t="n"/>
      <c r="N114" s="71" t="n"/>
      <c r="O114" s="71" t="n"/>
      <c r="P114" s="71" t="n"/>
      <c r="Q114" s="71" t="n"/>
      <c r="R114" s="71" t="n"/>
      <c r="S114" s="71" t="n"/>
      <c r="T114" s="71" t="n"/>
      <c r="U114" s="71" t="n"/>
      <c r="V114" s="71" t="n"/>
      <c r="W114" s="71" t="n"/>
      <c r="X114" s="71" t="n"/>
      <c r="Y114" s="71" t="n"/>
      <c r="Z114" s="71" t="n"/>
    </row>
    <row r="115" ht="15.75" customHeight="1">
      <c r="A115" s="71" t="n"/>
      <c r="B115" s="71" t="n"/>
      <c r="C115" s="71" t="n"/>
      <c r="D115" s="71" t="n"/>
      <c r="E115" s="71" t="n"/>
      <c r="F115" s="71" t="n"/>
      <c r="G115" s="71" t="n"/>
      <c r="H115" s="71" t="n"/>
      <c r="I115" s="71" t="n"/>
      <c r="J115" s="71" t="n"/>
      <c r="K115" s="71" t="n"/>
      <c r="L115" s="71" t="n"/>
      <c r="M115" s="71" t="n"/>
      <c r="N115" s="71" t="n"/>
      <c r="O115" s="71" t="n"/>
      <c r="P115" s="71" t="n"/>
      <c r="Q115" s="71" t="n"/>
      <c r="R115" s="71" t="n"/>
      <c r="S115" s="71" t="n"/>
      <c r="T115" s="71" t="n"/>
      <c r="U115" s="71" t="n"/>
      <c r="V115" s="71" t="n"/>
      <c r="W115" s="71" t="n"/>
      <c r="X115" s="71" t="n"/>
      <c r="Y115" s="71" t="n"/>
      <c r="Z115" s="71" t="n"/>
    </row>
    <row r="116" ht="15.75" customHeight="1">
      <c r="A116" s="71" t="n"/>
      <c r="B116" s="71" t="n"/>
      <c r="C116" s="71" t="n"/>
      <c r="D116" s="71" t="n"/>
      <c r="E116" s="71" t="n"/>
      <c r="F116" s="71" t="n"/>
      <c r="G116" s="71" t="n"/>
      <c r="H116" s="71" t="n"/>
      <c r="I116" s="71" t="n"/>
      <c r="J116" s="71" t="n"/>
      <c r="K116" s="71" t="n"/>
      <c r="L116" s="71" t="n"/>
      <c r="M116" s="71" t="n"/>
      <c r="N116" s="71" t="n"/>
      <c r="O116" s="71" t="n"/>
      <c r="P116" s="71" t="n"/>
      <c r="Q116" s="71" t="n"/>
      <c r="R116" s="71" t="n"/>
      <c r="S116" s="71" t="n"/>
      <c r="T116" s="71" t="n"/>
      <c r="U116" s="71" t="n"/>
      <c r="V116" s="71" t="n"/>
      <c r="W116" s="71" t="n"/>
      <c r="X116" s="71" t="n"/>
      <c r="Y116" s="71" t="n"/>
      <c r="Z116" s="71" t="n"/>
    </row>
    <row r="117" ht="15.75" customHeight="1">
      <c r="A117" s="71" t="n"/>
      <c r="B117" s="71" t="n"/>
      <c r="C117" s="71" t="n"/>
      <c r="D117" s="71" t="n"/>
      <c r="E117" s="71" t="n"/>
      <c r="F117" s="71" t="n"/>
      <c r="G117" s="71" t="n"/>
      <c r="H117" s="71" t="n"/>
      <c r="I117" s="71" t="n"/>
      <c r="J117" s="71" t="n"/>
      <c r="K117" s="71" t="n"/>
      <c r="L117" s="71" t="n"/>
      <c r="M117" s="71" t="n"/>
      <c r="N117" s="71" t="n"/>
      <c r="O117" s="71" t="n"/>
      <c r="P117" s="71" t="n"/>
      <c r="Q117" s="71" t="n"/>
      <c r="R117" s="71" t="n"/>
      <c r="S117" s="71" t="n"/>
      <c r="T117" s="71" t="n"/>
      <c r="U117" s="71" t="n"/>
      <c r="V117" s="71" t="n"/>
      <c r="W117" s="71" t="n"/>
      <c r="X117" s="71" t="n"/>
      <c r="Y117" s="71" t="n"/>
      <c r="Z117" s="71" t="n"/>
    </row>
    <row r="118" ht="15.75" customHeight="1">
      <c r="A118" s="71" t="n"/>
      <c r="B118" s="71" t="n"/>
      <c r="C118" s="71" t="n"/>
      <c r="D118" s="71" t="n"/>
      <c r="E118" s="71" t="n"/>
      <c r="F118" s="71" t="n"/>
      <c r="G118" s="71" t="n"/>
      <c r="H118" s="71" t="n"/>
      <c r="I118" s="71" t="n"/>
      <c r="J118" s="71" t="n"/>
      <c r="K118" s="71" t="n"/>
      <c r="L118" s="71" t="n"/>
      <c r="M118" s="71" t="n"/>
      <c r="N118" s="71" t="n"/>
      <c r="O118" s="71" t="n"/>
      <c r="P118" s="71" t="n"/>
      <c r="Q118" s="71" t="n"/>
      <c r="R118" s="71" t="n"/>
      <c r="S118" s="71" t="n"/>
      <c r="T118" s="71" t="n"/>
      <c r="U118" s="71" t="n"/>
      <c r="V118" s="71" t="n"/>
      <c r="W118" s="71" t="n"/>
      <c r="X118" s="71" t="n"/>
      <c r="Y118" s="71" t="n"/>
      <c r="Z118" s="71" t="n"/>
    </row>
    <row r="119" ht="15.75" customHeight="1">
      <c r="A119" s="71" t="n"/>
      <c r="B119" s="71" t="n"/>
      <c r="C119" s="71" t="n"/>
      <c r="D119" s="71" t="n"/>
      <c r="E119" s="71" t="n"/>
      <c r="F119" s="71" t="n"/>
      <c r="G119" s="71" t="n"/>
      <c r="H119" s="71" t="n"/>
      <c r="I119" s="71" t="n"/>
      <c r="J119" s="71" t="n"/>
      <c r="K119" s="71" t="n"/>
      <c r="L119" s="71" t="n"/>
      <c r="M119" s="71" t="n"/>
      <c r="N119" s="71" t="n"/>
      <c r="O119" s="71" t="n"/>
      <c r="P119" s="71" t="n"/>
      <c r="Q119" s="71" t="n"/>
      <c r="R119" s="71" t="n"/>
      <c r="S119" s="71" t="n"/>
      <c r="T119" s="71" t="n"/>
      <c r="U119" s="71" t="n"/>
      <c r="V119" s="71" t="n"/>
      <c r="W119" s="71" t="n"/>
      <c r="X119" s="71" t="n"/>
      <c r="Y119" s="71" t="n"/>
      <c r="Z119" s="71" t="n"/>
    </row>
    <row r="120" ht="15.75" customHeight="1">
      <c r="A120" s="71" t="n"/>
      <c r="B120" s="71" t="n"/>
      <c r="C120" s="71" t="n"/>
      <c r="D120" s="71" t="n"/>
      <c r="E120" s="71" t="n"/>
      <c r="F120" s="71" t="n"/>
      <c r="G120" s="71" t="n"/>
      <c r="H120" s="71" t="n"/>
      <c r="I120" s="71" t="n"/>
      <c r="J120" s="71" t="n"/>
      <c r="K120" s="71" t="n"/>
      <c r="L120" s="71" t="n"/>
      <c r="M120" s="71" t="n"/>
      <c r="N120" s="71" t="n"/>
      <c r="O120" s="71" t="n"/>
      <c r="P120" s="71" t="n"/>
      <c r="Q120" s="71" t="n"/>
      <c r="R120" s="71" t="n"/>
      <c r="S120" s="71" t="n"/>
      <c r="T120" s="71" t="n"/>
      <c r="U120" s="71" t="n"/>
      <c r="V120" s="71" t="n"/>
      <c r="W120" s="71" t="n"/>
      <c r="X120" s="71" t="n"/>
      <c r="Y120" s="71" t="n"/>
      <c r="Z120" s="71" t="n"/>
    </row>
    <row r="121" ht="15.75" customHeight="1">
      <c r="A121" s="71" t="n"/>
      <c r="B121" s="71" t="n"/>
      <c r="C121" s="71" t="n"/>
      <c r="D121" s="71" t="n"/>
      <c r="E121" s="71" t="n"/>
      <c r="F121" s="71" t="n"/>
      <c r="G121" s="71" t="n"/>
      <c r="H121" s="71" t="n"/>
      <c r="I121" s="71" t="n"/>
      <c r="J121" s="71" t="n"/>
      <c r="K121" s="71" t="n"/>
      <c r="L121" s="71" t="n"/>
      <c r="M121" s="71" t="n"/>
      <c r="N121" s="71" t="n"/>
      <c r="O121" s="71" t="n"/>
      <c r="P121" s="71" t="n"/>
      <c r="Q121" s="71" t="n"/>
      <c r="R121" s="71" t="n"/>
      <c r="S121" s="71" t="n"/>
      <c r="T121" s="71" t="n"/>
      <c r="U121" s="71" t="n"/>
      <c r="V121" s="71" t="n"/>
      <c r="W121" s="71" t="n"/>
      <c r="X121" s="71" t="n"/>
      <c r="Y121" s="71" t="n"/>
      <c r="Z121" s="71" t="n"/>
    </row>
    <row r="122" ht="15.75" customHeight="1">
      <c r="A122" s="71" t="n"/>
      <c r="B122" s="71" t="n"/>
      <c r="C122" s="71" t="n"/>
      <c r="D122" s="71" t="n"/>
      <c r="E122" s="71" t="n"/>
      <c r="F122" s="71" t="n"/>
      <c r="G122" s="71" t="n"/>
      <c r="H122" s="71" t="n"/>
      <c r="I122" s="71" t="n"/>
      <c r="J122" s="71" t="n"/>
      <c r="K122" s="71" t="n"/>
      <c r="L122" s="71" t="n"/>
      <c r="M122" s="71" t="n"/>
      <c r="N122" s="71" t="n"/>
      <c r="O122" s="71" t="n"/>
      <c r="P122" s="71" t="n"/>
      <c r="Q122" s="71" t="n"/>
      <c r="R122" s="71" t="n"/>
      <c r="S122" s="71" t="n"/>
      <c r="T122" s="71" t="n"/>
      <c r="U122" s="71" t="n"/>
      <c r="V122" s="71" t="n"/>
      <c r="W122" s="71" t="n"/>
      <c r="X122" s="71" t="n"/>
      <c r="Y122" s="71" t="n"/>
      <c r="Z122" s="71" t="n"/>
    </row>
    <row r="123" ht="15.75" customHeight="1">
      <c r="A123" s="71" t="n"/>
      <c r="B123" s="71" t="n"/>
      <c r="C123" s="71" t="n"/>
      <c r="D123" s="71" t="n"/>
      <c r="E123" s="71" t="n"/>
      <c r="F123" s="71" t="n"/>
      <c r="G123" s="71" t="n"/>
      <c r="H123" s="71" t="n"/>
      <c r="I123" s="71" t="n"/>
      <c r="J123" s="71" t="n"/>
      <c r="K123" s="71" t="n"/>
      <c r="L123" s="71" t="n"/>
      <c r="M123" s="71" t="n"/>
      <c r="N123" s="71" t="n"/>
      <c r="O123" s="71" t="n"/>
      <c r="P123" s="71" t="n"/>
      <c r="Q123" s="71" t="n"/>
      <c r="R123" s="71" t="n"/>
      <c r="S123" s="71" t="n"/>
      <c r="T123" s="71" t="n"/>
      <c r="U123" s="71" t="n"/>
      <c r="V123" s="71" t="n"/>
      <c r="W123" s="71" t="n"/>
      <c r="X123" s="71" t="n"/>
      <c r="Y123" s="71" t="n"/>
      <c r="Z123" s="71" t="n"/>
    </row>
    <row r="124" ht="15.75" customHeight="1">
      <c r="A124" s="71" t="n"/>
      <c r="B124" s="71" t="n"/>
      <c r="C124" s="71" t="n"/>
      <c r="D124" s="71" t="n"/>
      <c r="E124" s="71" t="n"/>
      <c r="F124" s="71" t="n"/>
      <c r="G124" s="71" t="n"/>
      <c r="H124" s="71" t="n"/>
      <c r="I124" s="71" t="n"/>
      <c r="J124" s="71" t="n"/>
      <c r="K124" s="71" t="n"/>
      <c r="L124" s="71" t="n"/>
      <c r="M124" s="71" t="n"/>
      <c r="N124" s="71" t="n"/>
      <c r="O124" s="71" t="n"/>
      <c r="P124" s="71" t="n"/>
      <c r="Q124" s="71" t="n"/>
      <c r="R124" s="71" t="n"/>
      <c r="S124" s="71" t="n"/>
      <c r="T124" s="71" t="n"/>
      <c r="U124" s="71" t="n"/>
      <c r="V124" s="71" t="n"/>
      <c r="W124" s="71" t="n"/>
      <c r="X124" s="71" t="n"/>
      <c r="Y124" s="71" t="n"/>
      <c r="Z124" s="71" t="n"/>
    </row>
    <row r="125" ht="15.75" customHeight="1">
      <c r="A125" s="71" t="n"/>
      <c r="B125" s="71" t="n"/>
      <c r="C125" s="71" t="n"/>
      <c r="D125" s="71" t="n"/>
      <c r="E125" s="71" t="n"/>
      <c r="F125" s="71" t="n"/>
      <c r="G125" s="71" t="n"/>
      <c r="H125" s="71" t="n"/>
      <c r="I125" s="71" t="n"/>
      <c r="J125" s="71" t="n"/>
      <c r="K125" s="71" t="n"/>
      <c r="L125" s="71" t="n"/>
      <c r="M125" s="71" t="n"/>
      <c r="N125" s="71" t="n"/>
      <c r="O125" s="71" t="n"/>
      <c r="P125" s="71" t="n"/>
      <c r="Q125" s="71" t="n"/>
      <c r="R125" s="71" t="n"/>
      <c r="S125" s="71" t="n"/>
      <c r="T125" s="71" t="n"/>
      <c r="U125" s="71" t="n"/>
      <c r="V125" s="71" t="n"/>
      <c r="W125" s="71" t="n"/>
      <c r="X125" s="71" t="n"/>
      <c r="Y125" s="71" t="n"/>
      <c r="Z125" s="71" t="n"/>
    </row>
    <row r="126" ht="15.75" customHeight="1">
      <c r="A126" s="71" t="n"/>
      <c r="B126" s="71" t="n"/>
      <c r="C126" s="71" t="n"/>
      <c r="D126" s="71" t="n"/>
      <c r="E126" s="71" t="n"/>
      <c r="F126" s="71" t="n"/>
      <c r="G126" s="71" t="n"/>
      <c r="H126" s="71" t="n"/>
      <c r="I126" s="71" t="n"/>
      <c r="J126" s="71" t="n"/>
      <c r="K126" s="71" t="n"/>
      <c r="L126" s="71" t="n"/>
      <c r="M126" s="71" t="n"/>
      <c r="N126" s="71" t="n"/>
      <c r="O126" s="71" t="n"/>
      <c r="P126" s="71" t="n"/>
      <c r="Q126" s="71" t="n"/>
      <c r="R126" s="71" t="n"/>
      <c r="S126" s="71" t="n"/>
      <c r="T126" s="71" t="n"/>
      <c r="U126" s="71" t="n"/>
      <c r="V126" s="71" t="n"/>
      <c r="W126" s="71" t="n"/>
      <c r="X126" s="71" t="n"/>
      <c r="Y126" s="71" t="n"/>
      <c r="Z126" s="71" t="n"/>
    </row>
    <row r="127" ht="15.75" customHeight="1">
      <c r="A127" s="71" t="n"/>
      <c r="B127" s="71" t="n"/>
      <c r="C127" s="71" t="n"/>
      <c r="D127" s="71" t="n"/>
      <c r="E127" s="71" t="n"/>
      <c r="F127" s="71" t="n"/>
      <c r="G127" s="71" t="n"/>
      <c r="H127" s="71" t="n"/>
      <c r="I127" s="71" t="n"/>
      <c r="J127" s="71" t="n"/>
      <c r="K127" s="71" t="n"/>
      <c r="L127" s="71" t="n"/>
      <c r="M127" s="71" t="n"/>
      <c r="N127" s="71" t="n"/>
      <c r="O127" s="71" t="n"/>
      <c r="P127" s="71" t="n"/>
      <c r="Q127" s="71" t="n"/>
      <c r="R127" s="71" t="n"/>
      <c r="S127" s="71" t="n"/>
      <c r="T127" s="71" t="n"/>
      <c r="U127" s="71" t="n"/>
      <c r="V127" s="71" t="n"/>
      <c r="W127" s="71" t="n"/>
      <c r="X127" s="71" t="n"/>
      <c r="Y127" s="71" t="n"/>
      <c r="Z127" s="71" t="n"/>
    </row>
    <row r="128" ht="15.75" customHeight="1">
      <c r="A128" s="71" t="n"/>
      <c r="B128" s="71" t="n"/>
      <c r="C128" s="71" t="n"/>
      <c r="D128" s="71" t="n"/>
      <c r="E128" s="71" t="n"/>
      <c r="F128" s="71" t="n"/>
      <c r="G128" s="71" t="n"/>
      <c r="H128" s="71" t="n"/>
      <c r="I128" s="71" t="n"/>
      <c r="J128" s="71" t="n"/>
      <c r="K128" s="71" t="n"/>
      <c r="L128" s="71" t="n"/>
      <c r="M128" s="71" t="n"/>
      <c r="N128" s="71" t="n"/>
      <c r="O128" s="71" t="n"/>
      <c r="P128" s="71" t="n"/>
      <c r="Q128" s="71" t="n"/>
      <c r="R128" s="71" t="n"/>
      <c r="S128" s="71" t="n"/>
      <c r="T128" s="71" t="n"/>
      <c r="U128" s="71" t="n"/>
      <c r="V128" s="71" t="n"/>
      <c r="W128" s="71" t="n"/>
      <c r="X128" s="71" t="n"/>
      <c r="Y128" s="71" t="n"/>
      <c r="Z128" s="71" t="n"/>
    </row>
    <row r="129" ht="15.75" customHeight="1">
      <c r="A129" s="71" t="n"/>
      <c r="B129" s="71" t="n"/>
      <c r="C129" s="71" t="n"/>
      <c r="D129" s="71" t="n"/>
      <c r="E129" s="71" t="n"/>
      <c r="F129" s="71" t="n"/>
      <c r="G129" s="71" t="n"/>
      <c r="H129" s="71" t="n"/>
      <c r="I129" s="71" t="n"/>
      <c r="J129" s="71" t="n"/>
      <c r="K129" s="71" t="n"/>
      <c r="L129" s="71" t="n"/>
      <c r="M129" s="71" t="n"/>
      <c r="N129" s="71" t="n"/>
      <c r="O129" s="71" t="n"/>
      <c r="P129" s="71" t="n"/>
      <c r="Q129" s="71" t="n"/>
      <c r="R129" s="71" t="n"/>
      <c r="S129" s="71" t="n"/>
      <c r="T129" s="71" t="n"/>
      <c r="U129" s="71" t="n"/>
      <c r="V129" s="71" t="n"/>
      <c r="W129" s="71" t="n"/>
      <c r="X129" s="71" t="n"/>
      <c r="Y129" s="71" t="n"/>
      <c r="Z129" s="71" t="n"/>
    </row>
    <row r="130" ht="15.75" customHeight="1">
      <c r="A130" s="71" t="n"/>
      <c r="B130" s="71" t="n"/>
      <c r="C130" s="71" t="n"/>
      <c r="D130" s="71" t="n"/>
      <c r="E130" s="71" t="n"/>
      <c r="F130" s="71" t="n"/>
      <c r="G130" s="71" t="n"/>
      <c r="H130" s="71" t="n"/>
      <c r="I130" s="71" t="n"/>
      <c r="J130" s="71" t="n"/>
      <c r="K130" s="71" t="n"/>
      <c r="L130" s="71" t="n"/>
      <c r="M130" s="71" t="n"/>
      <c r="N130" s="71" t="n"/>
      <c r="O130" s="71" t="n"/>
      <c r="P130" s="71" t="n"/>
      <c r="Q130" s="71" t="n"/>
      <c r="R130" s="71" t="n"/>
      <c r="S130" s="71" t="n"/>
      <c r="T130" s="71" t="n"/>
      <c r="U130" s="71" t="n"/>
      <c r="V130" s="71" t="n"/>
      <c r="W130" s="71" t="n"/>
      <c r="X130" s="71" t="n"/>
      <c r="Y130" s="71" t="n"/>
      <c r="Z130" s="71" t="n"/>
    </row>
    <row r="131" ht="15.75" customHeight="1">
      <c r="A131" s="71" t="n"/>
      <c r="B131" s="71" t="n"/>
      <c r="C131" s="71" t="n"/>
      <c r="D131" s="71" t="n"/>
      <c r="E131" s="71" t="n"/>
      <c r="F131" s="71" t="n"/>
      <c r="G131" s="71" t="n"/>
      <c r="H131" s="71" t="n"/>
      <c r="I131" s="71" t="n"/>
      <c r="J131" s="71" t="n"/>
      <c r="K131" s="71" t="n"/>
      <c r="L131" s="71" t="n"/>
      <c r="M131" s="71" t="n"/>
      <c r="N131" s="71" t="n"/>
      <c r="O131" s="71" t="n"/>
      <c r="P131" s="71" t="n"/>
      <c r="Q131" s="71" t="n"/>
      <c r="R131" s="71" t="n"/>
      <c r="S131" s="71" t="n"/>
      <c r="T131" s="71" t="n"/>
      <c r="U131" s="71" t="n"/>
      <c r="V131" s="71" t="n"/>
      <c r="W131" s="71" t="n"/>
      <c r="X131" s="71" t="n"/>
      <c r="Y131" s="71" t="n"/>
      <c r="Z131" s="71" t="n"/>
    </row>
    <row r="132" ht="15.75" customHeight="1">
      <c r="A132" s="71" t="n"/>
      <c r="B132" s="71" t="n"/>
      <c r="C132" s="71" t="n"/>
      <c r="D132" s="71" t="n"/>
      <c r="E132" s="71" t="n"/>
      <c r="F132" s="71" t="n"/>
      <c r="G132" s="71" t="n"/>
      <c r="H132" s="71" t="n"/>
      <c r="I132" s="71" t="n"/>
      <c r="J132" s="71" t="n"/>
      <c r="K132" s="71" t="n"/>
      <c r="L132" s="71" t="n"/>
      <c r="M132" s="71" t="n"/>
      <c r="N132" s="71" t="n"/>
      <c r="O132" s="71" t="n"/>
      <c r="P132" s="71" t="n"/>
      <c r="Q132" s="71" t="n"/>
      <c r="R132" s="71" t="n"/>
      <c r="S132" s="71" t="n"/>
      <c r="T132" s="71" t="n"/>
      <c r="U132" s="71" t="n"/>
      <c r="V132" s="71" t="n"/>
      <c r="W132" s="71" t="n"/>
      <c r="X132" s="71" t="n"/>
      <c r="Y132" s="71" t="n"/>
      <c r="Z132" s="71" t="n"/>
    </row>
    <row r="133" ht="15.75" customHeight="1">
      <c r="A133" s="71" t="n"/>
      <c r="B133" s="71" t="n"/>
      <c r="C133" s="71" t="n"/>
      <c r="D133" s="71" t="n"/>
      <c r="E133" s="71" t="n"/>
      <c r="F133" s="71" t="n"/>
      <c r="G133" s="71" t="n"/>
      <c r="H133" s="71" t="n"/>
      <c r="I133" s="71" t="n"/>
      <c r="J133" s="71" t="n"/>
      <c r="K133" s="71" t="n"/>
      <c r="L133" s="71" t="n"/>
      <c r="M133" s="71" t="n"/>
      <c r="N133" s="71" t="n"/>
      <c r="O133" s="71" t="n"/>
      <c r="P133" s="71" t="n"/>
      <c r="Q133" s="71" t="n"/>
      <c r="R133" s="71" t="n"/>
      <c r="S133" s="71" t="n"/>
      <c r="T133" s="71" t="n"/>
      <c r="U133" s="71" t="n"/>
      <c r="V133" s="71" t="n"/>
      <c r="W133" s="71" t="n"/>
      <c r="X133" s="71" t="n"/>
      <c r="Y133" s="71" t="n"/>
      <c r="Z133" s="71" t="n"/>
    </row>
    <row r="134" ht="15.75" customHeight="1">
      <c r="A134" s="71" t="n"/>
      <c r="B134" s="71" t="n"/>
      <c r="C134" s="71" t="n"/>
      <c r="D134" s="71" t="n"/>
      <c r="E134" s="71" t="n"/>
      <c r="F134" s="71" t="n"/>
      <c r="G134" s="71" t="n"/>
      <c r="H134" s="71" t="n"/>
      <c r="I134" s="71" t="n"/>
      <c r="J134" s="71" t="n"/>
      <c r="K134" s="71" t="n"/>
      <c r="L134" s="71" t="n"/>
      <c r="M134" s="71" t="n"/>
      <c r="N134" s="71" t="n"/>
      <c r="O134" s="71" t="n"/>
      <c r="P134" s="71" t="n"/>
      <c r="Q134" s="71" t="n"/>
      <c r="R134" s="71" t="n"/>
      <c r="S134" s="71" t="n"/>
      <c r="T134" s="71" t="n"/>
      <c r="U134" s="71" t="n"/>
      <c r="V134" s="71" t="n"/>
      <c r="W134" s="71" t="n"/>
      <c r="X134" s="71" t="n"/>
      <c r="Y134" s="71" t="n"/>
      <c r="Z134" s="71" t="n"/>
    </row>
    <row r="135" ht="15.75" customHeight="1">
      <c r="A135" s="71" t="n"/>
      <c r="B135" s="71" t="n"/>
      <c r="C135" s="71" t="n"/>
      <c r="D135" s="71" t="n"/>
      <c r="E135" s="71" t="n"/>
      <c r="F135" s="71" t="n"/>
      <c r="G135" s="71" t="n"/>
      <c r="H135" s="71" t="n"/>
      <c r="I135" s="71" t="n"/>
      <c r="J135" s="71" t="n"/>
      <c r="K135" s="71" t="n"/>
      <c r="L135" s="71" t="n"/>
      <c r="M135" s="71" t="n"/>
      <c r="N135" s="71" t="n"/>
      <c r="O135" s="71" t="n"/>
      <c r="P135" s="71" t="n"/>
      <c r="Q135" s="71" t="n"/>
      <c r="R135" s="71" t="n"/>
      <c r="S135" s="71" t="n"/>
      <c r="T135" s="71" t="n"/>
      <c r="U135" s="71" t="n"/>
      <c r="V135" s="71" t="n"/>
      <c r="W135" s="71" t="n"/>
      <c r="X135" s="71" t="n"/>
      <c r="Y135" s="71" t="n"/>
      <c r="Z135" s="71" t="n"/>
    </row>
    <row r="136" ht="15.75" customHeight="1">
      <c r="A136" s="71" t="n"/>
      <c r="B136" s="71" t="n"/>
      <c r="C136" s="71" t="n"/>
      <c r="D136" s="71" t="n"/>
      <c r="E136" s="71" t="n"/>
      <c r="F136" s="71" t="n"/>
      <c r="G136" s="71" t="n"/>
      <c r="H136" s="71" t="n"/>
      <c r="I136" s="71" t="n"/>
      <c r="J136" s="71" t="n"/>
      <c r="K136" s="71" t="n"/>
      <c r="L136" s="71" t="n"/>
      <c r="M136" s="71" t="n"/>
      <c r="N136" s="71" t="n"/>
      <c r="O136" s="71" t="n"/>
      <c r="P136" s="71" t="n"/>
      <c r="Q136" s="71" t="n"/>
      <c r="R136" s="71" t="n"/>
      <c r="S136" s="71" t="n"/>
      <c r="T136" s="71" t="n"/>
      <c r="U136" s="71" t="n"/>
      <c r="V136" s="71" t="n"/>
      <c r="W136" s="71" t="n"/>
      <c r="X136" s="71" t="n"/>
      <c r="Y136" s="71" t="n"/>
      <c r="Z136" s="71" t="n"/>
    </row>
    <row r="137" ht="15.75" customHeight="1">
      <c r="A137" s="71" t="n"/>
      <c r="B137" s="71" t="n"/>
      <c r="C137" s="71" t="n"/>
      <c r="D137" s="71" t="n"/>
      <c r="E137" s="71" t="n"/>
      <c r="F137" s="71" t="n"/>
      <c r="G137" s="71" t="n"/>
      <c r="H137" s="71" t="n"/>
      <c r="I137" s="71" t="n"/>
      <c r="J137" s="71" t="n"/>
      <c r="K137" s="71" t="n"/>
      <c r="L137" s="71" t="n"/>
      <c r="M137" s="71" t="n"/>
      <c r="N137" s="71" t="n"/>
      <c r="O137" s="71" t="n"/>
      <c r="P137" s="71" t="n"/>
      <c r="Q137" s="71" t="n"/>
      <c r="R137" s="71" t="n"/>
      <c r="S137" s="71" t="n"/>
      <c r="T137" s="71" t="n"/>
      <c r="U137" s="71" t="n"/>
      <c r="V137" s="71" t="n"/>
      <c r="W137" s="71" t="n"/>
      <c r="X137" s="71" t="n"/>
      <c r="Y137" s="71" t="n"/>
      <c r="Z137" s="71" t="n"/>
    </row>
    <row r="138" ht="15.75" customHeight="1">
      <c r="A138" s="71" t="n"/>
      <c r="B138" s="71" t="n"/>
      <c r="C138" s="71" t="n"/>
      <c r="D138" s="71" t="n"/>
      <c r="E138" s="71" t="n"/>
      <c r="F138" s="71" t="n"/>
      <c r="G138" s="71" t="n"/>
      <c r="H138" s="71" t="n"/>
      <c r="I138" s="71" t="n"/>
      <c r="J138" s="71" t="n"/>
      <c r="K138" s="71" t="n"/>
      <c r="L138" s="71" t="n"/>
      <c r="M138" s="71" t="n"/>
      <c r="N138" s="71" t="n"/>
      <c r="O138" s="71" t="n"/>
      <c r="P138" s="71" t="n"/>
      <c r="Q138" s="71" t="n"/>
      <c r="R138" s="71" t="n"/>
      <c r="S138" s="71" t="n"/>
      <c r="T138" s="71" t="n"/>
      <c r="U138" s="71" t="n"/>
      <c r="V138" s="71" t="n"/>
      <c r="W138" s="71" t="n"/>
      <c r="X138" s="71" t="n"/>
      <c r="Y138" s="71" t="n"/>
      <c r="Z138" s="71" t="n"/>
    </row>
    <row r="139" ht="15.75" customHeight="1">
      <c r="A139" s="71" t="n"/>
      <c r="B139" s="71" t="n"/>
      <c r="C139" s="71" t="n"/>
      <c r="D139" s="71" t="n"/>
      <c r="E139" s="71" t="n"/>
      <c r="F139" s="71" t="n"/>
      <c r="G139" s="71" t="n"/>
      <c r="H139" s="71" t="n"/>
      <c r="I139" s="71" t="n"/>
      <c r="J139" s="71" t="n"/>
      <c r="K139" s="71" t="n"/>
      <c r="L139" s="71" t="n"/>
      <c r="M139" s="71" t="n"/>
      <c r="N139" s="71" t="n"/>
      <c r="O139" s="71" t="n"/>
      <c r="P139" s="71" t="n"/>
      <c r="Q139" s="71" t="n"/>
      <c r="R139" s="71" t="n"/>
      <c r="S139" s="71" t="n"/>
      <c r="T139" s="71" t="n"/>
      <c r="U139" s="71" t="n"/>
      <c r="V139" s="71" t="n"/>
      <c r="W139" s="71" t="n"/>
      <c r="X139" s="71" t="n"/>
      <c r="Y139" s="71" t="n"/>
      <c r="Z139" s="71" t="n"/>
    </row>
    <row r="140" ht="15.75" customHeight="1">
      <c r="A140" s="71" t="n"/>
      <c r="B140" s="71" t="n"/>
      <c r="C140" s="71" t="n"/>
      <c r="D140" s="71" t="n"/>
      <c r="E140" s="71" t="n"/>
      <c r="F140" s="71" t="n"/>
      <c r="G140" s="71" t="n"/>
      <c r="H140" s="71" t="n"/>
      <c r="I140" s="71" t="n"/>
      <c r="J140" s="71" t="n"/>
      <c r="K140" s="71" t="n"/>
      <c r="L140" s="71" t="n"/>
      <c r="M140" s="71" t="n"/>
      <c r="N140" s="71" t="n"/>
      <c r="O140" s="71" t="n"/>
      <c r="P140" s="71" t="n"/>
      <c r="Q140" s="71" t="n"/>
      <c r="R140" s="71" t="n"/>
      <c r="S140" s="71" t="n"/>
      <c r="T140" s="71" t="n"/>
      <c r="U140" s="71" t="n"/>
      <c r="V140" s="71" t="n"/>
      <c r="W140" s="71" t="n"/>
      <c r="X140" s="71" t="n"/>
      <c r="Y140" s="71" t="n"/>
      <c r="Z140" s="71" t="n"/>
    </row>
    <row r="141" ht="15.75" customHeight="1">
      <c r="A141" s="71" t="n"/>
      <c r="B141" s="71" t="n"/>
      <c r="C141" s="71" t="n"/>
      <c r="D141" s="71" t="n"/>
      <c r="E141" s="71" t="n"/>
      <c r="F141" s="71" t="n"/>
      <c r="G141" s="71" t="n"/>
      <c r="H141" s="71" t="n"/>
      <c r="I141" s="71" t="n"/>
      <c r="J141" s="71" t="n"/>
      <c r="K141" s="71" t="n"/>
      <c r="L141" s="71" t="n"/>
      <c r="M141" s="71" t="n"/>
      <c r="N141" s="71" t="n"/>
      <c r="O141" s="71" t="n"/>
      <c r="P141" s="71" t="n"/>
      <c r="Q141" s="71" t="n"/>
      <c r="R141" s="71" t="n"/>
      <c r="S141" s="71" t="n"/>
      <c r="T141" s="71" t="n"/>
      <c r="U141" s="71" t="n"/>
      <c r="V141" s="71" t="n"/>
      <c r="W141" s="71" t="n"/>
      <c r="X141" s="71" t="n"/>
      <c r="Y141" s="71" t="n"/>
      <c r="Z141" s="71" t="n"/>
    </row>
    <row r="142" ht="15.75" customHeight="1">
      <c r="A142" s="71" t="n"/>
      <c r="B142" s="71" t="n"/>
      <c r="C142" s="71" t="n"/>
      <c r="D142" s="71" t="n"/>
      <c r="E142" s="71" t="n"/>
      <c r="F142" s="71" t="n"/>
      <c r="G142" s="71" t="n"/>
      <c r="H142" s="71" t="n"/>
      <c r="I142" s="71" t="n"/>
      <c r="J142" s="71" t="n"/>
      <c r="K142" s="71" t="n"/>
      <c r="L142" s="71" t="n"/>
      <c r="M142" s="71" t="n"/>
      <c r="N142" s="71" t="n"/>
      <c r="O142" s="71" t="n"/>
      <c r="P142" s="71" t="n"/>
      <c r="Q142" s="71" t="n"/>
      <c r="R142" s="71" t="n"/>
      <c r="S142" s="71" t="n"/>
      <c r="T142" s="71" t="n"/>
      <c r="U142" s="71" t="n"/>
      <c r="V142" s="71" t="n"/>
      <c r="W142" s="71" t="n"/>
      <c r="X142" s="71" t="n"/>
      <c r="Y142" s="71" t="n"/>
      <c r="Z142" s="71" t="n"/>
    </row>
    <row r="143" ht="15.75" customHeight="1">
      <c r="A143" s="71" t="n"/>
      <c r="B143" s="71" t="n"/>
      <c r="C143" s="71" t="n"/>
      <c r="D143" s="71" t="n"/>
      <c r="E143" s="71" t="n"/>
      <c r="F143" s="71" t="n"/>
      <c r="G143" s="71" t="n"/>
      <c r="H143" s="71" t="n"/>
      <c r="I143" s="71" t="n"/>
      <c r="J143" s="71" t="n"/>
      <c r="K143" s="71" t="n"/>
      <c r="L143" s="71" t="n"/>
      <c r="M143" s="71" t="n"/>
      <c r="N143" s="71" t="n"/>
      <c r="O143" s="71" t="n"/>
      <c r="P143" s="71" t="n"/>
      <c r="Q143" s="71" t="n"/>
      <c r="R143" s="71" t="n"/>
      <c r="S143" s="71" t="n"/>
      <c r="T143" s="71" t="n"/>
      <c r="U143" s="71" t="n"/>
      <c r="V143" s="71" t="n"/>
      <c r="W143" s="71" t="n"/>
      <c r="X143" s="71" t="n"/>
      <c r="Y143" s="71" t="n"/>
      <c r="Z143" s="71" t="n"/>
    </row>
    <row r="144" ht="15.75" customHeight="1">
      <c r="A144" s="71" t="n"/>
      <c r="B144" s="71" t="n"/>
      <c r="C144" s="71" t="n"/>
      <c r="D144" s="71" t="n"/>
      <c r="E144" s="71" t="n"/>
      <c r="F144" s="71" t="n"/>
      <c r="G144" s="71" t="n"/>
      <c r="H144" s="71" t="n"/>
      <c r="I144" s="71" t="n"/>
      <c r="J144" s="71" t="n"/>
      <c r="K144" s="71" t="n"/>
      <c r="L144" s="71" t="n"/>
      <c r="M144" s="71" t="n"/>
      <c r="N144" s="71" t="n"/>
      <c r="O144" s="71" t="n"/>
      <c r="P144" s="71" t="n"/>
      <c r="Q144" s="71" t="n"/>
      <c r="R144" s="71" t="n"/>
      <c r="S144" s="71" t="n"/>
      <c r="T144" s="71" t="n"/>
      <c r="U144" s="71" t="n"/>
      <c r="V144" s="71" t="n"/>
      <c r="W144" s="71" t="n"/>
      <c r="X144" s="71" t="n"/>
      <c r="Y144" s="71" t="n"/>
      <c r="Z144" s="71" t="n"/>
    </row>
    <row r="145" ht="15.75" customHeight="1">
      <c r="A145" s="71" t="n"/>
      <c r="B145" s="71" t="n"/>
      <c r="C145" s="71" t="n"/>
      <c r="D145" s="71" t="n"/>
      <c r="E145" s="71" t="n"/>
      <c r="F145" s="71" t="n"/>
      <c r="G145" s="71" t="n"/>
      <c r="H145" s="71" t="n"/>
      <c r="I145" s="71" t="n"/>
      <c r="J145" s="71" t="n"/>
      <c r="K145" s="71" t="n"/>
      <c r="L145" s="71" t="n"/>
      <c r="M145" s="71" t="n"/>
      <c r="N145" s="71" t="n"/>
      <c r="O145" s="71" t="n"/>
      <c r="P145" s="71" t="n"/>
      <c r="Q145" s="71" t="n"/>
      <c r="R145" s="71" t="n"/>
      <c r="S145" s="71" t="n"/>
      <c r="T145" s="71" t="n"/>
      <c r="U145" s="71" t="n"/>
      <c r="V145" s="71" t="n"/>
      <c r="W145" s="71" t="n"/>
      <c r="X145" s="71" t="n"/>
      <c r="Y145" s="71" t="n"/>
      <c r="Z145" s="71" t="n"/>
    </row>
    <row r="146" ht="15.75" customHeight="1">
      <c r="A146" s="71" t="n"/>
      <c r="B146" s="71" t="n"/>
      <c r="C146" s="71" t="n"/>
      <c r="D146" s="71" t="n"/>
      <c r="E146" s="71" t="n"/>
      <c r="F146" s="71" t="n"/>
      <c r="G146" s="71" t="n"/>
      <c r="H146" s="71" t="n"/>
      <c r="I146" s="71" t="n"/>
      <c r="J146" s="71" t="n"/>
      <c r="K146" s="71" t="n"/>
      <c r="L146" s="71" t="n"/>
      <c r="M146" s="71" t="n"/>
      <c r="N146" s="71" t="n"/>
      <c r="O146" s="71" t="n"/>
      <c r="P146" s="71" t="n"/>
      <c r="Q146" s="71" t="n"/>
      <c r="R146" s="71" t="n"/>
      <c r="S146" s="71" t="n"/>
      <c r="T146" s="71" t="n"/>
      <c r="U146" s="71" t="n"/>
      <c r="V146" s="71" t="n"/>
      <c r="W146" s="71" t="n"/>
      <c r="X146" s="71" t="n"/>
      <c r="Y146" s="71" t="n"/>
      <c r="Z146" s="71" t="n"/>
    </row>
    <row r="147" ht="15.75" customHeight="1">
      <c r="A147" s="71" t="n"/>
      <c r="B147" s="71" t="n"/>
      <c r="C147" s="71" t="n"/>
      <c r="D147" s="71" t="n"/>
      <c r="E147" s="71" t="n"/>
      <c r="F147" s="71" t="n"/>
      <c r="G147" s="71" t="n"/>
      <c r="H147" s="71" t="n"/>
      <c r="I147" s="71" t="n"/>
      <c r="J147" s="71" t="n"/>
      <c r="K147" s="71" t="n"/>
      <c r="L147" s="71" t="n"/>
      <c r="M147" s="71" t="n"/>
      <c r="N147" s="71" t="n"/>
      <c r="O147" s="71" t="n"/>
      <c r="P147" s="71" t="n"/>
      <c r="Q147" s="71" t="n"/>
      <c r="R147" s="71" t="n"/>
      <c r="S147" s="71" t="n"/>
      <c r="T147" s="71" t="n"/>
      <c r="U147" s="71" t="n"/>
      <c r="V147" s="71" t="n"/>
      <c r="W147" s="71" t="n"/>
      <c r="X147" s="71" t="n"/>
      <c r="Y147" s="71" t="n"/>
      <c r="Z147" s="71" t="n"/>
    </row>
    <row r="148" ht="15.75" customHeight="1">
      <c r="A148" s="71" t="n"/>
      <c r="B148" s="71" t="n"/>
      <c r="C148" s="71" t="n"/>
      <c r="D148" s="71" t="n"/>
      <c r="E148" s="71" t="n"/>
      <c r="F148" s="71" t="n"/>
      <c r="G148" s="71" t="n"/>
      <c r="H148" s="71" t="n"/>
      <c r="I148" s="71" t="n"/>
      <c r="J148" s="71" t="n"/>
      <c r="K148" s="71" t="n"/>
      <c r="L148" s="71" t="n"/>
      <c r="M148" s="71" t="n"/>
      <c r="N148" s="71" t="n"/>
      <c r="O148" s="71" t="n"/>
      <c r="P148" s="71" t="n"/>
      <c r="Q148" s="71" t="n"/>
      <c r="R148" s="71" t="n"/>
      <c r="S148" s="71" t="n"/>
      <c r="T148" s="71" t="n"/>
      <c r="U148" s="71" t="n"/>
      <c r="V148" s="71" t="n"/>
      <c r="W148" s="71" t="n"/>
      <c r="X148" s="71" t="n"/>
      <c r="Y148" s="71" t="n"/>
      <c r="Z148" s="71" t="n"/>
    </row>
    <row r="149" ht="15.75" customHeight="1">
      <c r="A149" s="71" t="n"/>
      <c r="B149" s="71" t="n"/>
      <c r="C149" s="71" t="n"/>
      <c r="D149" s="71" t="n"/>
      <c r="E149" s="71" t="n"/>
      <c r="F149" s="71" t="n"/>
      <c r="G149" s="71" t="n"/>
      <c r="H149" s="71" t="n"/>
      <c r="I149" s="71" t="n"/>
      <c r="J149" s="71" t="n"/>
      <c r="K149" s="71" t="n"/>
      <c r="L149" s="71" t="n"/>
      <c r="M149" s="71" t="n"/>
      <c r="N149" s="71" t="n"/>
      <c r="O149" s="71" t="n"/>
      <c r="P149" s="71" t="n"/>
      <c r="Q149" s="71" t="n"/>
      <c r="R149" s="71" t="n"/>
      <c r="S149" s="71" t="n"/>
      <c r="T149" s="71" t="n"/>
      <c r="U149" s="71" t="n"/>
      <c r="V149" s="71" t="n"/>
      <c r="W149" s="71" t="n"/>
      <c r="X149" s="71" t="n"/>
      <c r="Y149" s="71" t="n"/>
      <c r="Z149" s="71" t="n"/>
    </row>
    <row r="150" ht="15.75" customHeight="1">
      <c r="A150" s="71" t="n"/>
      <c r="B150" s="71" t="n"/>
      <c r="C150" s="71" t="n"/>
      <c r="D150" s="71" t="n"/>
      <c r="E150" s="71" t="n"/>
      <c r="F150" s="71" t="n"/>
      <c r="G150" s="71" t="n"/>
      <c r="H150" s="71" t="n"/>
      <c r="I150" s="71" t="n"/>
      <c r="J150" s="71" t="n"/>
      <c r="K150" s="71" t="n"/>
      <c r="L150" s="71" t="n"/>
      <c r="M150" s="71" t="n"/>
      <c r="N150" s="71" t="n"/>
      <c r="O150" s="71" t="n"/>
      <c r="P150" s="71" t="n"/>
      <c r="Q150" s="71" t="n"/>
      <c r="R150" s="71" t="n"/>
      <c r="S150" s="71" t="n"/>
      <c r="T150" s="71" t="n"/>
      <c r="U150" s="71" t="n"/>
      <c r="V150" s="71" t="n"/>
      <c r="W150" s="71" t="n"/>
      <c r="X150" s="71" t="n"/>
      <c r="Y150" s="71" t="n"/>
      <c r="Z150" s="71" t="n"/>
    </row>
    <row r="151" ht="15.75" customHeight="1">
      <c r="A151" s="71" t="n"/>
      <c r="B151" s="71" t="n"/>
      <c r="C151" s="71" t="n"/>
      <c r="D151" s="71" t="n"/>
      <c r="E151" s="71" t="n"/>
      <c r="F151" s="71" t="n"/>
      <c r="G151" s="71" t="n"/>
      <c r="H151" s="71" t="n"/>
      <c r="I151" s="71" t="n"/>
      <c r="J151" s="71" t="n"/>
      <c r="K151" s="71" t="n"/>
      <c r="L151" s="71" t="n"/>
      <c r="M151" s="71" t="n"/>
      <c r="N151" s="71" t="n"/>
      <c r="O151" s="71" t="n"/>
      <c r="P151" s="71" t="n"/>
      <c r="Q151" s="71" t="n"/>
      <c r="R151" s="71" t="n"/>
      <c r="S151" s="71" t="n"/>
      <c r="T151" s="71" t="n"/>
      <c r="U151" s="71" t="n"/>
      <c r="V151" s="71" t="n"/>
      <c r="W151" s="71" t="n"/>
      <c r="X151" s="71" t="n"/>
      <c r="Y151" s="71" t="n"/>
      <c r="Z151" s="71" t="n"/>
    </row>
    <row r="152" ht="15.75" customHeight="1">
      <c r="A152" s="71" t="n"/>
      <c r="B152" s="71" t="n"/>
      <c r="C152" s="71" t="n"/>
      <c r="D152" s="71" t="n"/>
      <c r="E152" s="71" t="n"/>
      <c r="F152" s="71" t="n"/>
      <c r="G152" s="71" t="n"/>
      <c r="H152" s="71" t="n"/>
      <c r="I152" s="71" t="n"/>
      <c r="J152" s="71" t="n"/>
      <c r="K152" s="71" t="n"/>
      <c r="L152" s="71" t="n"/>
      <c r="M152" s="71" t="n"/>
      <c r="N152" s="71" t="n"/>
      <c r="O152" s="71" t="n"/>
      <c r="P152" s="71" t="n"/>
      <c r="Q152" s="71" t="n"/>
      <c r="R152" s="71" t="n"/>
      <c r="S152" s="71" t="n"/>
      <c r="T152" s="71" t="n"/>
      <c r="U152" s="71" t="n"/>
      <c r="V152" s="71" t="n"/>
      <c r="W152" s="71" t="n"/>
      <c r="X152" s="71" t="n"/>
      <c r="Y152" s="71" t="n"/>
      <c r="Z152" s="71" t="n"/>
    </row>
    <row r="153" ht="15.75" customHeight="1">
      <c r="A153" s="71" t="n"/>
      <c r="B153" s="71" t="n"/>
      <c r="C153" s="71" t="n"/>
      <c r="D153" s="71" t="n"/>
      <c r="E153" s="71" t="n"/>
      <c r="F153" s="71" t="n"/>
      <c r="G153" s="71" t="n"/>
      <c r="H153" s="71" t="n"/>
      <c r="I153" s="71" t="n"/>
      <c r="J153" s="71" t="n"/>
      <c r="K153" s="71" t="n"/>
      <c r="L153" s="71" t="n"/>
      <c r="M153" s="71" t="n"/>
      <c r="N153" s="71" t="n"/>
      <c r="O153" s="71" t="n"/>
      <c r="P153" s="71" t="n"/>
      <c r="Q153" s="71" t="n"/>
      <c r="R153" s="71" t="n"/>
      <c r="S153" s="71" t="n"/>
      <c r="T153" s="71" t="n"/>
      <c r="U153" s="71" t="n"/>
      <c r="V153" s="71" t="n"/>
      <c r="W153" s="71" t="n"/>
      <c r="X153" s="71" t="n"/>
      <c r="Y153" s="71" t="n"/>
      <c r="Z153" s="71" t="n"/>
    </row>
    <row r="154" ht="15.75" customHeight="1">
      <c r="A154" s="71" t="n"/>
      <c r="B154" s="71" t="n"/>
      <c r="C154" s="71" t="n"/>
      <c r="D154" s="71" t="n"/>
      <c r="E154" s="71" t="n"/>
      <c r="F154" s="71" t="n"/>
      <c r="G154" s="71" t="n"/>
      <c r="H154" s="71" t="n"/>
      <c r="I154" s="71" t="n"/>
      <c r="J154" s="71" t="n"/>
      <c r="K154" s="71" t="n"/>
      <c r="L154" s="71" t="n"/>
      <c r="M154" s="71" t="n"/>
      <c r="N154" s="71" t="n"/>
      <c r="O154" s="71" t="n"/>
      <c r="P154" s="71" t="n"/>
      <c r="Q154" s="71" t="n"/>
      <c r="R154" s="71" t="n"/>
      <c r="S154" s="71" t="n"/>
      <c r="T154" s="71" t="n"/>
      <c r="U154" s="71" t="n"/>
      <c r="V154" s="71" t="n"/>
      <c r="W154" s="71" t="n"/>
      <c r="X154" s="71" t="n"/>
      <c r="Y154" s="71" t="n"/>
      <c r="Z154" s="71" t="n"/>
    </row>
    <row r="155" ht="15.75" customHeight="1">
      <c r="A155" s="71" t="n"/>
      <c r="B155" s="71" t="n"/>
      <c r="C155" s="71" t="n"/>
      <c r="D155" s="71" t="n"/>
      <c r="E155" s="71" t="n"/>
      <c r="F155" s="71" t="n"/>
      <c r="G155" s="71" t="n"/>
      <c r="H155" s="71" t="n"/>
      <c r="I155" s="71" t="n"/>
      <c r="J155" s="71" t="n"/>
      <c r="K155" s="71" t="n"/>
      <c r="L155" s="71" t="n"/>
      <c r="M155" s="71" t="n"/>
      <c r="N155" s="71" t="n"/>
      <c r="O155" s="71" t="n"/>
      <c r="P155" s="71" t="n"/>
      <c r="Q155" s="71" t="n"/>
      <c r="R155" s="71" t="n"/>
      <c r="S155" s="71" t="n"/>
      <c r="T155" s="71" t="n"/>
      <c r="U155" s="71" t="n"/>
      <c r="V155" s="71" t="n"/>
      <c r="W155" s="71" t="n"/>
      <c r="X155" s="71" t="n"/>
      <c r="Y155" s="71" t="n"/>
      <c r="Z155" s="71" t="n"/>
    </row>
    <row r="156" ht="15.75" customHeight="1">
      <c r="A156" s="71" t="n"/>
      <c r="B156" s="71" t="n"/>
      <c r="C156" s="71" t="n"/>
      <c r="D156" s="71" t="n"/>
      <c r="E156" s="71" t="n"/>
      <c r="F156" s="71" t="n"/>
      <c r="G156" s="71" t="n"/>
      <c r="H156" s="71" t="n"/>
      <c r="I156" s="71" t="n"/>
      <c r="J156" s="71" t="n"/>
      <c r="K156" s="71" t="n"/>
      <c r="L156" s="71" t="n"/>
      <c r="M156" s="71" t="n"/>
      <c r="N156" s="71" t="n"/>
      <c r="O156" s="71" t="n"/>
      <c r="P156" s="71" t="n"/>
      <c r="Q156" s="71" t="n"/>
      <c r="R156" s="71" t="n"/>
      <c r="S156" s="71" t="n"/>
      <c r="T156" s="71" t="n"/>
      <c r="U156" s="71" t="n"/>
      <c r="V156" s="71" t="n"/>
      <c r="W156" s="71" t="n"/>
      <c r="X156" s="71" t="n"/>
      <c r="Y156" s="71" t="n"/>
      <c r="Z156" s="71" t="n"/>
    </row>
    <row r="157" ht="15.75" customHeight="1">
      <c r="A157" s="71" t="n"/>
      <c r="B157" s="71" t="n"/>
      <c r="C157" s="71" t="n"/>
      <c r="D157" s="71" t="n"/>
      <c r="E157" s="71" t="n"/>
      <c r="F157" s="71" t="n"/>
      <c r="G157" s="71" t="n"/>
      <c r="H157" s="71" t="n"/>
      <c r="I157" s="71" t="n"/>
      <c r="J157" s="71" t="n"/>
      <c r="K157" s="71" t="n"/>
      <c r="L157" s="71" t="n"/>
      <c r="M157" s="71" t="n"/>
      <c r="N157" s="71" t="n"/>
      <c r="O157" s="71" t="n"/>
      <c r="P157" s="71" t="n"/>
      <c r="Q157" s="71" t="n"/>
      <c r="R157" s="71" t="n"/>
      <c r="S157" s="71" t="n"/>
      <c r="T157" s="71" t="n"/>
      <c r="U157" s="71" t="n"/>
      <c r="V157" s="71" t="n"/>
      <c r="W157" s="71" t="n"/>
      <c r="X157" s="71" t="n"/>
      <c r="Y157" s="71" t="n"/>
      <c r="Z157" s="71" t="n"/>
    </row>
    <row r="158" ht="15.75" customHeight="1">
      <c r="A158" s="71" t="n"/>
      <c r="B158" s="71" t="n"/>
      <c r="C158" s="71" t="n"/>
      <c r="D158" s="71" t="n"/>
      <c r="E158" s="71" t="n"/>
      <c r="F158" s="71" t="n"/>
      <c r="G158" s="71" t="n"/>
      <c r="H158" s="71" t="n"/>
      <c r="I158" s="71" t="n"/>
      <c r="J158" s="71" t="n"/>
      <c r="K158" s="71" t="n"/>
      <c r="L158" s="71" t="n"/>
      <c r="M158" s="71" t="n"/>
      <c r="N158" s="71" t="n"/>
      <c r="O158" s="71" t="n"/>
      <c r="P158" s="71" t="n"/>
      <c r="Q158" s="71" t="n"/>
      <c r="R158" s="71" t="n"/>
      <c r="S158" s="71" t="n"/>
      <c r="T158" s="71" t="n"/>
      <c r="U158" s="71" t="n"/>
      <c r="V158" s="71" t="n"/>
      <c r="W158" s="71" t="n"/>
      <c r="X158" s="71" t="n"/>
      <c r="Y158" s="71" t="n"/>
      <c r="Z158" s="71" t="n"/>
    </row>
    <row r="159" ht="15.75" customHeight="1">
      <c r="A159" s="71" t="n"/>
      <c r="B159" s="71" t="n"/>
      <c r="C159" s="71" t="n"/>
      <c r="D159" s="71" t="n"/>
      <c r="E159" s="71" t="n"/>
      <c r="F159" s="71" t="n"/>
      <c r="G159" s="71" t="n"/>
      <c r="H159" s="71" t="n"/>
      <c r="I159" s="71" t="n"/>
      <c r="J159" s="71" t="n"/>
      <c r="K159" s="71" t="n"/>
      <c r="L159" s="71" t="n"/>
      <c r="M159" s="71" t="n"/>
      <c r="N159" s="71" t="n"/>
      <c r="O159" s="71" t="n"/>
      <c r="P159" s="71" t="n"/>
      <c r="Q159" s="71" t="n"/>
      <c r="R159" s="71" t="n"/>
      <c r="S159" s="71" t="n"/>
      <c r="T159" s="71" t="n"/>
      <c r="U159" s="71" t="n"/>
      <c r="V159" s="71" t="n"/>
      <c r="W159" s="71" t="n"/>
      <c r="X159" s="71" t="n"/>
      <c r="Y159" s="71" t="n"/>
      <c r="Z159" s="71" t="n"/>
    </row>
    <row r="160" ht="15.75" customHeight="1">
      <c r="A160" s="71" t="n"/>
      <c r="B160" s="71" t="n"/>
      <c r="C160" s="71" t="n"/>
      <c r="D160" s="71" t="n"/>
      <c r="E160" s="71" t="n"/>
      <c r="F160" s="71" t="n"/>
      <c r="G160" s="71" t="n"/>
      <c r="H160" s="71" t="n"/>
      <c r="I160" s="71" t="n"/>
      <c r="J160" s="71" t="n"/>
      <c r="K160" s="71" t="n"/>
      <c r="L160" s="71" t="n"/>
      <c r="M160" s="71" t="n"/>
      <c r="N160" s="71" t="n"/>
      <c r="O160" s="71" t="n"/>
      <c r="P160" s="71" t="n"/>
      <c r="Q160" s="71" t="n"/>
      <c r="R160" s="71" t="n"/>
      <c r="S160" s="71" t="n"/>
      <c r="T160" s="71" t="n"/>
      <c r="U160" s="71" t="n"/>
      <c r="V160" s="71" t="n"/>
      <c r="W160" s="71" t="n"/>
      <c r="X160" s="71" t="n"/>
      <c r="Y160" s="71" t="n"/>
      <c r="Z160" s="71" t="n"/>
    </row>
    <row r="161" ht="15.75" customHeight="1">
      <c r="A161" s="71" t="n"/>
      <c r="B161" s="71" t="n"/>
      <c r="C161" s="71" t="n"/>
      <c r="D161" s="71" t="n"/>
      <c r="E161" s="71" t="n"/>
      <c r="F161" s="71" t="n"/>
      <c r="G161" s="71" t="n"/>
      <c r="H161" s="71" t="n"/>
      <c r="I161" s="71" t="n"/>
      <c r="J161" s="71" t="n"/>
      <c r="K161" s="71" t="n"/>
      <c r="L161" s="71" t="n"/>
      <c r="M161" s="71" t="n"/>
      <c r="N161" s="71" t="n"/>
      <c r="O161" s="71" t="n"/>
      <c r="P161" s="71" t="n"/>
      <c r="Q161" s="71" t="n"/>
      <c r="R161" s="71" t="n"/>
      <c r="S161" s="71" t="n"/>
      <c r="T161" s="71" t="n"/>
      <c r="U161" s="71" t="n"/>
      <c r="V161" s="71" t="n"/>
      <c r="W161" s="71" t="n"/>
      <c r="X161" s="71" t="n"/>
      <c r="Y161" s="71" t="n"/>
      <c r="Z161" s="71" t="n"/>
    </row>
    <row r="162" ht="15.75" customHeight="1">
      <c r="A162" s="71" t="n"/>
      <c r="B162" s="71" t="n"/>
      <c r="C162" s="71" t="n"/>
      <c r="D162" s="71" t="n"/>
      <c r="E162" s="71" t="n"/>
      <c r="F162" s="71" t="n"/>
      <c r="G162" s="71" t="n"/>
      <c r="H162" s="71" t="n"/>
      <c r="I162" s="71" t="n"/>
      <c r="J162" s="71" t="n"/>
      <c r="K162" s="71" t="n"/>
      <c r="L162" s="71" t="n"/>
      <c r="M162" s="71" t="n"/>
      <c r="N162" s="71" t="n"/>
      <c r="O162" s="71" t="n"/>
      <c r="P162" s="71" t="n"/>
      <c r="Q162" s="71" t="n"/>
      <c r="R162" s="71" t="n"/>
      <c r="S162" s="71" t="n"/>
      <c r="T162" s="71" t="n"/>
      <c r="U162" s="71" t="n"/>
      <c r="V162" s="71" t="n"/>
      <c r="W162" s="71" t="n"/>
      <c r="X162" s="71" t="n"/>
      <c r="Y162" s="71" t="n"/>
      <c r="Z162" s="71" t="n"/>
    </row>
    <row r="163" ht="15.75" customHeight="1">
      <c r="A163" s="71" t="n"/>
      <c r="B163" s="71" t="n"/>
      <c r="C163" s="71" t="n"/>
      <c r="D163" s="71" t="n"/>
      <c r="E163" s="71" t="n"/>
      <c r="F163" s="71" t="n"/>
      <c r="G163" s="71" t="n"/>
      <c r="H163" s="71" t="n"/>
      <c r="I163" s="71" t="n"/>
      <c r="J163" s="71" t="n"/>
      <c r="K163" s="71" t="n"/>
      <c r="L163" s="71" t="n"/>
      <c r="M163" s="71" t="n"/>
      <c r="N163" s="71" t="n"/>
      <c r="O163" s="71" t="n"/>
      <c r="P163" s="71" t="n"/>
      <c r="Q163" s="71" t="n"/>
      <c r="R163" s="71" t="n"/>
      <c r="S163" s="71" t="n"/>
      <c r="T163" s="71" t="n"/>
      <c r="U163" s="71" t="n"/>
      <c r="V163" s="71" t="n"/>
      <c r="W163" s="71" t="n"/>
      <c r="X163" s="71" t="n"/>
      <c r="Y163" s="71" t="n"/>
      <c r="Z163" s="71" t="n"/>
    </row>
    <row r="164" ht="15.75" customHeight="1">
      <c r="A164" s="71" t="n"/>
      <c r="B164" s="71" t="n"/>
      <c r="C164" s="71" t="n"/>
      <c r="D164" s="71" t="n"/>
      <c r="E164" s="71" t="n"/>
      <c r="F164" s="71" t="n"/>
      <c r="G164" s="71" t="n"/>
      <c r="H164" s="71" t="n"/>
      <c r="I164" s="71" t="n"/>
      <c r="J164" s="71" t="n"/>
      <c r="K164" s="71" t="n"/>
      <c r="L164" s="71" t="n"/>
      <c r="M164" s="71" t="n"/>
      <c r="N164" s="71" t="n"/>
      <c r="O164" s="71" t="n"/>
      <c r="P164" s="71" t="n"/>
      <c r="Q164" s="71" t="n"/>
      <c r="R164" s="71" t="n"/>
      <c r="S164" s="71" t="n"/>
      <c r="T164" s="71" t="n"/>
      <c r="U164" s="71" t="n"/>
      <c r="V164" s="71" t="n"/>
      <c r="W164" s="71" t="n"/>
      <c r="X164" s="71" t="n"/>
      <c r="Y164" s="71" t="n"/>
      <c r="Z164" s="71" t="n"/>
    </row>
    <row r="165" ht="15.75" customHeight="1">
      <c r="A165" s="71" t="n"/>
      <c r="B165" s="71" t="n"/>
      <c r="C165" s="71" t="n"/>
      <c r="D165" s="71" t="n"/>
      <c r="E165" s="71" t="n"/>
      <c r="F165" s="71" t="n"/>
      <c r="G165" s="71" t="n"/>
      <c r="H165" s="71" t="n"/>
      <c r="I165" s="71" t="n"/>
      <c r="J165" s="71" t="n"/>
      <c r="K165" s="71" t="n"/>
      <c r="L165" s="71" t="n"/>
      <c r="M165" s="71" t="n"/>
      <c r="N165" s="71" t="n"/>
      <c r="O165" s="71" t="n"/>
      <c r="P165" s="71" t="n"/>
      <c r="Q165" s="71" t="n"/>
      <c r="R165" s="71" t="n"/>
      <c r="S165" s="71" t="n"/>
      <c r="T165" s="71" t="n"/>
      <c r="U165" s="71" t="n"/>
      <c r="V165" s="71" t="n"/>
      <c r="W165" s="71" t="n"/>
      <c r="X165" s="71" t="n"/>
      <c r="Y165" s="71" t="n"/>
      <c r="Z165" s="71" t="n"/>
    </row>
    <row r="166" ht="15.75" customHeight="1">
      <c r="A166" s="71" t="n"/>
      <c r="B166" s="71" t="n"/>
      <c r="C166" s="71" t="n"/>
      <c r="D166" s="71" t="n"/>
      <c r="E166" s="71" t="n"/>
      <c r="F166" s="71" t="n"/>
      <c r="G166" s="71" t="n"/>
      <c r="H166" s="71" t="n"/>
      <c r="I166" s="71" t="n"/>
      <c r="J166" s="71" t="n"/>
      <c r="K166" s="71" t="n"/>
      <c r="L166" s="71" t="n"/>
      <c r="M166" s="71" t="n"/>
      <c r="N166" s="71" t="n"/>
      <c r="O166" s="71" t="n"/>
      <c r="P166" s="71" t="n"/>
      <c r="Q166" s="71" t="n"/>
      <c r="R166" s="71" t="n"/>
      <c r="S166" s="71" t="n"/>
      <c r="T166" s="71" t="n"/>
      <c r="U166" s="71" t="n"/>
      <c r="V166" s="71" t="n"/>
      <c r="W166" s="71" t="n"/>
      <c r="X166" s="71" t="n"/>
      <c r="Y166" s="71" t="n"/>
      <c r="Z166" s="71" t="n"/>
    </row>
    <row r="167" ht="15.75" customHeight="1">
      <c r="A167" s="71" t="n"/>
      <c r="B167" s="71" t="n"/>
      <c r="C167" s="71" t="n"/>
      <c r="D167" s="71" t="n"/>
      <c r="E167" s="71" t="n"/>
      <c r="F167" s="71" t="n"/>
      <c r="G167" s="71" t="n"/>
      <c r="H167" s="71" t="n"/>
      <c r="I167" s="71" t="n"/>
      <c r="J167" s="71" t="n"/>
      <c r="K167" s="71" t="n"/>
      <c r="L167" s="71" t="n"/>
      <c r="M167" s="71" t="n"/>
      <c r="N167" s="71" t="n"/>
      <c r="O167" s="71" t="n"/>
      <c r="P167" s="71" t="n"/>
      <c r="Q167" s="71" t="n"/>
      <c r="R167" s="71" t="n"/>
      <c r="S167" s="71" t="n"/>
      <c r="T167" s="71" t="n"/>
      <c r="U167" s="71" t="n"/>
      <c r="V167" s="71" t="n"/>
      <c r="W167" s="71" t="n"/>
      <c r="X167" s="71" t="n"/>
      <c r="Y167" s="71" t="n"/>
      <c r="Z167" s="71" t="n"/>
    </row>
    <row r="168" ht="15.75" customHeight="1">
      <c r="A168" s="71" t="n"/>
      <c r="B168" s="71" t="n"/>
      <c r="C168" s="71" t="n"/>
      <c r="D168" s="71" t="n"/>
      <c r="E168" s="71" t="n"/>
      <c r="F168" s="71" t="n"/>
      <c r="G168" s="71" t="n"/>
      <c r="H168" s="71" t="n"/>
      <c r="I168" s="71" t="n"/>
      <c r="J168" s="71" t="n"/>
      <c r="K168" s="71" t="n"/>
      <c r="L168" s="71" t="n"/>
      <c r="M168" s="71" t="n"/>
      <c r="N168" s="71" t="n"/>
      <c r="O168" s="71" t="n"/>
      <c r="P168" s="71" t="n"/>
      <c r="Q168" s="71" t="n"/>
      <c r="R168" s="71" t="n"/>
      <c r="S168" s="71" t="n"/>
      <c r="T168" s="71" t="n"/>
      <c r="U168" s="71" t="n"/>
      <c r="V168" s="71" t="n"/>
      <c r="W168" s="71" t="n"/>
      <c r="X168" s="71" t="n"/>
      <c r="Y168" s="71" t="n"/>
      <c r="Z168" s="71" t="n"/>
    </row>
    <row r="169" ht="15.75" customHeight="1">
      <c r="A169" s="71" t="n"/>
      <c r="B169" s="71" t="n"/>
      <c r="C169" s="71" t="n"/>
      <c r="D169" s="71" t="n"/>
      <c r="E169" s="71" t="n"/>
      <c r="F169" s="71" t="n"/>
      <c r="G169" s="71" t="n"/>
      <c r="H169" s="71" t="n"/>
      <c r="I169" s="71" t="n"/>
      <c r="J169" s="71" t="n"/>
      <c r="K169" s="71" t="n"/>
      <c r="L169" s="71" t="n"/>
      <c r="M169" s="71" t="n"/>
      <c r="N169" s="71" t="n"/>
      <c r="O169" s="71" t="n"/>
      <c r="P169" s="71" t="n"/>
      <c r="Q169" s="71" t="n"/>
      <c r="R169" s="71" t="n"/>
      <c r="S169" s="71" t="n"/>
      <c r="T169" s="71" t="n"/>
      <c r="U169" s="71" t="n"/>
      <c r="V169" s="71" t="n"/>
      <c r="W169" s="71" t="n"/>
      <c r="X169" s="71" t="n"/>
      <c r="Y169" s="71" t="n"/>
      <c r="Z169" s="71" t="n"/>
    </row>
    <row r="170" ht="15.75" customHeight="1">
      <c r="A170" s="71" t="n"/>
      <c r="B170" s="71" t="n"/>
      <c r="C170" s="71" t="n"/>
      <c r="D170" s="71" t="n"/>
      <c r="E170" s="71" t="n"/>
      <c r="F170" s="71" t="n"/>
      <c r="G170" s="71" t="n"/>
      <c r="H170" s="71" t="n"/>
      <c r="I170" s="71" t="n"/>
      <c r="J170" s="71" t="n"/>
      <c r="K170" s="71" t="n"/>
      <c r="L170" s="71" t="n"/>
      <c r="M170" s="71" t="n"/>
      <c r="N170" s="71" t="n"/>
      <c r="O170" s="71" t="n"/>
      <c r="P170" s="71" t="n"/>
      <c r="Q170" s="71" t="n"/>
      <c r="R170" s="71" t="n"/>
      <c r="S170" s="71" t="n"/>
      <c r="T170" s="71" t="n"/>
      <c r="U170" s="71" t="n"/>
      <c r="V170" s="71" t="n"/>
      <c r="W170" s="71" t="n"/>
      <c r="X170" s="71" t="n"/>
      <c r="Y170" s="71" t="n"/>
      <c r="Z170" s="71" t="n"/>
    </row>
    <row r="171" ht="15.75" customHeight="1">
      <c r="A171" s="71" t="n"/>
      <c r="B171" s="71" t="n"/>
      <c r="C171" s="71" t="n"/>
      <c r="D171" s="71" t="n"/>
      <c r="E171" s="71" t="n"/>
      <c r="F171" s="71" t="n"/>
      <c r="G171" s="71" t="n"/>
      <c r="H171" s="71" t="n"/>
      <c r="I171" s="71" t="n"/>
      <c r="J171" s="71" t="n"/>
      <c r="K171" s="71" t="n"/>
      <c r="L171" s="71" t="n"/>
      <c r="M171" s="71" t="n"/>
      <c r="N171" s="71" t="n"/>
      <c r="O171" s="71" t="n"/>
      <c r="P171" s="71" t="n"/>
      <c r="Q171" s="71" t="n"/>
      <c r="R171" s="71" t="n"/>
      <c r="S171" s="71" t="n"/>
      <c r="T171" s="71" t="n"/>
      <c r="U171" s="71" t="n"/>
      <c r="V171" s="71" t="n"/>
      <c r="W171" s="71" t="n"/>
      <c r="X171" s="71" t="n"/>
      <c r="Y171" s="71" t="n"/>
      <c r="Z171" s="71" t="n"/>
    </row>
    <row r="172" ht="15.75" customHeight="1">
      <c r="A172" s="71" t="n"/>
      <c r="B172" s="71" t="n"/>
      <c r="C172" s="71" t="n"/>
      <c r="D172" s="71" t="n"/>
      <c r="E172" s="71" t="n"/>
      <c r="F172" s="71" t="n"/>
      <c r="G172" s="71" t="n"/>
      <c r="H172" s="71" t="n"/>
      <c r="I172" s="71" t="n"/>
      <c r="J172" s="71" t="n"/>
      <c r="K172" s="71" t="n"/>
      <c r="L172" s="71" t="n"/>
      <c r="M172" s="71" t="n"/>
      <c r="N172" s="71" t="n"/>
      <c r="O172" s="71" t="n"/>
      <c r="P172" s="71" t="n"/>
      <c r="Q172" s="71" t="n"/>
      <c r="R172" s="71" t="n"/>
      <c r="S172" s="71" t="n"/>
      <c r="T172" s="71" t="n"/>
      <c r="U172" s="71" t="n"/>
      <c r="V172" s="71" t="n"/>
      <c r="W172" s="71" t="n"/>
      <c r="X172" s="71" t="n"/>
      <c r="Y172" s="71" t="n"/>
      <c r="Z172" s="71" t="n"/>
    </row>
    <row r="173" ht="15.75" customHeight="1">
      <c r="A173" s="71" t="n"/>
      <c r="B173" s="71" t="n"/>
      <c r="C173" s="71" t="n"/>
      <c r="D173" s="71" t="n"/>
      <c r="E173" s="71" t="n"/>
      <c r="F173" s="71" t="n"/>
      <c r="G173" s="71" t="n"/>
      <c r="H173" s="71" t="n"/>
      <c r="I173" s="71" t="n"/>
      <c r="J173" s="71" t="n"/>
      <c r="K173" s="71" t="n"/>
      <c r="L173" s="71" t="n"/>
      <c r="M173" s="71" t="n"/>
      <c r="N173" s="71" t="n"/>
      <c r="O173" s="71" t="n"/>
      <c r="P173" s="71" t="n"/>
      <c r="Q173" s="71" t="n"/>
      <c r="R173" s="71" t="n"/>
      <c r="S173" s="71" t="n"/>
      <c r="T173" s="71" t="n"/>
      <c r="U173" s="71" t="n"/>
      <c r="V173" s="71" t="n"/>
      <c r="W173" s="71" t="n"/>
      <c r="X173" s="71" t="n"/>
      <c r="Y173" s="71" t="n"/>
      <c r="Z173" s="71" t="n"/>
    </row>
    <row r="174" ht="15.75" customHeight="1">
      <c r="A174" s="71" t="n"/>
      <c r="B174" s="71" t="n"/>
      <c r="C174" s="71" t="n"/>
      <c r="D174" s="71" t="n"/>
      <c r="E174" s="71" t="n"/>
      <c r="F174" s="71" t="n"/>
      <c r="G174" s="71" t="n"/>
      <c r="H174" s="71" t="n"/>
      <c r="I174" s="71" t="n"/>
      <c r="J174" s="71" t="n"/>
      <c r="K174" s="71" t="n"/>
      <c r="L174" s="71" t="n"/>
      <c r="M174" s="71" t="n"/>
      <c r="N174" s="71" t="n"/>
      <c r="O174" s="71" t="n"/>
      <c r="P174" s="71" t="n"/>
      <c r="Q174" s="71" t="n"/>
      <c r="R174" s="71" t="n"/>
      <c r="S174" s="71" t="n"/>
      <c r="T174" s="71" t="n"/>
      <c r="U174" s="71" t="n"/>
      <c r="V174" s="71" t="n"/>
      <c r="W174" s="71" t="n"/>
      <c r="X174" s="71" t="n"/>
      <c r="Y174" s="71" t="n"/>
      <c r="Z174" s="71" t="n"/>
    </row>
    <row r="175" ht="15.75" customHeight="1">
      <c r="A175" s="71" t="n"/>
      <c r="B175" s="71" t="n"/>
      <c r="C175" s="71" t="n"/>
      <c r="D175" s="71" t="n"/>
      <c r="E175" s="71" t="n"/>
      <c r="F175" s="71" t="n"/>
      <c r="G175" s="71" t="n"/>
      <c r="H175" s="71" t="n"/>
      <c r="I175" s="71" t="n"/>
      <c r="J175" s="71" t="n"/>
      <c r="K175" s="71" t="n"/>
      <c r="L175" s="71" t="n"/>
      <c r="M175" s="71" t="n"/>
      <c r="N175" s="71" t="n"/>
      <c r="O175" s="71" t="n"/>
      <c r="P175" s="71" t="n"/>
      <c r="Q175" s="71" t="n"/>
      <c r="R175" s="71" t="n"/>
      <c r="S175" s="71" t="n"/>
      <c r="T175" s="71" t="n"/>
      <c r="U175" s="71" t="n"/>
      <c r="V175" s="71" t="n"/>
      <c r="W175" s="71" t="n"/>
      <c r="X175" s="71" t="n"/>
      <c r="Y175" s="71" t="n"/>
      <c r="Z175" s="71" t="n"/>
    </row>
    <row r="176" ht="15.75" customHeight="1">
      <c r="A176" s="71" t="n"/>
      <c r="B176" s="71" t="n"/>
      <c r="C176" s="71" t="n"/>
      <c r="D176" s="71" t="n"/>
      <c r="E176" s="71" t="n"/>
      <c r="F176" s="71" t="n"/>
      <c r="G176" s="71" t="n"/>
      <c r="H176" s="71" t="n"/>
      <c r="I176" s="71" t="n"/>
      <c r="J176" s="71" t="n"/>
      <c r="K176" s="71" t="n"/>
      <c r="L176" s="71" t="n"/>
      <c r="M176" s="71" t="n"/>
      <c r="N176" s="71" t="n"/>
      <c r="O176" s="71" t="n"/>
      <c r="P176" s="71" t="n"/>
      <c r="Q176" s="71" t="n"/>
      <c r="R176" s="71" t="n"/>
      <c r="S176" s="71" t="n"/>
      <c r="T176" s="71" t="n"/>
      <c r="U176" s="71" t="n"/>
      <c r="V176" s="71" t="n"/>
      <c r="W176" s="71" t="n"/>
      <c r="X176" s="71" t="n"/>
      <c r="Y176" s="71" t="n"/>
      <c r="Z176" s="71" t="n"/>
    </row>
    <row r="177" ht="15.75" customHeight="1">
      <c r="A177" s="71" t="n"/>
      <c r="B177" s="71" t="n"/>
      <c r="C177" s="71" t="n"/>
      <c r="D177" s="71" t="n"/>
      <c r="E177" s="71" t="n"/>
      <c r="F177" s="71" t="n"/>
      <c r="G177" s="71" t="n"/>
      <c r="H177" s="71" t="n"/>
      <c r="I177" s="71" t="n"/>
      <c r="J177" s="71" t="n"/>
      <c r="K177" s="71" t="n"/>
      <c r="L177" s="71" t="n"/>
      <c r="M177" s="71" t="n"/>
      <c r="N177" s="71" t="n"/>
      <c r="O177" s="71" t="n"/>
      <c r="P177" s="71" t="n"/>
      <c r="Q177" s="71" t="n"/>
      <c r="R177" s="71" t="n"/>
      <c r="S177" s="71" t="n"/>
      <c r="T177" s="71" t="n"/>
      <c r="U177" s="71" t="n"/>
      <c r="V177" s="71" t="n"/>
      <c r="W177" s="71" t="n"/>
      <c r="X177" s="71" t="n"/>
      <c r="Y177" s="71" t="n"/>
      <c r="Z177" s="71" t="n"/>
    </row>
    <row r="178" ht="15.75" customHeight="1">
      <c r="A178" s="71" t="n"/>
      <c r="B178" s="71" t="n"/>
      <c r="C178" s="71" t="n"/>
      <c r="D178" s="71" t="n"/>
      <c r="E178" s="71" t="n"/>
      <c r="F178" s="71" t="n"/>
      <c r="G178" s="71" t="n"/>
      <c r="H178" s="71" t="n"/>
      <c r="I178" s="71" t="n"/>
      <c r="J178" s="71" t="n"/>
      <c r="K178" s="71" t="n"/>
      <c r="L178" s="71" t="n"/>
      <c r="M178" s="71" t="n"/>
      <c r="N178" s="71" t="n"/>
      <c r="O178" s="71" t="n"/>
      <c r="P178" s="71" t="n"/>
      <c r="Q178" s="71" t="n"/>
      <c r="R178" s="71" t="n"/>
      <c r="S178" s="71" t="n"/>
      <c r="T178" s="71" t="n"/>
      <c r="U178" s="71" t="n"/>
      <c r="V178" s="71" t="n"/>
      <c r="W178" s="71" t="n"/>
      <c r="X178" s="71" t="n"/>
      <c r="Y178" s="71" t="n"/>
      <c r="Z178" s="71" t="n"/>
    </row>
    <row r="179" ht="15.75" customHeight="1">
      <c r="A179" s="71" t="n"/>
      <c r="B179" s="71" t="n"/>
      <c r="C179" s="71" t="n"/>
      <c r="D179" s="71" t="n"/>
      <c r="E179" s="71" t="n"/>
      <c r="F179" s="71" t="n"/>
      <c r="G179" s="71" t="n"/>
      <c r="H179" s="71" t="n"/>
      <c r="I179" s="71" t="n"/>
      <c r="J179" s="71" t="n"/>
      <c r="K179" s="71" t="n"/>
      <c r="L179" s="71" t="n"/>
      <c r="M179" s="71" t="n"/>
      <c r="N179" s="71" t="n"/>
      <c r="O179" s="71" t="n"/>
      <c r="P179" s="71" t="n"/>
      <c r="Q179" s="71" t="n"/>
      <c r="R179" s="71" t="n"/>
      <c r="S179" s="71" t="n"/>
      <c r="T179" s="71" t="n"/>
      <c r="U179" s="71" t="n"/>
      <c r="V179" s="71" t="n"/>
      <c r="W179" s="71" t="n"/>
      <c r="X179" s="71" t="n"/>
      <c r="Y179" s="71" t="n"/>
      <c r="Z179" s="71" t="n"/>
    </row>
    <row r="180" ht="15.75" customHeight="1">
      <c r="A180" s="71" t="n"/>
      <c r="B180" s="71" t="n"/>
      <c r="C180" s="71" t="n"/>
      <c r="D180" s="71" t="n"/>
      <c r="E180" s="71" t="n"/>
      <c r="F180" s="71" t="n"/>
      <c r="G180" s="71" t="n"/>
      <c r="H180" s="71" t="n"/>
      <c r="I180" s="71" t="n"/>
      <c r="J180" s="71" t="n"/>
      <c r="K180" s="71" t="n"/>
      <c r="L180" s="71" t="n"/>
      <c r="M180" s="71" t="n"/>
      <c r="N180" s="71" t="n"/>
      <c r="O180" s="71" t="n"/>
      <c r="P180" s="71" t="n"/>
      <c r="Q180" s="71" t="n"/>
      <c r="R180" s="71" t="n"/>
      <c r="S180" s="71" t="n"/>
      <c r="T180" s="71" t="n"/>
      <c r="U180" s="71" t="n"/>
      <c r="V180" s="71" t="n"/>
      <c r="W180" s="71" t="n"/>
      <c r="X180" s="71" t="n"/>
      <c r="Y180" s="71" t="n"/>
      <c r="Z180" s="71" t="n"/>
    </row>
    <row r="181" ht="15.75" customHeight="1">
      <c r="A181" s="71" t="n"/>
      <c r="B181" s="71" t="n"/>
      <c r="C181" s="71" t="n"/>
      <c r="D181" s="71" t="n"/>
      <c r="E181" s="71" t="n"/>
      <c r="F181" s="71" t="n"/>
      <c r="G181" s="71" t="n"/>
      <c r="H181" s="71" t="n"/>
      <c r="I181" s="71" t="n"/>
      <c r="J181" s="71" t="n"/>
      <c r="K181" s="71" t="n"/>
      <c r="L181" s="71" t="n"/>
      <c r="M181" s="71" t="n"/>
      <c r="N181" s="71" t="n"/>
      <c r="O181" s="71" t="n"/>
      <c r="P181" s="71" t="n"/>
      <c r="Q181" s="71" t="n"/>
      <c r="R181" s="71" t="n"/>
      <c r="S181" s="71" t="n"/>
      <c r="T181" s="71" t="n"/>
      <c r="U181" s="71" t="n"/>
      <c r="V181" s="71" t="n"/>
      <c r="W181" s="71" t="n"/>
      <c r="X181" s="71" t="n"/>
      <c r="Y181" s="71" t="n"/>
      <c r="Z181" s="71" t="n"/>
    </row>
    <row r="182" ht="15.75" customHeight="1">
      <c r="A182" s="71" t="n"/>
      <c r="B182" s="71" t="n"/>
      <c r="C182" s="71" t="n"/>
      <c r="D182" s="71" t="n"/>
      <c r="E182" s="71" t="n"/>
      <c r="F182" s="71" t="n"/>
      <c r="G182" s="71" t="n"/>
      <c r="H182" s="71" t="n"/>
      <c r="I182" s="71" t="n"/>
      <c r="J182" s="71" t="n"/>
      <c r="K182" s="71" t="n"/>
      <c r="L182" s="71" t="n"/>
      <c r="M182" s="71" t="n"/>
      <c r="N182" s="71" t="n"/>
      <c r="O182" s="71" t="n"/>
      <c r="P182" s="71" t="n"/>
      <c r="Q182" s="71" t="n"/>
      <c r="R182" s="71" t="n"/>
      <c r="S182" s="71" t="n"/>
      <c r="T182" s="71" t="n"/>
      <c r="U182" s="71" t="n"/>
      <c r="V182" s="71" t="n"/>
      <c r="W182" s="71" t="n"/>
      <c r="X182" s="71" t="n"/>
      <c r="Y182" s="71" t="n"/>
      <c r="Z182" s="71" t="n"/>
    </row>
    <row r="183" ht="15.75" customHeight="1">
      <c r="A183" s="71" t="n"/>
      <c r="B183" s="71" t="n"/>
      <c r="C183" s="71" t="n"/>
      <c r="D183" s="71" t="n"/>
      <c r="E183" s="71" t="n"/>
      <c r="F183" s="71" t="n"/>
      <c r="G183" s="71" t="n"/>
      <c r="H183" s="71" t="n"/>
      <c r="I183" s="71" t="n"/>
      <c r="J183" s="71" t="n"/>
      <c r="K183" s="71" t="n"/>
      <c r="L183" s="71" t="n"/>
      <c r="M183" s="71" t="n"/>
      <c r="N183" s="71" t="n"/>
      <c r="O183" s="71" t="n"/>
      <c r="P183" s="71" t="n"/>
      <c r="Q183" s="71" t="n"/>
      <c r="R183" s="71" t="n"/>
      <c r="S183" s="71" t="n"/>
      <c r="T183" s="71" t="n"/>
      <c r="U183" s="71" t="n"/>
      <c r="V183" s="71" t="n"/>
      <c r="W183" s="71" t="n"/>
      <c r="X183" s="71" t="n"/>
      <c r="Y183" s="71" t="n"/>
      <c r="Z183" s="71" t="n"/>
    </row>
    <row r="184" ht="15.75" customHeight="1">
      <c r="A184" s="71" t="n"/>
      <c r="B184" s="71" t="n"/>
      <c r="C184" s="71" t="n"/>
      <c r="D184" s="71" t="n"/>
      <c r="E184" s="71" t="n"/>
      <c r="F184" s="71" t="n"/>
      <c r="G184" s="71" t="n"/>
      <c r="H184" s="71" t="n"/>
      <c r="I184" s="71" t="n"/>
      <c r="J184" s="71" t="n"/>
      <c r="K184" s="71" t="n"/>
      <c r="L184" s="71" t="n"/>
      <c r="M184" s="71" t="n"/>
      <c r="N184" s="71" t="n"/>
      <c r="O184" s="71" t="n"/>
      <c r="P184" s="71" t="n"/>
      <c r="Q184" s="71" t="n"/>
      <c r="R184" s="71" t="n"/>
      <c r="S184" s="71" t="n"/>
      <c r="T184" s="71" t="n"/>
      <c r="U184" s="71" t="n"/>
      <c r="V184" s="71" t="n"/>
      <c r="W184" s="71" t="n"/>
      <c r="X184" s="71" t="n"/>
      <c r="Y184" s="71" t="n"/>
      <c r="Z184" s="71" t="n"/>
    </row>
    <row r="185" ht="15.75" customHeight="1">
      <c r="A185" s="71" t="n"/>
      <c r="B185" s="71" t="n"/>
      <c r="C185" s="71" t="n"/>
      <c r="D185" s="71" t="n"/>
      <c r="E185" s="71" t="n"/>
      <c r="F185" s="71" t="n"/>
      <c r="G185" s="71" t="n"/>
      <c r="H185" s="71" t="n"/>
      <c r="I185" s="71" t="n"/>
      <c r="J185" s="71" t="n"/>
      <c r="K185" s="71" t="n"/>
      <c r="L185" s="71" t="n"/>
      <c r="M185" s="71" t="n"/>
      <c r="N185" s="71" t="n"/>
      <c r="O185" s="71" t="n"/>
      <c r="P185" s="71" t="n"/>
      <c r="Q185" s="71" t="n"/>
      <c r="R185" s="71" t="n"/>
      <c r="S185" s="71" t="n"/>
      <c r="T185" s="71" t="n"/>
      <c r="U185" s="71" t="n"/>
      <c r="V185" s="71" t="n"/>
      <c r="W185" s="71" t="n"/>
      <c r="X185" s="71" t="n"/>
      <c r="Y185" s="71" t="n"/>
      <c r="Z185" s="71" t="n"/>
    </row>
    <row r="186" ht="15.75" customHeight="1">
      <c r="A186" s="71" t="n"/>
      <c r="B186" s="71" t="n"/>
      <c r="C186" s="71" t="n"/>
      <c r="D186" s="71" t="n"/>
      <c r="E186" s="71" t="n"/>
      <c r="F186" s="71" t="n"/>
      <c r="G186" s="71" t="n"/>
      <c r="H186" s="71" t="n"/>
      <c r="I186" s="71" t="n"/>
      <c r="J186" s="71" t="n"/>
      <c r="K186" s="71" t="n"/>
      <c r="L186" s="71" t="n"/>
      <c r="M186" s="71" t="n"/>
      <c r="N186" s="71" t="n"/>
      <c r="O186" s="71" t="n"/>
      <c r="P186" s="71" t="n"/>
      <c r="Q186" s="71" t="n"/>
      <c r="R186" s="71" t="n"/>
      <c r="S186" s="71" t="n"/>
      <c r="T186" s="71" t="n"/>
      <c r="U186" s="71" t="n"/>
      <c r="V186" s="71" t="n"/>
      <c r="W186" s="71" t="n"/>
      <c r="X186" s="71" t="n"/>
      <c r="Y186" s="71" t="n"/>
      <c r="Z186" s="71" t="n"/>
    </row>
    <row r="187" ht="15.75" customHeight="1">
      <c r="A187" s="71" t="n"/>
      <c r="B187" s="71" t="n"/>
      <c r="C187" s="71" t="n"/>
      <c r="D187" s="71" t="n"/>
      <c r="E187" s="71" t="n"/>
      <c r="F187" s="71" t="n"/>
      <c r="G187" s="71" t="n"/>
      <c r="H187" s="71" t="n"/>
      <c r="I187" s="71" t="n"/>
      <c r="J187" s="71" t="n"/>
      <c r="K187" s="71" t="n"/>
      <c r="L187" s="71" t="n"/>
      <c r="M187" s="71" t="n"/>
      <c r="N187" s="71" t="n"/>
      <c r="O187" s="71" t="n"/>
      <c r="P187" s="71" t="n"/>
      <c r="Q187" s="71" t="n"/>
      <c r="R187" s="71" t="n"/>
      <c r="S187" s="71" t="n"/>
      <c r="T187" s="71" t="n"/>
      <c r="U187" s="71" t="n"/>
      <c r="V187" s="71" t="n"/>
      <c r="W187" s="71" t="n"/>
      <c r="X187" s="71" t="n"/>
      <c r="Y187" s="71" t="n"/>
      <c r="Z187" s="71" t="n"/>
    </row>
    <row r="188" ht="15.75" customHeight="1">
      <c r="A188" s="71" t="n"/>
      <c r="B188" s="71" t="n"/>
      <c r="C188" s="71" t="n"/>
      <c r="D188" s="71" t="n"/>
      <c r="E188" s="71" t="n"/>
      <c r="F188" s="71" t="n"/>
      <c r="G188" s="71" t="n"/>
      <c r="H188" s="71" t="n"/>
      <c r="I188" s="71" t="n"/>
      <c r="J188" s="71" t="n"/>
      <c r="K188" s="71" t="n"/>
      <c r="L188" s="71" t="n"/>
      <c r="M188" s="71" t="n"/>
      <c r="N188" s="71" t="n"/>
      <c r="O188" s="71" t="n"/>
      <c r="P188" s="71" t="n"/>
      <c r="Q188" s="71" t="n"/>
      <c r="R188" s="71" t="n"/>
      <c r="S188" s="71" t="n"/>
      <c r="T188" s="71" t="n"/>
      <c r="U188" s="71" t="n"/>
      <c r="V188" s="71" t="n"/>
      <c r="W188" s="71" t="n"/>
      <c r="X188" s="71" t="n"/>
      <c r="Y188" s="71" t="n"/>
      <c r="Z188" s="71" t="n"/>
    </row>
    <row r="189" ht="15.75" customHeight="1">
      <c r="A189" s="71" t="n"/>
      <c r="B189" s="71" t="n"/>
      <c r="C189" s="71" t="n"/>
      <c r="D189" s="71" t="n"/>
      <c r="E189" s="71" t="n"/>
      <c r="F189" s="71" t="n"/>
      <c r="G189" s="71" t="n"/>
      <c r="H189" s="71" t="n"/>
      <c r="I189" s="71" t="n"/>
      <c r="J189" s="71" t="n"/>
      <c r="K189" s="71" t="n"/>
      <c r="L189" s="71" t="n"/>
      <c r="M189" s="71" t="n"/>
      <c r="N189" s="71" t="n"/>
      <c r="O189" s="71" t="n"/>
      <c r="P189" s="71" t="n"/>
      <c r="Q189" s="71" t="n"/>
      <c r="R189" s="71" t="n"/>
      <c r="S189" s="71" t="n"/>
      <c r="T189" s="71" t="n"/>
      <c r="U189" s="71" t="n"/>
      <c r="V189" s="71" t="n"/>
      <c r="W189" s="71" t="n"/>
      <c r="X189" s="71" t="n"/>
      <c r="Y189" s="71" t="n"/>
      <c r="Z189" s="71" t="n"/>
    </row>
    <row r="190" ht="15.75" customHeight="1">
      <c r="A190" s="71" t="n"/>
      <c r="B190" s="71" t="n"/>
      <c r="C190" s="71" t="n"/>
      <c r="D190" s="71" t="n"/>
      <c r="E190" s="71" t="n"/>
      <c r="F190" s="71" t="n"/>
      <c r="G190" s="71" t="n"/>
      <c r="H190" s="71" t="n"/>
      <c r="I190" s="71" t="n"/>
      <c r="J190" s="71" t="n"/>
      <c r="K190" s="71" t="n"/>
      <c r="L190" s="71" t="n"/>
      <c r="M190" s="71" t="n"/>
      <c r="N190" s="71" t="n"/>
      <c r="O190" s="71" t="n"/>
      <c r="P190" s="71" t="n"/>
      <c r="Q190" s="71" t="n"/>
      <c r="R190" s="71" t="n"/>
      <c r="S190" s="71" t="n"/>
      <c r="T190" s="71" t="n"/>
      <c r="U190" s="71" t="n"/>
      <c r="V190" s="71" t="n"/>
      <c r="W190" s="71" t="n"/>
      <c r="X190" s="71" t="n"/>
      <c r="Y190" s="71" t="n"/>
      <c r="Z190" s="71" t="n"/>
    </row>
    <row r="191" ht="15.75" customHeight="1">
      <c r="A191" s="71" t="n"/>
      <c r="B191" s="71" t="n"/>
      <c r="C191" s="71" t="n"/>
      <c r="D191" s="71" t="n"/>
      <c r="E191" s="71" t="n"/>
      <c r="F191" s="71" t="n"/>
      <c r="G191" s="71" t="n"/>
      <c r="H191" s="71" t="n"/>
      <c r="I191" s="71" t="n"/>
      <c r="J191" s="71" t="n"/>
      <c r="K191" s="71" t="n"/>
      <c r="L191" s="71" t="n"/>
      <c r="M191" s="71" t="n"/>
      <c r="N191" s="71" t="n"/>
      <c r="O191" s="71" t="n"/>
      <c r="P191" s="71" t="n"/>
      <c r="Q191" s="71" t="n"/>
      <c r="R191" s="71" t="n"/>
      <c r="S191" s="71" t="n"/>
      <c r="T191" s="71" t="n"/>
      <c r="U191" s="71" t="n"/>
      <c r="V191" s="71" t="n"/>
      <c r="W191" s="71" t="n"/>
      <c r="X191" s="71" t="n"/>
      <c r="Y191" s="71" t="n"/>
      <c r="Z191" s="71" t="n"/>
    </row>
    <row r="192" ht="15.75" customHeight="1">
      <c r="A192" s="71" t="n"/>
      <c r="B192" s="71" t="n"/>
      <c r="C192" s="71" t="n"/>
      <c r="D192" s="71" t="n"/>
      <c r="E192" s="71" t="n"/>
      <c r="F192" s="71" t="n"/>
      <c r="G192" s="71" t="n"/>
      <c r="H192" s="71" t="n"/>
      <c r="I192" s="71" t="n"/>
      <c r="J192" s="71" t="n"/>
      <c r="K192" s="71" t="n"/>
      <c r="L192" s="71" t="n"/>
      <c r="M192" s="71" t="n"/>
      <c r="N192" s="71" t="n"/>
      <c r="O192" s="71" t="n"/>
      <c r="P192" s="71" t="n"/>
      <c r="Q192" s="71" t="n"/>
      <c r="R192" s="71" t="n"/>
      <c r="S192" s="71" t="n"/>
      <c r="T192" s="71" t="n"/>
      <c r="U192" s="71" t="n"/>
      <c r="V192" s="71" t="n"/>
      <c r="W192" s="71" t="n"/>
      <c r="X192" s="71" t="n"/>
      <c r="Y192" s="71" t="n"/>
      <c r="Z192" s="71" t="n"/>
    </row>
    <row r="193" ht="15.75" customHeight="1">
      <c r="A193" s="71" t="n"/>
      <c r="B193" s="71" t="n"/>
      <c r="C193" s="71" t="n"/>
      <c r="D193" s="71" t="n"/>
      <c r="E193" s="71" t="n"/>
      <c r="F193" s="71" t="n"/>
      <c r="G193" s="71" t="n"/>
      <c r="H193" s="71" t="n"/>
      <c r="I193" s="71" t="n"/>
      <c r="J193" s="71" t="n"/>
      <c r="K193" s="71" t="n"/>
      <c r="L193" s="71" t="n"/>
      <c r="M193" s="71" t="n"/>
      <c r="N193" s="71" t="n"/>
      <c r="O193" s="71" t="n"/>
      <c r="P193" s="71" t="n"/>
      <c r="Q193" s="71" t="n"/>
      <c r="R193" s="71" t="n"/>
      <c r="S193" s="71" t="n"/>
      <c r="T193" s="71" t="n"/>
      <c r="U193" s="71" t="n"/>
      <c r="V193" s="71" t="n"/>
      <c r="W193" s="71" t="n"/>
      <c r="X193" s="71" t="n"/>
      <c r="Y193" s="71" t="n"/>
      <c r="Z193" s="71" t="n"/>
    </row>
    <row r="194" ht="15.75" customHeight="1">
      <c r="A194" s="71" t="n"/>
      <c r="B194" s="71" t="n"/>
      <c r="C194" s="71" t="n"/>
      <c r="D194" s="71" t="n"/>
      <c r="E194" s="71" t="n"/>
      <c r="F194" s="71" t="n"/>
      <c r="G194" s="71" t="n"/>
      <c r="H194" s="71" t="n"/>
      <c r="I194" s="71" t="n"/>
      <c r="J194" s="71" t="n"/>
      <c r="K194" s="71" t="n"/>
      <c r="L194" s="71" t="n"/>
      <c r="M194" s="71" t="n"/>
      <c r="N194" s="71" t="n"/>
      <c r="O194" s="71" t="n"/>
      <c r="P194" s="71" t="n"/>
      <c r="Q194" s="71" t="n"/>
      <c r="R194" s="71" t="n"/>
      <c r="S194" s="71" t="n"/>
      <c r="T194" s="71" t="n"/>
      <c r="U194" s="71" t="n"/>
      <c r="V194" s="71" t="n"/>
      <c r="W194" s="71" t="n"/>
      <c r="X194" s="71" t="n"/>
      <c r="Y194" s="71" t="n"/>
      <c r="Z194" s="71" t="n"/>
    </row>
    <row r="195" ht="15.75" customHeight="1">
      <c r="A195" s="71" t="n"/>
      <c r="B195" s="71" t="n"/>
      <c r="C195" s="71" t="n"/>
      <c r="D195" s="71" t="n"/>
      <c r="E195" s="71" t="n"/>
      <c r="F195" s="71" t="n"/>
      <c r="G195" s="71" t="n"/>
      <c r="H195" s="71" t="n"/>
      <c r="I195" s="71" t="n"/>
      <c r="J195" s="71" t="n"/>
      <c r="K195" s="71" t="n"/>
      <c r="L195" s="71" t="n"/>
      <c r="M195" s="71" t="n"/>
      <c r="N195" s="71" t="n"/>
      <c r="O195" s="71" t="n"/>
      <c r="P195" s="71" t="n"/>
      <c r="Q195" s="71" t="n"/>
      <c r="R195" s="71" t="n"/>
      <c r="S195" s="71" t="n"/>
      <c r="T195" s="71" t="n"/>
      <c r="U195" s="71" t="n"/>
      <c r="V195" s="71" t="n"/>
      <c r="W195" s="71" t="n"/>
      <c r="X195" s="71" t="n"/>
      <c r="Y195" s="71" t="n"/>
      <c r="Z195" s="71" t="n"/>
    </row>
    <row r="196" ht="15.75" customHeight="1">
      <c r="A196" s="71" t="n"/>
      <c r="B196" s="71" t="n"/>
      <c r="C196" s="71" t="n"/>
      <c r="D196" s="71" t="n"/>
      <c r="E196" s="71" t="n"/>
      <c r="F196" s="71" t="n"/>
      <c r="G196" s="71" t="n"/>
      <c r="H196" s="71" t="n"/>
      <c r="I196" s="71" t="n"/>
      <c r="J196" s="71" t="n"/>
      <c r="K196" s="71" t="n"/>
      <c r="L196" s="71" t="n"/>
      <c r="M196" s="71" t="n"/>
      <c r="N196" s="71" t="n"/>
      <c r="O196" s="71" t="n"/>
      <c r="P196" s="71" t="n"/>
      <c r="Q196" s="71" t="n"/>
      <c r="R196" s="71" t="n"/>
      <c r="S196" s="71" t="n"/>
      <c r="T196" s="71" t="n"/>
      <c r="U196" s="71" t="n"/>
      <c r="V196" s="71" t="n"/>
      <c r="W196" s="71" t="n"/>
      <c r="X196" s="71" t="n"/>
      <c r="Y196" s="71" t="n"/>
      <c r="Z196" s="71" t="n"/>
    </row>
    <row r="197" ht="15.75" customHeight="1">
      <c r="A197" s="71" t="n"/>
      <c r="B197" s="71" t="n"/>
      <c r="C197" s="71" t="n"/>
      <c r="D197" s="71" t="n"/>
      <c r="E197" s="71" t="n"/>
      <c r="F197" s="71" t="n"/>
      <c r="G197" s="71" t="n"/>
      <c r="H197" s="71" t="n"/>
      <c r="I197" s="71" t="n"/>
      <c r="J197" s="71" t="n"/>
      <c r="K197" s="71" t="n"/>
      <c r="L197" s="71" t="n"/>
      <c r="M197" s="71" t="n"/>
      <c r="N197" s="71" t="n"/>
      <c r="O197" s="71" t="n"/>
      <c r="P197" s="71" t="n"/>
      <c r="Q197" s="71" t="n"/>
      <c r="R197" s="71" t="n"/>
      <c r="S197" s="71" t="n"/>
      <c r="T197" s="71" t="n"/>
      <c r="U197" s="71" t="n"/>
      <c r="V197" s="71" t="n"/>
      <c r="W197" s="71" t="n"/>
      <c r="X197" s="71" t="n"/>
      <c r="Y197" s="71" t="n"/>
      <c r="Z197" s="71" t="n"/>
    </row>
    <row r="198" ht="15.75" customHeight="1">
      <c r="A198" s="71" t="n"/>
      <c r="B198" s="71" t="n"/>
      <c r="C198" s="71" t="n"/>
      <c r="D198" s="71" t="n"/>
      <c r="E198" s="71" t="n"/>
      <c r="F198" s="71" t="n"/>
      <c r="G198" s="71" t="n"/>
      <c r="H198" s="71" t="n"/>
      <c r="I198" s="71" t="n"/>
      <c r="J198" s="71" t="n"/>
      <c r="K198" s="71" t="n"/>
      <c r="L198" s="71" t="n"/>
      <c r="M198" s="71" t="n"/>
      <c r="N198" s="71" t="n"/>
      <c r="O198" s="71" t="n"/>
      <c r="P198" s="71" t="n"/>
      <c r="Q198" s="71" t="n"/>
      <c r="R198" s="71" t="n"/>
      <c r="S198" s="71" t="n"/>
      <c r="T198" s="71" t="n"/>
      <c r="U198" s="71" t="n"/>
      <c r="V198" s="71" t="n"/>
      <c r="W198" s="71" t="n"/>
      <c r="X198" s="71" t="n"/>
      <c r="Y198" s="71" t="n"/>
      <c r="Z198" s="71" t="n"/>
    </row>
    <row r="199" ht="15.75" customHeight="1">
      <c r="A199" s="71" t="n"/>
      <c r="B199" s="71" t="n"/>
      <c r="C199" s="71" t="n"/>
      <c r="D199" s="71" t="n"/>
      <c r="E199" s="71" t="n"/>
      <c r="F199" s="71" t="n"/>
      <c r="G199" s="71" t="n"/>
      <c r="H199" s="71" t="n"/>
      <c r="I199" s="71" t="n"/>
      <c r="J199" s="71" t="n"/>
      <c r="K199" s="71" t="n"/>
      <c r="L199" s="71" t="n"/>
      <c r="M199" s="71" t="n"/>
      <c r="N199" s="71" t="n"/>
      <c r="O199" s="71" t="n"/>
      <c r="P199" s="71" t="n"/>
      <c r="Q199" s="71" t="n"/>
      <c r="R199" s="71" t="n"/>
      <c r="S199" s="71" t="n"/>
      <c r="T199" s="71" t="n"/>
      <c r="U199" s="71" t="n"/>
      <c r="V199" s="71" t="n"/>
      <c r="W199" s="71" t="n"/>
      <c r="X199" s="71" t="n"/>
      <c r="Y199" s="71" t="n"/>
      <c r="Z199" s="71" t="n"/>
    </row>
    <row r="200" ht="15.75" customHeight="1">
      <c r="A200" s="71" t="n"/>
      <c r="B200" s="71" t="n"/>
      <c r="C200" s="71" t="n"/>
      <c r="D200" s="71" t="n"/>
      <c r="E200" s="71" t="n"/>
      <c r="F200" s="71" t="n"/>
      <c r="G200" s="71" t="n"/>
      <c r="H200" s="71" t="n"/>
      <c r="I200" s="71" t="n"/>
      <c r="J200" s="71" t="n"/>
      <c r="K200" s="71" t="n"/>
      <c r="L200" s="71" t="n"/>
      <c r="M200" s="71" t="n"/>
      <c r="N200" s="71" t="n"/>
      <c r="O200" s="71" t="n"/>
      <c r="P200" s="71" t="n"/>
      <c r="Q200" s="71" t="n"/>
      <c r="R200" s="71" t="n"/>
      <c r="S200" s="71" t="n"/>
      <c r="T200" s="71" t="n"/>
      <c r="U200" s="71" t="n"/>
      <c r="V200" s="71" t="n"/>
      <c r="W200" s="71" t="n"/>
      <c r="X200" s="71" t="n"/>
      <c r="Y200" s="71" t="n"/>
      <c r="Z200" s="71" t="n"/>
    </row>
    <row r="201" ht="15.75" customHeight="1">
      <c r="A201" s="71" t="n"/>
      <c r="B201" s="71" t="n"/>
      <c r="C201" s="71" t="n"/>
      <c r="D201" s="71" t="n"/>
      <c r="E201" s="71" t="n"/>
      <c r="F201" s="71" t="n"/>
      <c r="G201" s="71" t="n"/>
      <c r="H201" s="71" t="n"/>
      <c r="I201" s="71" t="n"/>
      <c r="J201" s="71" t="n"/>
      <c r="K201" s="71" t="n"/>
      <c r="L201" s="71" t="n"/>
      <c r="M201" s="71" t="n"/>
      <c r="N201" s="71" t="n"/>
      <c r="O201" s="71" t="n"/>
      <c r="P201" s="71" t="n"/>
      <c r="Q201" s="71" t="n"/>
      <c r="R201" s="71" t="n"/>
      <c r="S201" s="71" t="n"/>
      <c r="T201" s="71" t="n"/>
      <c r="U201" s="71" t="n"/>
      <c r="V201" s="71" t="n"/>
      <c r="W201" s="71" t="n"/>
      <c r="X201" s="71" t="n"/>
      <c r="Y201" s="71" t="n"/>
      <c r="Z201" s="71" t="n"/>
    </row>
    <row r="202" ht="15.75" customHeight="1">
      <c r="A202" s="71" t="n"/>
      <c r="B202" s="71" t="n"/>
      <c r="C202" s="71" t="n"/>
      <c r="D202" s="71" t="n"/>
      <c r="E202" s="71" t="n"/>
      <c r="F202" s="71" t="n"/>
      <c r="G202" s="71" t="n"/>
      <c r="H202" s="71" t="n"/>
      <c r="I202" s="71" t="n"/>
      <c r="J202" s="71" t="n"/>
      <c r="K202" s="71" t="n"/>
      <c r="L202" s="71" t="n"/>
      <c r="M202" s="71" t="n"/>
      <c r="N202" s="71" t="n"/>
      <c r="O202" s="71" t="n"/>
      <c r="P202" s="71" t="n"/>
      <c r="Q202" s="71" t="n"/>
      <c r="R202" s="71" t="n"/>
      <c r="S202" s="71" t="n"/>
      <c r="T202" s="71" t="n"/>
      <c r="U202" s="71" t="n"/>
      <c r="V202" s="71" t="n"/>
      <c r="W202" s="71" t="n"/>
      <c r="X202" s="71" t="n"/>
      <c r="Y202" s="71" t="n"/>
      <c r="Z202" s="71" t="n"/>
    </row>
    <row r="203" ht="15.75" customHeight="1">
      <c r="A203" s="71" t="n"/>
      <c r="B203" s="71" t="n"/>
      <c r="C203" s="71" t="n"/>
      <c r="D203" s="71" t="n"/>
      <c r="E203" s="71" t="n"/>
      <c r="F203" s="71" t="n"/>
      <c r="G203" s="71" t="n"/>
      <c r="H203" s="71" t="n"/>
      <c r="I203" s="71" t="n"/>
      <c r="J203" s="71" t="n"/>
      <c r="K203" s="71" t="n"/>
      <c r="L203" s="71" t="n"/>
      <c r="M203" s="71" t="n"/>
      <c r="N203" s="71" t="n"/>
      <c r="O203" s="71" t="n"/>
      <c r="P203" s="71" t="n"/>
      <c r="Q203" s="71" t="n"/>
      <c r="R203" s="71" t="n"/>
      <c r="S203" s="71" t="n"/>
      <c r="T203" s="71" t="n"/>
      <c r="U203" s="71" t="n"/>
      <c r="V203" s="71" t="n"/>
      <c r="W203" s="71" t="n"/>
      <c r="X203" s="71" t="n"/>
      <c r="Y203" s="71" t="n"/>
      <c r="Z203" s="71" t="n"/>
    </row>
    <row r="204" ht="15.75" customHeight="1">
      <c r="A204" s="71" t="n"/>
      <c r="B204" s="71" t="n"/>
      <c r="C204" s="71" t="n"/>
      <c r="D204" s="71" t="n"/>
      <c r="E204" s="71" t="n"/>
      <c r="F204" s="71" t="n"/>
      <c r="G204" s="71" t="n"/>
      <c r="H204" s="71" t="n"/>
      <c r="I204" s="71" t="n"/>
      <c r="J204" s="71" t="n"/>
      <c r="K204" s="71" t="n"/>
      <c r="L204" s="71" t="n"/>
      <c r="M204" s="71" t="n"/>
      <c r="N204" s="71" t="n"/>
      <c r="O204" s="71" t="n"/>
      <c r="P204" s="71" t="n"/>
      <c r="Q204" s="71" t="n"/>
      <c r="R204" s="71" t="n"/>
      <c r="S204" s="71" t="n"/>
      <c r="T204" s="71" t="n"/>
      <c r="U204" s="71" t="n"/>
      <c r="V204" s="71" t="n"/>
      <c r="W204" s="71" t="n"/>
      <c r="X204" s="71" t="n"/>
      <c r="Y204" s="71" t="n"/>
      <c r="Z204" s="71" t="n"/>
    </row>
    <row r="205" ht="15.75" customHeight="1">
      <c r="A205" s="71" t="n"/>
      <c r="B205" s="71" t="n"/>
      <c r="C205" s="71" t="n"/>
      <c r="D205" s="71" t="n"/>
      <c r="E205" s="71" t="n"/>
      <c r="F205" s="71" t="n"/>
      <c r="G205" s="71" t="n"/>
      <c r="H205" s="71" t="n"/>
      <c r="I205" s="71" t="n"/>
      <c r="J205" s="71" t="n"/>
      <c r="K205" s="71" t="n"/>
      <c r="L205" s="71" t="n"/>
      <c r="M205" s="71" t="n"/>
      <c r="N205" s="71" t="n"/>
      <c r="O205" s="71" t="n"/>
      <c r="P205" s="71" t="n"/>
      <c r="Q205" s="71" t="n"/>
      <c r="R205" s="71" t="n"/>
      <c r="S205" s="71" t="n"/>
      <c r="T205" s="71" t="n"/>
      <c r="U205" s="71" t="n"/>
      <c r="V205" s="71" t="n"/>
      <c r="W205" s="71" t="n"/>
      <c r="X205" s="71" t="n"/>
      <c r="Y205" s="71" t="n"/>
      <c r="Z205" s="71" t="n"/>
    </row>
    <row r="206" ht="15.75" customHeight="1">
      <c r="A206" s="71" t="n"/>
      <c r="B206" s="71" t="n"/>
      <c r="C206" s="71" t="n"/>
      <c r="D206" s="71" t="n"/>
      <c r="E206" s="71" t="n"/>
      <c r="F206" s="71" t="n"/>
      <c r="G206" s="71" t="n"/>
      <c r="H206" s="71" t="n"/>
      <c r="I206" s="71" t="n"/>
      <c r="J206" s="71" t="n"/>
      <c r="K206" s="71" t="n"/>
      <c r="L206" s="71" t="n"/>
      <c r="M206" s="71" t="n"/>
      <c r="N206" s="71" t="n"/>
      <c r="O206" s="71" t="n"/>
      <c r="P206" s="71" t="n"/>
      <c r="Q206" s="71" t="n"/>
      <c r="R206" s="71" t="n"/>
      <c r="S206" s="71" t="n"/>
      <c r="T206" s="71" t="n"/>
      <c r="U206" s="71" t="n"/>
      <c r="V206" s="71" t="n"/>
      <c r="W206" s="71" t="n"/>
      <c r="X206" s="71" t="n"/>
      <c r="Y206" s="71" t="n"/>
      <c r="Z206" s="71" t="n"/>
    </row>
    <row r="207" ht="15.75" customHeight="1">
      <c r="A207" s="71" t="n"/>
      <c r="B207" s="71" t="n"/>
      <c r="C207" s="71" t="n"/>
      <c r="D207" s="71" t="n"/>
      <c r="E207" s="71" t="n"/>
      <c r="F207" s="71" t="n"/>
      <c r="G207" s="71" t="n"/>
      <c r="H207" s="71" t="n"/>
      <c r="I207" s="71" t="n"/>
      <c r="J207" s="71" t="n"/>
      <c r="K207" s="71" t="n"/>
      <c r="L207" s="71" t="n"/>
      <c r="M207" s="71" t="n"/>
      <c r="N207" s="71" t="n"/>
      <c r="O207" s="71" t="n"/>
      <c r="P207" s="71" t="n"/>
      <c r="Q207" s="71" t="n"/>
      <c r="R207" s="71" t="n"/>
      <c r="S207" s="71" t="n"/>
      <c r="T207" s="71" t="n"/>
      <c r="U207" s="71" t="n"/>
      <c r="V207" s="71" t="n"/>
      <c r="W207" s="71" t="n"/>
      <c r="X207" s="71" t="n"/>
      <c r="Y207" s="71" t="n"/>
      <c r="Z207" s="71" t="n"/>
    </row>
    <row r="208" ht="15.75" customHeight="1">
      <c r="A208" s="71" t="n"/>
      <c r="B208" s="71" t="n"/>
      <c r="C208" s="71" t="n"/>
      <c r="D208" s="71" t="n"/>
      <c r="E208" s="71" t="n"/>
      <c r="F208" s="71" t="n"/>
      <c r="G208" s="71" t="n"/>
      <c r="H208" s="71" t="n"/>
      <c r="I208" s="71" t="n"/>
      <c r="J208" s="71" t="n"/>
      <c r="K208" s="71" t="n"/>
      <c r="L208" s="71" t="n"/>
      <c r="M208" s="71" t="n"/>
      <c r="N208" s="71" t="n"/>
      <c r="O208" s="71" t="n"/>
      <c r="P208" s="71" t="n"/>
      <c r="Q208" s="71" t="n"/>
      <c r="R208" s="71" t="n"/>
      <c r="S208" s="71" t="n"/>
      <c r="T208" s="71" t="n"/>
      <c r="U208" s="71" t="n"/>
      <c r="V208" s="71" t="n"/>
      <c r="W208" s="71" t="n"/>
      <c r="X208" s="71" t="n"/>
      <c r="Y208" s="71" t="n"/>
      <c r="Z208" s="71" t="n"/>
    </row>
    <row r="209" ht="15.75" customHeight="1">
      <c r="A209" s="71" t="n"/>
      <c r="B209" s="71" t="n"/>
      <c r="C209" s="71" t="n"/>
      <c r="D209" s="71" t="n"/>
      <c r="E209" s="71" t="n"/>
      <c r="F209" s="71" t="n"/>
      <c r="G209" s="71" t="n"/>
      <c r="H209" s="71" t="n"/>
      <c r="I209" s="71" t="n"/>
      <c r="J209" s="71" t="n"/>
      <c r="K209" s="71" t="n"/>
      <c r="L209" s="71" t="n"/>
      <c r="M209" s="71" t="n"/>
      <c r="N209" s="71" t="n"/>
      <c r="O209" s="71" t="n"/>
      <c r="P209" s="71" t="n"/>
      <c r="Q209" s="71" t="n"/>
      <c r="R209" s="71" t="n"/>
      <c r="S209" s="71" t="n"/>
      <c r="T209" s="71" t="n"/>
      <c r="U209" s="71" t="n"/>
      <c r="V209" s="71" t="n"/>
      <c r="W209" s="71" t="n"/>
      <c r="X209" s="71" t="n"/>
      <c r="Y209" s="71" t="n"/>
      <c r="Z209" s="71" t="n"/>
    </row>
    <row r="210" ht="15.75" customHeight="1">
      <c r="A210" s="71" t="n"/>
      <c r="B210" s="71" t="n"/>
      <c r="C210" s="71" t="n"/>
      <c r="D210" s="71" t="n"/>
      <c r="E210" s="71" t="n"/>
      <c r="F210" s="71" t="n"/>
      <c r="G210" s="71" t="n"/>
      <c r="H210" s="71" t="n"/>
      <c r="I210" s="71" t="n"/>
      <c r="J210" s="71" t="n"/>
      <c r="K210" s="71" t="n"/>
      <c r="L210" s="71" t="n"/>
      <c r="M210" s="71" t="n"/>
      <c r="N210" s="71" t="n"/>
      <c r="O210" s="71" t="n"/>
      <c r="P210" s="71" t="n"/>
      <c r="Q210" s="71" t="n"/>
      <c r="R210" s="71" t="n"/>
      <c r="S210" s="71" t="n"/>
      <c r="T210" s="71" t="n"/>
      <c r="U210" s="71" t="n"/>
      <c r="V210" s="71" t="n"/>
      <c r="W210" s="71" t="n"/>
      <c r="X210" s="71" t="n"/>
      <c r="Y210" s="71" t="n"/>
      <c r="Z210" s="71" t="n"/>
    </row>
    <row r="211" ht="15.75" customHeight="1">
      <c r="A211" s="71" t="n"/>
      <c r="B211" s="71" t="n"/>
      <c r="C211" s="71" t="n"/>
      <c r="D211" s="71" t="n"/>
      <c r="E211" s="71" t="n"/>
      <c r="F211" s="71" t="n"/>
      <c r="G211" s="71" t="n"/>
      <c r="H211" s="71" t="n"/>
      <c r="I211" s="71" t="n"/>
      <c r="J211" s="71" t="n"/>
      <c r="K211" s="71" t="n"/>
      <c r="L211" s="71" t="n"/>
      <c r="M211" s="71" t="n"/>
      <c r="N211" s="71" t="n"/>
      <c r="O211" s="71" t="n"/>
      <c r="P211" s="71" t="n"/>
      <c r="Q211" s="71" t="n"/>
      <c r="R211" s="71" t="n"/>
      <c r="S211" s="71" t="n"/>
      <c r="T211" s="71" t="n"/>
      <c r="U211" s="71" t="n"/>
      <c r="V211" s="71" t="n"/>
      <c r="W211" s="71" t="n"/>
      <c r="X211" s="71" t="n"/>
      <c r="Y211" s="71" t="n"/>
      <c r="Z211" s="71" t="n"/>
    </row>
    <row r="212" ht="15.75" customHeight="1">
      <c r="A212" s="71" t="n"/>
      <c r="B212" s="71" t="n"/>
      <c r="C212" s="71" t="n"/>
      <c r="D212" s="71" t="n"/>
      <c r="E212" s="71" t="n"/>
      <c r="F212" s="71" t="n"/>
      <c r="G212" s="71" t="n"/>
      <c r="H212" s="71" t="n"/>
      <c r="I212" s="71" t="n"/>
      <c r="J212" s="71" t="n"/>
      <c r="K212" s="71" t="n"/>
      <c r="L212" s="71" t="n"/>
      <c r="M212" s="71" t="n"/>
      <c r="N212" s="71" t="n"/>
      <c r="O212" s="71" t="n"/>
      <c r="P212" s="71" t="n"/>
      <c r="Q212" s="71" t="n"/>
      <c r="R212" s="71" t="n"/>
      <c r="S212" s="71" t="n"/>
      <c r="T212" s="71" t="n"/>
      <c r="U212" s="71" t="n"/>
      <c r="V212" s="71" t="n"/>
      <c r="W212" s="71" t="n"/>
      <c r="X212" s="71" t="n"/>
      <c r="Y212" s="71" t="n"/>
      <c r="Z212" s="71" t="n"/>
    </row>
    <row r="213" ht="15.75" customHeight="1">
      <c r="A213" s="71" t="n"/>
      <c r="B213" s="71" t="n"/>
      <c r="C213" s="71" t="n"/>
      <c r="D213" s="71" t="n"/>
      <c r="E213" s="71" t="n"/>
      <c r="F213" s="71" t="n"/>
      <c r="G213" s="71" t="n"/>
      <c r="H213" s="71" t="n"/>
      <c r="I213" s="71" t="n"/>
      <c r="J213" s="71" t="n"/>
      <c r="K213" s="71" t="n"/>
      <c r="L213" s="71" t="n"/>
      <c r="M213" s="71" t="n"/>
      <c r="N213" s="71" t="n"/>
      <c r="O213" s="71" t="n"/>
      <c r="P213" s="71" t="n"/>
      <c r="Q213" s="71" t="n"/>
      <c r="R213" s="71" t="n"/>
      <c r="S213" s="71" t="n"/>
      <c r="T213" s="71" t="n"/>
      <c r="U213" s="71" t="n"/>
      <c r="V213" s="71" t="n"/>
      <c r="W213" s="71" t="n"/>
      <c r="X213" s="71" t="n"/>
      <c r="Y213" s="71" t="n"/>
      <c r="Z213" s="71" t="n"/>
    </row>
    <row r="214" ht="15.75" customHeight="1">
      <c r="A214" s="71" t="n"/>
      <c r="B214" s="71" t="n"/>
      <c r="C214" s="71" t="n"/>
      <c r="D214" s="71" t="n"/>
      <c r="E214" s="71" t="n"/>
      <c r="F214" s="71" t="n"/>
      <c r="G214" s="71" t="n"/>
      <c r="H214" s="71" t="n"/>
      <c r="I214" s="71" t="n"/>
      <c r="J214" s="71" t="n"/>
      <c r="K214" s="71" t="n"/>
      <c r="L214" s="71" t="n"/>
      <c r="M214" s="71" t="n"/>
      <c r="N214" s="71" t="n"/>
      <c r="O214" s="71" t="n"/>
      <c r="P214" s="71" t="n"/>
      <c r="Q214" s="71" t="n"/>
      <c r="R214" s="71" t="n"/>
      <c r="S214" s="71" t="n"/>
      <c r="T214" s="71" t="n"/>
      <c r="U214" s="71" t="n"/>
      <c r="V214" s="71" t="n"/>
      <c r="W214" s="71" t="n"/>
      <c r="X214" s="71" t="n"/>
      <c r="Y214" s="71" t="n"/>
      <c r="Z214" s="71" t="n"/>
    </row>
    <row r="215" ht="15.75" customHeight="1">
      <c r="A215" s="71" t="n"/>
      <c r="B215" s="71" t="n"/>
      <c r="C215" s="71" t="n"/>
      <c r="D215" s="71" t="n"/>
      <c r="E215" s="71" t="n"/>
      <c r="F215" s="71" t="n"/>
      <c r="G215" s="71" t="n"/>
      <c r="H215" s="71" t="n"/>
      <c r="I215" s="71" t="n"/>
      <c r="J215" s="71" t="n"/>
      <c r="K215" s="71" t="n"/>
      <c r="L215" s="71" t="n"/>
      <c r="M215" s="71" t="n"/>
      <c r="N215" s="71" t="n"/>
      <c r="O215" s="71" t="n"/>
      <c r="P215" s="71" t="n"/>
      <c r="Q215" s="71" t="n"/>
      <c r="R215" s="71" t="n"/>
      <c r="S215" s="71" t="n"/>
      <c r="T215" s="71" t="n"/>
      <c r="U215" s="71" t="n"/>
      <c r="V215" s="71" t="n"/>
      <c r="W215" s="71" t="n"/>
      <c r="X215" s="71" t="n"/>
      <c r="Y215" s="71" t="n"/>
      <c r="Z215" s="71" t="n"/>
    </row>
    <row r="216" ht="15.75" customHeight="1">
      <c r="A216" s="71" t="n"/>
      <c r="B216" s="71" t="n"/>
      <c r="C216" s="71" t="n"/>
      <c r="D216" s="71" t="n"/>
      <c r="E216" s="71" t="n"/>
      <c r="F216" s="71" t="n"/>
      <c r="G216" s="71" t="n"/>
      <c r="H216" s="71" t="n"/>
      <c r="I216" s="71" t="n"/>
      <c r="J216" s="71" t="n"/>
      <c r="K216" s="71" t="n"/>
      <c r="L216" s="71" t="n"/>
      <c r="M216" s="71" t="n"/>
      <c r="N216" s="71" t="n"/>
      <c r="O216" s="71" t="n"/>
      <c r="P216" s="71" t="n"/>
      <c r="Q216" s="71" t="n"/>
      <c r="R216" s="71" t="n"/>
      <c r="S216" s="71" t="n"/>
      <c r="T216" s="71" t="n"/>
      <c r="U216" s="71" t="n"/>
      <c r="V216" s="71" t="n"/>
      <c r="W216" s="71" t="n"/>
      <c r="X216" s="71" t="n"/>
      <c r="Y216" s="71" t="n"/>
      <c r="Z216" s="71" t="n"/>
    </row>
    <row r="217" ht="15.75" customHeight="1">
      <c r="A217" s="71" t="n"/>
      <c r="B217" s="71" t="n"/>
      <c r="C217" s="71" t="n"/>
      <c r="D217" s="71" t="n"/>
      <c r="E217" s="71" t="n"/>
      <c r="F217" s="71" t="n"/>
      <c r="G217" s="71" t="n"/>
      <c r="H217" s="71" t="n"/>
      <c r="I217" s="71" t="n"/>
      <c r="J217" s="71" t="n"/>
      <c r="K217" s="71" t="n"/>
      <c r="L217" s="71" t="n"/>
      <c r="M217" s="71" t="n"/>
      <c r="N217" s="71" t="n"/>
      <c r="O217" s="71" t="n"/>
      <c r="P217" s="71" t="n"/>
      <c r="Q217" s="71" t="n"/>
      <c r="R217" s="71" t="n"/>
      <c r="S217" s="71" t="n"/>
      <c r="T217" s="71" t="n"/>
      <c r="U217" s="71" t="n"/>
      <c r="V217" s="71" t="n"/>
      <c r="W217" s="71" t="n"/>
      <c r="X217" s="71" t="n"/>
      <c r="Y217" s="71" t="n"/>
      <c r="Z217" s="71" t="n"/>
    </row>
    <row r="218" ht="15.75" customHeight="1">
      <c r="A218" s="71" t="n"/>
      <c r="B218" s="71" t="n"/>
      <c r="C218" s="71" t="n"/>
      <c r="D218" s="71" t="n"/>
      <c r="E218" s="71" t="n"/>
      <c r="F218" s="71" t="n"/>
      <c r="G218" s="71" t="n"/>
      <c r="H218" s="71" t="n"/>
      <c r="I218" s="71" t="n"/>
      <c r="J218" s="71" t="n"/>
      <c r="K218" s="71" t="n"/>
      <c r="L218" s="71" t="n"/>
      <c r="M218" s="71" t="n"/>
      <c r="N218" s="71" t="n"/>
      <c r="O218" s="71" t="n"/>
      <c r="P218" s="71" t="n"/>
      <c r="Q218" s="71" t="n"/>
      <c r="R218" s="71" t="n"/>
      <c r="S218" s="71" t="n"/>
      <c r="T218" s="71" t="n"/>
      <c r="U218" s="71" t="n"/>
      <c r="V218" s="71" t="n"/>
      <c r="W218" s="71" t="n"/>
      <c r="X218" s="71" t="n"/>
      <c r="Y218" s="71" t="n"/>
      <c r="Z218" s="71" t="n"/>
    </row>
    <row r="219" ht="15.75" customHeight="1">
      <c r="A219" s="71" t="n"/>
      <c r="B219" s="71" t="n"/>
      <c r="C219" s="71" t="n"/>
      <c r="D219" s="71" t="n"/>
      <c r="E219" s="71" t="n"/>
      <c r="F219" s="71" t="n"/>
      <c r="G219" s="71" t="n"/>
      <c r="H219" s="71" t="n"/>
      <c r="I219" s="71" t="n"/>
      <c r="J219" s="71" t="n"/>
      <c r="K219" s="71" t="n"/>
      <c r="L219" s="71" t="n"/>
      <c r="M219" s="71" t="n"/>
      <c r="N219" s="71" t="n"/>
      <c r="O219" s="71" t="n"/>
      <c r="P219" s="71" t="n"/>
      <c r="Q219" s="71" t="n"/>
      <c r="R219" s="71" t="n"/>
      <c r="S219" s="71" t="n"/>
      <c r="T219" s="71" t="n"/>
      <c r="U219" s="71" t="n"/>
      <c r="V219" s="71" t="n"/>
      <c r="W219" s="71" t="n"/>
      <c r="X219" s="71" t="n"/>
      <c r="Y219" s="71" t="n"/>
      <c r="Z219" s="71" t="n"/>
    </row>
    <row r="220" ht="15.75" customHeight="1">
      <c r="A220" s="71" t="n"/>
      <c r="B220" s="71" t="n"/>
      <c r="C220" s="71" t="n"/>
      <c r="D220" s="71" t="n"/>
      <c r="E220" s="71" t="n"/>
      <c r="F220" s="71" t="n"/>
      <c r="G220" s="71" t="n"/>
      <c r="H220" s="71" t="n"/>
      <c r="I220" s="71" t="n"/>
      <c r="J220" s="71" t="n"/>
      <c r="K220" s="71" t="n"/>
      <c r="L220" s="71" t="n"/>
      <c r="M220" s="71" t="n"/>
      <c r="N220" s="71" t="n"/>
      <c r="O220" s="71" t="n"/>
      <c r="P220" s="71" t="n"/>
      <c r="Q220" s="71" t="n"/>
      <c r="R220" s="71" t="n"/>
      <c r="S220" s="71" t="n"/>
      <c r="T220" s="71" t="n"/>
      <c r="U220" s="71" t="n"/>
      <c r="V220" s="71" t="n"/>
      <c r="W220" s="71" t="n"/>
      <c r="X220" s="71" t="n"/>
      <c r="Y220" s="71" t="n"/>
      <c r="Z220" s="71" t="n"/>
    </row>
    <row r="221" ht="15.75" customHeight="1">
      <c r="A221" s="71" t="n"/>
      <c r="B221" s="71" t="n"/>
      <c r="C221" s="71" t="n"/>
      <c r="D221" s="71" t="n"/>
      <c r="E221" s="71" t="n"/>
      <c r="F221" s="71" t="n"/>
      <c r="G221" s="71" t="n"/>
      <c r="H221" s="71" t="n"/>
      <c r="I221" s="71" t="n"/>
      <c r="J221" s="71" t="n"/>
      <c r="K221" s="71" t="n"/>
      <c r="L221" s="71" t="n"/>
      <c r="M221" s="71" t="n"/>
      <c r="N221" s="71" t="n"/>
      <c r="O221" s="71" t="n"/>
      <c r="P221" s="71" t="n"/>
      <c r="Q221" s="71" t="n"/>
      <c r="R221" s="71" t="n"/>
      <c r="S221" s="71" t="n"/>
      <c r="T221" s="71" t="n"/>
      <c r="U221" s="71" t="n"/>
      <c r="V221" s="71" t="n"/>
      <c r="W221" s="71" t="n"/>
      <c r="X221" s="71" t="n"/>
      <c r="Y221" s="71" t="n"/>
      <c r="Z221" s="71" t="n"/>
    </row>
    <row r="222" ht="15.75" customHeight="1">
      <c r="A222" s="71" t="n"/>
      <c r="B222" s="71" t="n"/>
      <c r="C222" s="71" t="n"/>
      <c r="D222" s="71" t="n"/>
      <c r="E222" s="71" t="n"/>
      <c r="F222" s="71" t="n"/>
      <c r="G222" s="71" t="n"/>
      <c r="H222" s="71" t="n"/>
      <c r="I222" s="71" t="n"/>
      <c r="J222" s="71" t="n"/>
      <c r="K222" s="71" t="n"/>
      <c r="L222" s="71" t="n"/>
      <c r="M222" s="71" t="n"/>
      <c r="N222" s="71" t="n"/>
      <c r="O222" s="71" t="n"/>
      <c r="P222" s="71" t="n"/>
      <c r="Q222" s="71" t="n"/>
      <c r="R222" s="71" t="n"/>
      <c r="S222" s="71" t="n"/>
      <c r="T222" s="71" t="n"/>
      <c r="U222" s="71" t="n"/>
      <c r="V222" s="71" t="n"/>
      <c r="W222" s="71" t="n"/>
      <c r="X222" s="71" t="n"/>
      <c r="Y222" s="71" t="n"/>
      <c r="Z222" s="71" t="n"/>
    </row>
    <row r="223" ht="15.75" customHeight="1">
      <c r="A223" s="71" t="n"/>
      <c r="B223" s="71" t="n"/>
      <c r="C223" s="71" t="n"/>
      <c r="D223" s="71" t="n"/>
      <c r="E223" s="71" t="n"/>
      <c r="F223" s="71" t="n"/>
      <c r="G223" s="71" t="n"/>
      <c r="H223" s="71" t="n"/>
      <c r="I223" s="71" t="n"/>
      <c r="J223" s="71" t="n"/>
      <c r="K223" s="71" t="n"/>
      <c r="L223" s="71" t="n"/>
      <c r="M223" s="71" t="n"/>
      <c r="N223" s="71" t="n"/>
      <c r="O223" s="71" t="n"/>
      <c r="P223" s="71" t="n"/>
      <c r="Q223" s="71" t="n"/>
      <c r="R223" s="71" t="n"/>
      <c r="S223" s="71" t="n"/>
      <c r="T223" s="71" t="n"/>
      <c r="U223" s="71" t="n"/>
      <c r="V223" s="71" t="n"/>
      <c r="W223" s="71" t="n"/>
      <c r="X223" s="71" t="n"/>
      <c r="Y223" s="71" t="n"/>
      <c r="Z223" s="71" t="n"/>
    </row>
    <row r="224" ht="15.75" customHeight="1">
      <c r="A224" s="71" t="n"/>
      <c r="B224" s="71" t="n"/>
      <c r="C224" s="71" t="n"/>
      <c r="D224" s="71" t="n"/>
      <c r="E224" s="71" t="n"/>
      <c r="F224" s="71" t="n"/>
      <c r="G224" s="71" t="n"/>
      <c r="H224" s="71" t="n"/>
      <c r="I224" s="71" t="n"/>
      <c r="J224" s="71" t="n"/>
      <c r="K224" s="71" t="n"/>
      <c r="L224" s="71" t="n"/>
      <c r="M224" s="71" t="n"/>
      <c r="N224" s="71" t="n"/>
      <c r="O224" s="71" t="n"/>
      <c r="P224" s="71" t="n"/>
      <c r="Q224" s="71" t="n"/>
      <c r="R224" s="71" t="n"/>
      <c r="S224" s="71" t="n"/>
      <c r="T224" s="71" t="n"/>
      <c r="U224" s="71" t="n"/>
      <c r="V224" s="71" t="n"/>
      <c r="W224" s="71" t="n"/>
      <c r="X224" s="71" t="n"/>
      <c r="Y224" s="71" t="n"/>
      <c r="Z224" s="71" t="n"/>
    </row>
    <row r="225" ht="15.75" customHeight="1">
      <c r="A225" s="71" t="n"/>
      <c r="B225" s="71" t="n"/>
      <c r="C225" s="71" t="n"/>
      <c r="D225" s="71" t="n"/>
      <c r="E225" s="71" t="n"/>
      <c r="F225" s="71" t="n"/>
      <c r="G225" s="71" t="n"/>
      <c r="H225" s="71" t="n"/>
      <c r="I225" s="71" t="n"/>
      <c r="J225" s="71" t="n"/>
      <c r="K225" s="71" t="n"/>
      <c r="L225" s="71" t="n"/>
      <c r="M225" s="71" t="n"/>
      <c r="N225" s="71" t="n"/>
      <c r="O225" s="71" t="n"/>
      <c r="P225" s="71" t="n"/>
      <c r="Q225" s="71" t="n"/>
      <c r="R225" s="71" t="n"/>
      <c r="S225" s="71" t="n"/>
      <c r="T225" s="71" t="n"/>
      <c r="U225" s="71" t="n"/>
      <c r="V225" s="71" t="n"/>
      <c r="W225" s="71" t="n"/>
      <c r="X225" s="71" t="n"/>
      <c r="Y225" s="71" t="n"/>
      <c r="Z225" s="71" t="n"/>
    </row>
    <row r="226" ht="15.75" customHeight="1">
      <c r="A226" s="71" t="n"/>
      <c r="B226" s="71" t="n"/>
      <c r="C226" s="71" t="n"/>
      <c r="D226" s="71" t="n"/>
      <c r="E226" s="71" t="n"/>
      <c r="F226" s="71" t="n"/>
      <c r="G226" s="71" t="n"/>
      <c r="H226" s="71" t="n"/>
      <c r="I226" s="71" t="n"/>
      <c r="J226" s="71" t="n"/>
      <c r="K226" s="71" t="n"/>
      <c r="L226" s="71" t="n"/>
      <c r="M226" s="71" t="n"/>
      <c r="N226" s="71" t="n"/>
      <c r="O226" s="71" t="n"/>
      <c r="P226" s="71" t="n"/>
      <c r="Q226" s="71" t="n"/>
      <c r="R226" s="71" t="n"/>
      <c r="S226" s="71" t="n"/>
      <c r="T226" s="71" t="n"/>
      <c r="U226" s="71" t="n"/>
      <c r="V226" s="71" t="n"/>
      <c r="W226" s="71" t="n"/>
      <c r="X226" s="71" t="n"/>
      <c r="Y226" s="71" t="n"/>
      <c r="Z226" s="71" t="n"/>
    </row>
    <row r="227" ht="15.75" customHeight="1">
      <c r="A227" s="71" t="n"/>
      <c r="B227" s="71" t="n"/>
      <c r="C227" s="71" t="n"/>
      <c r="D227" s="71" t="n"/>
      <c r="E227" s="71" t="n"/>
      <c r="F227" s="71" t="n"/>
      <c r="G227" s="71" t="n"/>
      <c r="H227" s="71" t="n"/>
      <c r="I227" s="71" t="n"/>
      <c r="J227" s="71" t="n"/>
      <c r="K227" s="71" t="n"/>
      <c r="L227" s="71" t="n"/>
      <c r="M227" s="71" t="n"/>
      <c r="N227" s="71" t="n"/>
      <c r="O227" s="71" t="n"/>
      <c r="P227" s="71" t="n"/>
      <c r="Q227" s="71" t="n"/>
      <c r="R227" s="71" t="n"/>
      <c r="S227" s="71" t="n"/>
      <c r="T227" s="71" t="n"/>
      <c r="U227" s="71" t="n"/>
      <c r="V227" s="71" t="n"/>
      <c r="W227" s="71" t="n"/>
      <c r="X227" s="71" t="n"/>
      <c r="Y227" s="71" t="n"/>
      <c r="Z227" s="71" t="n"/>
    </row>
    <row r="228" ht="15.75" customHeight="1">
      <c r="A228" s="71" t="n"/>
      <c r="B228" s="71" t="n"/>
      <c r="C228" s="71" t="n"/>
      <c r="D228" s="71" t="n"/>
      <c r="E228" s="71" t="n"/>
      <c r="F228" s="71" t="n"/>
      <c r="G228" s="71" t="n"/>
      <c r="H228" s="71" t="n"/>
      <c r="I228" s="71" t="n"/>
      <c r="J228" s="71" t="n"/>
      <c r="K228" s="71" t="n"/>
      <c r="L228" s="71" t="n"/>
      <c r="M228" s="71" t="n"/>
      <c r="N228" s="71" t="n"/>
      <c r="O228" s="71" t="n"/>
      <c r="P228" s="71" t="n"/>
      <c r="Q228" s="71" t="n"/>
      <c r="R228" s="71" t="n"/>
      <c r="S228" s="71" t="n"/>
      <c r="T228" s="71" t="n"/>
      <c r="U228" s="71" t="n"/>
      <c r="V228" s="71" t="n"/>
      <c r="W228" s="71" t="n"/>
      <c r="X228" s="71" t="n"/>
      <c r="Y228" s="71" t="n"/>
      <c r="Z228" s="71" t="n"/>
    </row>
    <row r="229" ht="15.75" customHeight="1">
      <c r="A229" s="71" t="n"/>
      <c r="B229" s="71" t="n"/>
      <c r="C229" s="71" t="n"/>
      <c r="D229" s="71" t="n"/>
      <c r="E229" s="71" t="n"/>
      <c r="F229" s="71" t="n"/>
      <c r="G229" s="71" t="n"/>
      <c r="H229" s="71" t="n"/>
      <c r="I229" s="71" t="n"/>
      <c r="J229" s="71" t="n"/>
      <c r="K229" s="71" t="n"/>
      <c r="L229" s="71" t="n"/>
      <c r="M229" s="71" t="n"/>
      <c r="N229" s="71" t="n"/>
      <c r="O229" s="71" t="n"/>
      <c r="P229" s="71" t="n"/>
      <c r="Q229" s="71" t="n"/>
      <c r="R229" s="71" t="n"/>
      <c r="S229" s="71" t="n"/>
      <c r="T229" s="71" t="n"/>
      <c r="U229" s="71" t="n"/>
      <c r="V229" s="71" t="n"/>
      <c r="W229" s="71" t="n"/>
      <c r="X229" s="71" t="n"/>
      <c r="Y229" s="71" t="n"/>
      <c r="Z229" s="71" t="n"/>
    </row>
    <row r="230" ht="15.75" customHeight="1">
      <c r="A230" s="71" t="n"/>
      <c r="B230" s="71" t="n"/>
      <c r="C230" s="71" t="n"/>
      <c r="D230" s="71" t="n"/>
      <c r="E230" s="71" t="n"/>
      <c r="F230" s="71" t="n"/>
      <c r="G230" s="71" t="n"/>
      <c r="H230" s="71" t="n"/>
      <c r="I230" s="71" t="n"/>
      <c r="J230" s="71" t="n"/>
      <c r="K230" s="71" t="n"/>
      <c r="L230" s="71" t="n"/>
      <c r="M230" s="71" t="n"/>
      <c r="N230" s="71" t="n"/>
      <c r="O230" s="71" t="n"/>
      <c r="P230" s="71" t="n"/>
      <c r="Q230" s="71" t="n"/>
      <c r="R230" s="71" t="n"/>
      <c r="S230" s="71" t="n"/>
      <c r="T230" s="71" t="n"/>
      <c r="U230" s="71" t="n"/>
      <c r="V230" s="71" t="n"/>
      <c r="W230" s="71" t="n"/>
      <c r="X230" s="71" t="n"/>
      <c r="Y230" s="71" t="n"/>
      <c r="Z230" s="71" t="n"/>
    </row>
    <row r="231" ht="15.75" customHeight="1">
      <c r="A231" s="71" t="n"/>
      <c r="B231" s="71" t="n"/>
      <c r="C231" s="71" t="n"/>
      <c r="D231" s="71" t="n"/>
      <c r="E231" s="71" t="n"/>
      <c r="F231" s="71" t="n"/>
      <c r="G231" s="71" t="n"/>
      <c r="H231" s="71" t="n"/>
      <c r="I231" s="71" t="n"/>
      <c r="J231" s="71" t="n"/>
      <c r="K231" s="71" t="n"/>
      <c r="L231" s="71" t="n"/>
      <c r="M231" s="71" t="n"/>
      <c r="N231" s="71" t="n"/>
      <c r="O231" s="71" t="n"/>
      <c r="P231" s="71" t="n"/>
      <c r="Q231" s="71" t="n"/>
      <c r="R231" s="71" t="n"/>
      <c r="S231" s="71" t="n"/>
      <c r="T231" s="71" t="n"/>
      <c r="U231" s="71" t="n"/>
      <c r="V231" s="71" t="n"/>
      <c r="W231" s="71" t="n"/>
      <c r="X231" s="71" t="n"/>
      <c r="Y231" s="71" t="n"/>
      <c r="Z231" s="71" t="n"/>
    </row>
    <row r="232" ht="15.75" customHeight="1">
      <c r="A232" s="71" t="n"/>
      <c r="B232" s="71" t="n"/>
      <c r="C232" s="71" t="n"/>
      <c r="D232" s="71" t="n"/>
      <c r="E232" s="71" t="n"/>
      <c r="F232" s="71" t="n"/>
      <c r="G232" s="71" t="n"/>
      <c r="H232" s="71" t="n"/>
      <c r="I232" s="71" t="n"/>
      <c r="J232" s="71" t="n"/>
      <c r="K232" s="71" t="n"/>
      <c r="L232" s="71" t="n"/>
      <c r="M232" s="71" t="n"/>
      <c r="N232" s="71" t="n"/>
      <c r="O232" s="71" t="n"/>
      <c r="P232" s="71" t="n"/>
      <c r="Q232" s="71" t="n"/>
      <c r="R232" s="71" t="n"/>
      <c r="S232" s="71" t="n"/>
      <c r="T232" s="71" t="n"/>
      <c r="U232" s="71" t="n"/>
      <c r="V232" s="71" t="n"/>
      <c r="W232" s="71" t="n"/>
      <c r="X232" s="71" t="n"/>
      <c r="Y232" s="71" t="n"/>
      <c r="Z232" s="71" t="n"/>
    </row>
    <row r="233" ht="15.75" customHeight="1">
      <c r="A233" s="71" t="n"/>
      <c r="B233" s="71" t="n"/>
      <c r="C233" s="71" t="n"/>
      <c r="D233" s="71" t="n"/>
      <c r="E233" s="71" t="n"/>
      <c r="F233" s="71" t="n"/>
      <c r="G233" s="71" t="n"/>
      <c r="H233" s="71" t="n"/>
      <c r="I233" s="71" t="n"/>
      <c r="J233" s="71" t="n"/>
      <c r="K233" s="71" t="n"/>
      <c r="L233" s="71" t="n"/>
      <c r="M233" s="71" t="n"/>
      <c r="N233" s="71" t="n"/>
      <c r="O233" s="71" t="n"/>
      <c r="P233" s="71" t="n"/>
      <c r="Q233" s="71" t="n"/>
      <c r="R233" s="71" t="n"/>
      <c r="S233" s="71" t="n"/>
      <c r="T233" s="71" t="n"/>
      <c r="U233" s="71" t="n"/>
      <c r="V233" s="71" t="n"/>
      <c r="W233" s="71" t="n"/>
      <c r="X233" s="71" t="n"/>
      <c r="Y233" s="71" t="n"/>
      <c r="Z233" s="71" t="n"/>
    </row>
    <row r="234" ht="15.75" customHeight="1">
      <c r="A234" s="71" t="n"/>
      <c r="B234" s="71" t="n"/>
      <c r="C234" s="71" t="n"/>
      <c r="D234" s="71" t="n"/>
      <c r="E234" s="71" t="n"/>
      <c r="F234" s="71" t="n"/>
      <c r="G234" s="71" t="n"/>
      <c r="H234" s="71" t="n"/>
      <c r="I234" s="71" t="n"/>
      <c r="J234" s="71" t="n"/>
      <c r="K234" s="71" t="n"/>
      <c r="L234" s="71" t="n"/>
      <c r="M234" s="71" t="n"/>
      <c r="N234" s="71" t="n"/>
      <c r="O234" s="71" t="n"/>
      <c r="P234" s="71" t="n"/>
      <c r="Q234" s="71" t="n"/>
      <c r="R234" s="71" t="n"/>
      <c r="S234" s="71" t="n"/>
      <c r="T234" s="71" t="n"/>
      <c r="U234" s="71" t="n"/>
      <c r="V234" s="71" t="n"/>
      <c r="W234" s="71" t="n"/>
      <c r="X234" s="71" t="n"/>
      <c r="Y234" s="71" t="n"/>
      <c r="Z234" s="71" t="n"/>
    </row>
    <row r="235" ht="15.75" customHeight="1">
      <c r="A235" s="71" t="n"/>
      <c r="B235" s="71" t="n"/>
      <c r="C235" s="71" t="n"/>
      <c r="D235" s="71" t="n"/>
      <c r="E235" s="71" t="n"/>
      <c r="F235" s="71" t="n"/>
      <c r="G235" s="71" t="n"/>
      <c r="H235" s="71" t="n"/>
      <c r="I235" s="71" t="n"/>
      <c r="J235" s="71" t="n"/>
      <c r="K235" s="71" t="n"/>
      <c r="L235" s="71" t="n"/>
      <c r="M235" s="71" t="n"/>
      <c r="N235" s="71" t="n"/>
      <c r="O235" s="71" t="n"/>
      <c r="P235" s="71" t="n"/>
      <c r="Q235" s="71" t="n"/>
      <c r="R235" s="71" t="n"/>
      <c r="S235" s="71" t="n"/>
      <c r="T235" s="71" t="n"/>
      <c r="U235" s="71" t="n"/>
      <c r="V235" s="71" t="n"/>
      <c r="W235" s="71" t="n"/>
      <c r="X235" s="71" t="n"/>
      <c r="Y235" s="71" t="n"/>
      <c r="Z235" s="71" t="n"/>
    </row>
    <row r="236" ht="15.75" customHeight="1">
      <c r="A236" s="71" t="n"/>
      <c r="B236" s="71" t="n"/>
      <c r="C236" s="71" t="n"/>
      <c r="D236" s="71" t="n"/>
      <c r="E236" s="71" t="n"/>
      <c r="F236" s="71" t="n"/>
      <c r="G236" s="71" t="n"/>
      <c r="H236" s="71" t="n"/>
      <c r="I236" s="71" t="n"/>
      <c r="J236" s="71" t="n"/>
      <c r="K236" s="71" t="n"/>
      <c r="L236" s="71" t="n"/>
      <c r="M236" s="71" t="n"/>
      <c r="N236" s="71" t="n"/>
      <c r="O236" s="71" t="n"/>
      <c r="P236" s="71" t="n"/>
      <c r="Q236" s="71" t="n"/>
      <c r="R236" s="71" t="n"/>
      <c r="S236" s="71" t="n"/>
      <c r="T236" s="71" t="n"/>
      <c r="U236" s="71" t="n"/>
      <c r="V236" s="71" t="n"/>
      <c r="W236" s="71" t="n"/>
      <c r="X236" s="71" t="n"/>
      <c r="Y236" s="71" t="n"/>
      <c r="Z236" s="71" t="n"/>
    </row>
    <row r="237" ht="15.75" customHeight="1">
      <c r="A237" s="71" t="n"/>
      <c r="B237" s="71" t="n"/>
      <c r="C237" s="71" t="n"/>
      <c r="D237" s="71" t="n"/>
      <c r="E237" s="71" t="n"/>
      <c r="F237" s="71" t="n"/>
      <c r="G237" s="71" t="n"/>
      <c r="H237" s="71" t="n"/>
      <c r="I237" s="71" t="n"/>
      <c r="J237" s="71" t="n"/>
      <c r="K237" s="71" t="n"/>
      <c r="L237" s="71" t="n"/>
      <c r="M237" s="71" t="n"/>
      <c r="N237" s="71" t="n"/>
      <c r="O237" s="71" t="n"/>
      <c r="P237" s="71" t="n"/>
      <c r="Q237" s="71" t="n"/>
      <c r="R237" s="71" t="n"/>
      <c r="S237" s="71" t="n"/>
      <c r="T237" s="71" t="n"/>
      <c r="U237" s="71" t="n"/>
      <c r="V237" s="71" t="n"/>
      <c r="W237" s="71" t="n"/>
      <c r="X237" s="71" t="n"/>
      <c r="Y237" s="71" t="n"/>
      <c r="Z237" s="71" t="n"/>
    </row>
    <row r="238" ht="15.75" customHeight="1">
      <c r="A238" s="71" t="n"/>
      <c r="B238" s="71" t="n"/>
      <c r="C238" s="71" t="n"/>
      <c r="D238" s="71" t="n"/>
      <c r="E238" s="71" t="n"/>
      <c r="F238" s="71" t="n"/>
      <c r="G238" s="71" t="n"/>
      <c r="H238" s="71" t="n"/>
      <c r="I238" s="71" t="n"/>
      <c r="J238" s="71" t="n"/>
      <c r="K238" s="71" t="n"/>
      <c r="L238" s="71" t="n"/>
      <c r="M238" s="71" t="n"/>
      <c r="N238" s="71" t="n"/>
      <c r="O238" s="71" t="n"/>
      <c r="P238" s="71" t="n"/>
      <c r="Q238" s="71" t="n"/>
      <c r="R238" s="71" t="n"/>
      <c r="S238" s="71" t="n"/>
      <c r="T238" s="71" t="n"/>
      <c r="U238" s="71" t="n"/>
      <c r="V238" s="71" t="n"/>
      <c r="W238" s="71" t="n"/>
      <c r="X238" s="71" t="n"/>
      <c r="Y238" s="71" t="n"/>
      <c r="Z238" s="71" t="n"/>
    </row>
    <row r="239" ht="15.75" customHeight="1">
      <c r="A239" s="71" t="n"/>
      <c r="B239" s="71" t="n"/>
      <c r="C239" s="71" t="n"/>
      <c r="D239" s="71" t="n"/>
      <c r="E239" s="71" t="n"/>
      <c r="F239" s="71" t="n"/>
      <c r="G239" s="71" t="n"/>
      <c r="H239" s="71" t="n"/>
      <c r="I239" s="71" t="n"/>
      <c r="J239" s="71" t="n"/>
      <c r="K239" s="71" t="n"/>
      <c r="L239" s="71" t="n"/>
      <c r="M239" s="71" t="n"/>
      <c r="N239" s="71" t="n"/>
      <c r="O239" s="71" t="n"/>
      <c r="P239" s="71" t="n"/>
      <c r="Q239" s="71" t="n"/>
      <c r="R239" s="71" t="n"/>
      <c r="S239" s="71" t="n"/>
      <c r="T239" s="71" t="n"/>
      <c r="U239" s="71" t="n"/>
      <c r="V239" s="71" t="n"/>
      <c r="W239" s="71" t="n"/>
      <c r="X239" s="71" t="n"/>
      <c r="Y239" s="71" t="n"/>
      <c r="Z239" s="71" t="n"/>
    </row>
    <row r="240" ht="15.75" customHeight="1">
      <c r="A240" s="71" t="n"/>
      <c r="B240" s="71" t="n"/>
      <c r="C240" s="71" t="n"/>
      <c r="D240" s="71" t="n"/>
      <c r="E240" s="71" t="n"/>
      <c r="F240" s="71" t="n"/>
      <c r="G240" s="71" t="n"/>
      <c r="H240" s="71" t="n"/>
      <c r="I240" s="71" t="n"/>
      <c r="J240" s="71" t="n"/>
      <c r="K240" s="71" t="n"/>
      <c r="L240" s="71" t="n"/>
      <c r="M240" s="71" t="n"/>
      <c r="N240" s="71" t="n"/>
      <c r="O240" s="71" t="n"/>
      <c r="P240" s="71" t="n"/>
      <c r="Q240" s="71" t="n"/>
      <c r="R240" s="71" t="n"/>
      <c r="S240" s="71" t="n"/>
      <c r="T240" s="71" t="n"/>
      <c r="U240" s="71" t="n"/>
      <c r="V240" s="71" t="n"/>
      <c r="W240" s="71" t="n"/>
      <c r="X240" s="71" t="n"/>
      <c r="Y240" s="71" t="n"/>
      <c r="Z240" s="71" t="n"/>
    </row>
    <row r="241" ht="15.75" customHeight="1">
      <c r="A241" s="71" t="n"/>
      <c r="B241" s="71" t="n"/>
      <c r="C241" s="71" t="n"/>
      <c r="D241" s="71" t="n"/>
      <c r="E241" s="71" t="n"/>
      <c r="F241" s="71" t="n"/>
      <c r="G241" s="71" t="n"/>
      <c r="H241" s="71" t="n"/>
      <c r="I241" s="71" t="n"/>
      <c r="J241" s="71" t="n"/>
      <c r="K241" s="71" t="n"/>
      <c r="L241" s="71" t="n"/>
      <c r="M241" s="71" t="n"/>
      <c r="N241" s="71" t="n"/>
      <c r="O241" s="71" t="n"/>
      <c r="P241" s="71" t="n"/>
      <c r="Q241" s="71" t="n"/>
      <c r="R241" s="71" t="n"/>
      <c r="S241" s="71" t="n"/>
      <c r="T241" s="71" t="n"/>
      <c r="U241" s="71" t="n"/>
      <c r="V241" s="71" t="n"/>
      <c r="W241" s="71" t="n"/>
      <c r="X241" s="71" t="n"/>
      <c r="Y241" s="71" t="n"/>
      <c r="Z241" s="71" t="n"/>
    </row>
    <row r="242" ht="15.75" customHeight="1">
      <c r="A242" s="71" t="n"/>
      <c r="B242" s="71" t="n"/>
      <c r="C242" s="71" t="n"/>
      <c r="D242" s="71" t="n"/>
      <c r="E242" s="71" t="n"/>
      <c r="F242" s="71" t="n"/>
      <c r="G242" s="71" t="n"/>
      <c r="H242" s="71" t="n"/>
      <c r="I242" s="71" t="n"/>
      <c r="J242" s="71" t="n"/>
      <c r="K242" s="71" t="n"/>
      <c r="L242" s="71" t="n"/>
      <c r="M242" s="71" t="n"/>
      <c r="N242" s="71" t="n"/>
      <c r="O242" s="71" t="n"/>
      <c r="P242" s="71" t="n"/>
      <c r="Q242" s="71" t="n"/>
      <c r="R242" s="71" t="n"/>
      <c r="S242" s="71" t="n"/>
      <c r="T242" s="71" t="n"/>
      <c r="U242" s="71" t="n"/>
      <c r="V242" s="71" t="n"/>
      <c r="W242" s="71" t="n"/>
      <c r="X242" s="71" t="n"/>
      <c r="Y242" s="71" t="n"/>
      <c r="Z242" s="71" t="n"/>
    </row>
    <row r="243" ht="15.75" customHeight="1">
      <c r="A243" s="71" t="n"/>
      <c r="B243" s="71" t="n"/>
      <c r="C243" s="71" t="n"/>
      <c r="D243" s="71" t="n"/>
      <c r="E243" s="71" t="n"/>
      <c r="F243" s="71" t="n"/>
      <c r="G243" s="71" t="n"/>
      <c r="H243" s="71" t="n"/>
      <c r="I243" s="71" t="n"/>
      <c r="J243" s="71" t="n"/>
      <c r="K243" s="71" t="n"/>
      <c r="L243" s="71" t="n"/>
      <c r="M243" s="71" t="n"/>
      <c r="N243" s="71" t="n"/>
      <c r="O243" s="71" t="n"/>
      <c r="P243" s="71" t="n"/>
      <c r="Q243" s="71" t="n"/>
      <c r="R243" s="71" t="n"/>
      <c r="S243" s="71" t="n"/>
      <c r="T243" s="71" t="n"/>
      <c r="U243" s="71" t="n"/>
      <c r="V243" s="71" t="n"/>
      <c r="W243" s="71" t="n"/>
      <c r="X243" s="71" t="n"/>
      <c r="Y243" s="71" t="n"/>
      <c r="Z243" s="71" t="n"/>
    </row>
    <row r="244" ht="15.75" customHeight="1">
      <c r="A244" s="71" t="n"/>
      <c r="B244" s="71" t="n"/>
      <c r="C244" s="71" t="n"/>
      <c r="D244" s="71" t="n"/>
      <c r="E244" s="71" t="n"/>
      <c r="F244" s="71" t="n"/>
      <c r="G244" s="71" t="n"/>
      <c r="H244" s="71" t="n"/>
      <c r="I244" s="71" t="n"/>
      <c r="J244" s="71" t="n"/>
      <c r="K244" s="71" t="n"/>
      <c r="L244" s="71" t="n"/>
      <c r="M244" s="71" t="n"/>
      <c r="N244" s="71" t="n"/>
      <c r="O244" s="71" t="n"/>
      <c r="P244" s="71" t="n"/>
      <c r="Q244" s="71" t="n"/>
      <c r="R244" s="71" t="n"/>
      <c r="S244" s="71" t="n"/>
      <c r="T244" s="71" t="n"/>
      <c r="U244" s="71" t="n"/>
      <c r="V244" s="71" t="n"/>
      <c r="W244" s="71" t="n"/>
      <c r="X244" s="71" t="n"/>
      <c r="Y244" s="71" t="n"/>
      <c r="Z244" s="71" t="n"/>
    </row>
    <row r="245" ht="15.75" customHeight="1">
      <c r="A245" s="71" t="n"/>
      <c r="B245" s="71" t="n"/>
      <c r="C245" s="71" t="n"/>
      <c r="D245" s="71" t="n"/>
      <c r="E245" s="71" t="n"/>
      <c r="F245" s="71" t="n"/>
      <c r="G245" s="71" t="n"/>
      <c r="H245" s="71" t="n"/>
      <c r="I245" s="71" t="n"/>
      <c r="J245" s="71" t="n"/>
      <c r="K245" s="71" t="n"/>
      <c r="L245" s="71" t="n"/>
      <c r="M245" s="71" t="n"/>
      <c r="N245" s="71" t="n"/>
      <c r="O245" s="71" t="n"/>
      <c r="P245" s="71" t="n"/>
      <c r="Q245" s="71" t="n"/>
      <c r="R245" s="71" t="n"/>
      <c r="S245" s="71" t="n"/>
      <c r="T245" s="71" t="n"/>
      <c r="U245" s="71" t="n"/>
      <c r="V245" s="71" t="n"/>
      <c r="W245" s="71" t="n"/>
      <c r="X245" s="71" t="n"/>
      <c r="Y245" s="71" t="n"/>
      <c r="Z245" s="71" t="n"/>
    </row>
    <row r="246" ht="15.75" customHeight="1">
      <c r="A246" s="71" t="n"/>
      <c r="B246" s="71" t="n"/>
      <c r="C246" s="71" t="n"/>
      <c r="D246" s="71" t="n"/>
      <c r="E246" s="71" t="n"/>
      <c r="F246" s="71" t="n"/>
      <c r="G246" s="71" t="n"/>
      <c r="H246" s="71" t="n"/>
      <c r="I246" s="71" t="n"/>
      <c r="J246" s="71" t="n"/>
      <c r="K246" s="71" t="n"/>
      <c r="L246" s="71" t="n"/>
      <c r="M246" s="71" t="n"/>
      <c r="N246" s="71" t="n"/>
      <c r="O246" s="71" t="n"/>
      <c r="P246" s="71" t="n"/>
      <c r="Q246" s="71" t="n"/>
      <c r="R246" s="71" t="n"/>
      <c r="S246" s="71" t="n"/>
      <c r="T246" s="71" t="n"/>
      <c r="U246" s="71" t="n"/>
      <c r="V246" s="71" t="n"/>
      <c r="W246" s="71" t="n"/>
      <c r="X246" s="71" t="n"/>
      <c r="Y246" s="71" t="n"/>
      <c r="Z246" s="71" t="n"/>
    </row>
    <row r="247" ht="15.75" customHeight="1">
      <c r="A247" s="71" t="n"/>
      <c r="B247" s="71" t="n"/>
      <c r="C247" s="71" t="n"/>
      <c r="D247" s="71" t="n"/>
      <c r="E247" s="71" t="n"/>
      <c r="F247" s="71" t="n"/>
      <c r="G247" s="71" t="n"/>
      <c r="H247" s="71" t="n"/>
      <c r="I247" s="71" t="n"/>
      <c r="J247" s="71" t="n"/>
      <c r="K247" s="71" t="n"/>
      <c r="L247" s="71" t="n"/>
      <c r="M247" s="71" t="n"/>
      <c r="N247" s="71" t="n"/>
      <c r="O247" s="71" t="n"/>
      <c r="P247" s="71" t="n"/>
      <c r="Q247" s="71" t="n"/>
      <c r="R247" s="71" t="n"/>
      <c r="S247" s="71" t="n"/>
      <c r="T247" s="71" t="n"/>
      <c r="U247" s="71" t="n"/>
      <c r="V247" s="71" t="n"/>
      <c r="W247" s="71" t="n"/>
      <c r="X247" s="71" t="n"/>
      <c r="Y247" s="71" t="n"/>
      <c r="Z247" s="71" t="n"/>
    </row>
    <row r="248" ht="15.75" customHeight="1">
      <c r="A248" s="71" t="n"/>
      <c r="B248" s="71" t="n"/>
      <c r="C248" s="71" t="n"/>
      <c r="D248" s="71" t="n"/>
      <c r="E248" s="71" t="n"/>
      <c r="F248" s="71" t="n"/>
      <c r="G248" s="71" t="n"/>
      <c r="H248" s="71" t="n"/>
      <c r="I248" s="71" t="n"/>
      <c r="J248" s="71" t="n"/>
      <c r="K248" s="71" t="n"/>
      <c r="L248" s="71" t="n"/>
      <c r="M248" s="71" t="n"/>
      <c r="N248" s="71" t="n"/>
      <c r="O248" s="71" t="n"/>
      <c r="P248" s="71" t="n"/>
      <c r="Q248" s="71" t="n"/>
      <c r="R248" s="71" t="n"/>
      <c r="S248" s="71" t="n"/>
      <c r="T248" s="71" t="n"/>
      <c r="U248" s="71" t="n"/>
      <c r="V248" s="71" t="n"/>
      <c r="W248" s="71" t="n"/>
      <c r="X248" s="71" t="n"/>
      <c r="Y248" s="71" t="n"/>
      <c r="Z248" s="71" t="n"/>
    </row>
    <row r="249" ht="15.75" customHeight="1">
      <c r="A249" s="71" t="n"/>
      <c r="B249" s="71" t="n"/>
      <c r="C249" s="71" t="n"/>
      <c r="D249" s="71" t="n"/>
      <c r="E249" s="71" t="n"/>
      <c r="F249" s="71" t="n"/>
      <c r="G249" s="71" t="n"/>
      <c r="H249" s="71" t="n"/>
      <c r="I249" s="71" t="n"/>
      <c r="J249" s="71" t="n"/>
      <c r="K249" s="71" t="n"/>
      <c r="L249" s="71" t="n"/>
      <c r="M249" s="71" t="n"/>
      <c r="N249" s="71" t="n"/>
      <c r="O249" s="71" t="n"/>
      <c r="P249" s="71" t="n"/>
      <c r="Q249" s="71" t="n"/>
      <c r="R249" s="71" t="n"/>
      <c r="S249" s="71" t="n"/>
      <c r="T249" s="71" t="n"/>
      <c r="U249" s="71" t="n"/>
      <c r="V249" s="71" t="n"/>
      <c r="W249" s="71" t="n"/>
      <c r="X249" s="71" t="n"/>
      <c r="Y249" s="71" t="n"/>
      <c r="Z249" s="71" t="n"/>
    </row>
    <row r="250" ht="15.75" customHeight="1">
      <c r="A250" s="71" t="n"/>
      <c r="B250" s="71" t="n"/>
      <c r="C250" s="71" t="n"/>
      <c r="D250" s="71" t="n"/>
      <c r="E250" s="71" t="n"/>
      <c r="F250" s="71" t="n"/>
      <c r="G250" s="71" t="n"/>
      <c r="H250" s="71" t="n"/>
      <c r="I250" s="71" t="n"/>
      <c r="J250" s="71" t="n"/>
      <c r="K250" s="71" t="n"/>
      <c r="L250" s="71" t="n"/>
      <c r="M250" s="71" t="n"/>
      <c r="N250" s="71" t="n"/>
      <c r="O250" s="71" t="n"/>
      <c r="P250" s="71" t="n"/>
      <c r="Q250" s="71" t="n"/>
      <c r="R250" s="71" t="n"/>
      <c r="S250" s="71" t="n"/>
      <c r="T250" s="71" t="n"/>
      <c r="U250" s="71" t="n"/>
      <c r="V250" s="71" t="n"/>
      <c r="W250" s="71" t="n"/>
      <c r="X250" s="71" t="n"/>
      <c r="Y250" s="71" t="n"/>
      <c r="Z250" s="71" t="n"/>
    </row>
    <row r="251" ht="15.75" customHeight="1">
      <c r="A251" s="71" t="n"/>
      <c r="B251" s="71" t="n"/>
      <c r="C251" s="71" t="n"/>
      <c r="D251" s="71" t="n"/>
      <c r="E251" s="71" t="n"/>
      <c r="F251" s="71" t="n"/>
      <c r="G251" s="71" t="n"/>
      <c r="H251" s="71" t="n"/>
      <c r="I251" s="71" t="n"/>
      <c r="J251" s="71" t="n"/>
      <c r="K251" s="71" t="n"/>
      <c r="L251" s="71" t="n"/>
      <c r="M251" s="71" t="n"/>
      <c r="N251" s="71" t="n"/>
      <c r="O251" s="71" t="n"/>
      <c r="P251" s="71" t="n"/>
      <c r="Q251" s="71" t="n"/>
      <c r="R251" s="71" t="n"/>
      <c r="S251" s="71" t="n"/>
      <c r="T251" s="71" t="n"/>
      <c r="U251" s="71" t="n"/>
      <c r="V251" s="71" t="n"/>
      <c r="W251" s="71" t="n"/>
      <c r="X251" s="71" t="n"/>
      <c r="Y251" s="71" t="n"/>
      <c r="Z251" s="71" t="n"/>
    </row>
    <row r="252" ht="15.75" customHeight="1">
      <c r="A252" s="71" t="n"/>
      <c r="B252" s="71" t="n"/>
      <c r="C252" s="71" t="n"/>
      <c r="D252" s="71" t="n"/>
      <c r="E252" s="71" t="n"/>
      <c r="F252" s="71" t="n"/>
      <c r="G252" s="71" t="n"/>
      <c r="H252" s="71" t="n"/>
      <c r="I252" s="71" t="n"/>
      <c r="J252" s="71" t="n"/>
      <c r="K252" s="71" t="n"/>
      <c r="L252" s="71" t="n"/>
      <c r="M252" s="71" t="n"/>
      <c r="N252" s="71" t="n"/>
      <c r="O252" s="71" t="n"/>
      <c r="P252" s="71" t="n"/>
      <c r="Q252" s="71" t="n"/>
      <c r="R252" s="71" t="n"/>
      <c r="S252" s="71" t="n"/>
      <c r="T252" s="71" t="n"/>
      <c r="U252" s="71" t="n"/>
      <c r="V252" s="71" t="n"/>
      <c r="W252" s="71" t="n"/>
      <c r="X252" s="71" t="n"/>
      <c r="Y252" s="71" t="n"/>
      <c r="Z252" s="71" t="n"/>
    </row>
    <row r="253" ht="15.75" customHeight="1">
      <c r="A253" s="71" t="n"/>
      <c r="B253" s="71" t="n"/>
      <c r="C253" s="71" t="n"/>
      <c r="D253" s="71" t="n"/>
      <c r="E253" s="71" t="n"/>
      <c r="F253" s="71" t="n"/>
      <c r="G253" s="71" t="n"/>
      <c r="H253" s="71" t="n"/>
      <c r="I253" s="71" t="n"/>
      <c r="J253" s="71" t="n"/>
      <c r="K253" s="71" t="n"/>
      <c r="L253" s="71" t="n"/>
      <c r="M253" s="71" t="n"/>
      <c r="N253" s="71" t="n"/>
      <c r="O253" s="71" t="n"/>
      <c r="P253" s="71" t="n"/>
      <c r="Q253" s="71" t="n"/>
      <c r="R253" s="71" t="n"/>
      <c r="S253" s="71" t="n"/>
      <c r="T253" s="71" t="n"/>
      <c r="U253" s="71" t="n"/>
      <c r="V253" s="71" t="n"/>
      <c r="W253" s="71" t="n"/>
      <c r="X253" s="71" t="n"/>
      <c r="Y253" s="71" t="n"/>
      <c r="Z253" s="71" t="n"/>
    </row>
    <row r="254" ht="15.75" customHeight="1">
      <c r="A254" s="71" t="n"/>
      <c r="B254" s="71" t="n"/>
      <c r="C254" s="71" t="n"/>
      <c r="D254" s="71" t="n"/>
      <c r="E254" s="71" t="n"/>
      <c r="F254" s="71" t="n"/>
      <c r="G254" s="71" t="n"/>
      <c r="H254" s="71" t="n"/>
      <c r="I254" s="71" t="n"/>
      <c r="J254" s="71" t="n"/>
      <c r="K254" s="71" t="n"/>
      <c r="L254" s="71" t="n"/>
      <c r="M254" s="71" t="n"/>
      <c r="N254" s="71" t="n"/>
      <c r="O254" s="71" t="n"/>
      <c r="P254" s="71" t="n"/>
      <c r="Q254" s="71" t="n"/>
      <c r="R254" s="71" t="n"/>
      <c r="S254" s="71" t="n"/>
      <c r="T254" s="71" t="n"/>
      <c r="U254" s="71" t="n"/>
      <c r="V254" s="71" t="n"/>
      <c r="W254" s="71" t="n"/>
      <c r="X254" s="71" t="n"/>
      <c r="Y254" s="71" t="n"/>
      <c r="Z254" s="71" t="n"/>
    </row>
    <row r="255" ht="15.75" customHeight="1">
      <c r="A255" s="71" t="n"/>
      <c r="B255" s="71" t="n"/>
      <c r="C255" s="71" t="n"/>
      <c r="D255" s="71" t="n"/>
      <c r="E255" s="71" t="n"/>
      <c r="F255" s="71" t="n"/>
      <c r="G255" s="71" t="n"/>
      <c r="H255" s="71" t="n"/>
      <c r="I255" s="71" t="n"/>
      <c r="J255" s="71" t="n"/>
      <c r="K255" s="71" t="n"/>
      <c r="L255" s="71" t="n"/>
      <c r="M255" s="71" t="n"/>
      <c r="N255" s="71" t="n"/>
      <c r="O255" s="71" t="n"/>
      <c r="P255" s="71" t="n"/>
      <c r="Q255" s="71" t="n"/>
      <c r="R255" s="71" t="n"/>
      <c r="S255" s="71" t="n"/>
      <c r="T255" s="71" t="n"/>
      <c r="U255" s="71" t="n"/>
      <c r="V255" s="71" t="n"/>
      <c r="W255" s="71" t="n"/>
      <c r="X255" s="71" t="n"/>
      <c r="Y255" s="71" t="n"/>
      <c r="Z255" s="71" t="n"/>
    </row>
    <row r="256" ht="15.75" customHeight="1">
      <c r="A256" s="71" t="n"/>
      <c r="B256" s="71" t="n"/>
      <c r="C256" s="71" t="n"/>
      <c r="D256" s="71" t="n"/>
      <c r="E256" s="71" t="n"/>
      <c r="F256" s="71" t="n"/>
      <c r="G256" s="71" t="n"/>
      <c r="H256" s="71" t="n"/>
      <c r="I256" s="71" t="n"/>
      <c r="J256" s="71" t="n"/>
      <c r="K256" s="71" t="n"/>
      <c r="L256" s="71" t="n"/>
      <c r="M256" s="71" t="n"/>
      <c r="N256" s="71" t="n"/>
      <c r="O256" s="71" t="n"/>
      <c r="P256" s="71" t="n"/>
      <c r="Q256" s="71" t="n"/>
      <c r="R256" s="71" t="n"/>
      <c r="S256" s="71" t="n"/>
      <c r="T256" s="71" t="n"/>
      <c r="U256" s="71" t="n"/>
      <c r="V256" s="71" t="n"/>
      <c r="W256" s="71" t="n"/>
      <c r="X256" s="71" t="n"/>
      <c r="Y256" s="71" t="n"/>
      <c r="Z256" s="71" t="n"/>
    </row>
    <row r="257" ht="15.75" customHeight="1">
      <c r="A257" s="71" t="n"/>
      <c r="B257" s="71" t="n"/>
      <c r="C257" s="71" t="n"/>
      <c r="D257" s="71" t="n"/>
      <c r="E257" s="71" t="n"/>
      <c r="F257" s="71" t="n"/>
      <c r="G257" s="71" t="n"/>
      <c r="H257" s="71" t="n"/>
      <c r="I257" s="71" t="n"/>
      <c r="J257" s="71" t="n"/>
      <c r="K257" s="71" t="n"/>
      <c r="L257" s="71" t="n"/>
      <c r="M257" s="71" t="n"/>
      <c r="N257" s="71" t="n"/>
      <c r="O257" s="71" t="n"/>
      <c r="P257" s="71" t="n"/>
      <c r="Q257" s="71" t="n"/>
      <c r="R257" s="71" t="n"/>
      <c r="S257" s="71" t="n"/>
      <c r="T257" s="71" t="n"/>
      <c r="U257" s="71" t="n"/>
      <c r="V257" s="71" t="n"/>
      <c r="W257" s="71" t="n"/>
      <c r="X257" s="71" t="n"/>
      <c r="Y257" s="71" t="n"/>
      <c r="Z257" s="71" t="n"/>
    </row>
    <row r="258" ht="15.75" customHeight="1">
      <c r="A258" s="71" t="n"/>
      <c r="B258" s="71" t="n"/>
      <c r="C258" s="71" t="n"/>
      <c r="D258" s="71" t="n"/>
      <c r="E258" s="71" t="n"/>
      <c r="F258" s="71" t="n"/>
      <c r="G258" s="71" t="n"/>
      <c r="H258" s="71" t="n"/>
      <c r="I258" s="71" t="n"/>
      <c r="J258" s="71" t="n"/>
      <c r="K258" s="71" t="n"/>
      <c r="L258" s="71" t="n"/>
      <c r="M258" s="71" t="n"/>
      <c r="N258" s="71" t="n"/>
      <c r="O258" s="71" t="n"/>
      <c r="P258" s="71" t="n"/>
      <c r="Q258" s="71" t="n"/>
      <c r="R258" s="71" t="n"/>
      <c r="S258" s="71" t="n"/>
      <c r="T258" s="71" t="n"/>
      <c r="U258" s="71" t="n"/>
      <c r="V258" s="71" t="n"/>
      <c r="W258" s="71" t="n"/>
      <c r="X258" s="71" t="n"/>
      <c r="Y258" s="71" t="n"/>
      <c r="Z258" s="71" t="n"/>
    </row>
    <row r="259" ht="15.75" customHeight="1">
      <c r="A259" s="71" t="n"/>
      <c r="B259" s="71" t="n"/>
      <c r="C259" s="71" t="n"/>
      <c r="D259" s="71" t="n"/>
      <c r="E259" s="71" t="n"/>
      <c r="F259" s="71" t="n"/>
      <c r="G259" s="71" t="n"/>
      <c r="H259" s="71" t="n"/>
      <c r="I259" s="71" t="n"/>
      <c r="J259" s="71" t="n"/>
      <c r="K259" s="71" t="n"/>
      <c r="L259" s="71" t="n"/>
      <c r="M259" s="71" t="n"/>
      <c r="N259" s="71" t="n"/>
      <c r="O259" s="71" t="n"/>
      <c r="P259" s="71" t="n"/>
      <c r="Q259" s="71" t="n"/>
      <c r="R259" s="71" t="n"/>
      <c r="S259" s="71" t="n"/>
      <c r="T259" s="71" t="n"/>
      <c r="U259" s="71" t="n"/>
      <c r="V259" s="71" t="n"/>
      <c r="W259" s="71" t="n"/>
      <c r="X259" s="71" t="n"/>
      <c r="Y259" s="71" t="n"/>
      <c r="Z259" s="71" t="n"/>
    </row>
    <row r="260" ht="15.75" customHeight="1">
      <c r="A260" s="71" t="n"/>
      <c r="B260" s="71" t="n"/>
      <c r="C260" s="71" t="n"/>
      <c r="D260" s="71" t="n"/>
      <c r="E260" s="71" t="n"/>
      <c r="F260" s="71" t="n"/>
      <c r="G260" s="71" t="n"/>
      <c r="H260" s="71" t="n"/>
      <c r="I260" s="71" t="n"/>
      <c r="J260" s="71" t="n"/>
      <c r="K260" s="71" t="n"/>
      <c r="L260" s="71" t="n"/>
      <c r="M260" s="71" t="n"/>
      <c r="N260" s="71" t="n"/>
      <c r="O260" s="71" t="n"/>
      <c r="P260" s="71" t="n"/>
      <c r="Q260" s="71" t="n"/>
      <c r="R260" s="71" t="n"/>
      <c r="S260" s="71" t="n"/>
      <c r="T260" s="71" t="n"/>
      <c r="U260" s="71" t="n"/>
      <c r="V260" s="71" t="n"/>
      <c r="W260" s="71" t="n"/>
      <c r="X260" s="71" t="n"/>
      <c r="Y260" s="71" t="n"/>
      <c r="Z260" s="71" t="n"/>
    </row>
    <row r="261" ht="15.75" customHeight="1">
      <c r="A261" s="71" t="n"/>
      <c r="B261" s="71" t="n"/>
      <c r="C261" s="71" t="n"/>
      <c r="D261" s="71" t="n"/>
      <c r="E261" s="71" t="n"/>
      <c r="F261" s="71" t="n"/>
      <c r="G261" s="71" t="n"/>
      <c r="H261" s="71" t="n"/>
      <c r="I261" s="71" t="n"/>
      <c r="J261" s="71" t="n"/>
      <c r="K261" s="71" t="n"/>
      <c r="L261" s="71" t="n"/>
      <c r="M261" s="71" t="n"/>
      <c r="N261" s="71" t="n"/>
      <c r="O261" s="71" t="n"/>
      <c r="P261" s="71" t="n"/>
      <c r="Q261" s="71" t="n"/>
      <c r="R261" s="71" t="n"/>
      <c r="S261" s="71" t="n"/>
      <c r="T261" s="71" t="n"/>
      <c r="U261" s="71" t="n"/>
      <c r="V261" s="71" t="n"/>
      <c r="W261" s="71" t="n"/>
      <c r="X261" s="71" t="n"/>
      <c r="Y261" s="71" t="n"/>
      <c r="Z261" s="71" t="n"/>
    </row>
    <row r="262" ht="15.75" customHeight="1">
      <c r="A262" s="71" t="n"/>
      <c r="B262" s="71" t="n"/>
      <c r="C262" s="71" t="n"/>
      <c r="D262" s="71" t="n"/>
      <c r="E262" s="71" t="n"/>
      <c r="F262" s="71" t="n"/>
      <c r="G262" s="71" t="n"/>
      <c r="H262" s="71" t="n"/>
      <c r="I262" s="71" t="n"/>
      <c r="J262" s="71" t="n"/>
      <c r="K262" s="71" t="n"/>
      <c r="L262" s="71" t="n"/>
      <c r="M262" s="71" t="n"/>
      <c r="N262" s="71" t="n"/>
      <c r="O262" s="71" t="n"/>
      <c r="P262" s="71" t="n"/>
      <c r="Q262" s="71" t="n"/>
      <c r="R262" s="71" t="n"/>
      <c r="S262" s="71" t="n"/>
      <c r="T262" s="71" t="n"/>
      <c r="U262" s="71" t="n"/>
      <c r="V262" s="71" t="n"/>
      <c r="W262" s="71" t="n"/>
      <c r="X262" s="71" t="n"/>
      <c r="Y262" s="71" t="n"/>
      <c r="Z262" s="71" t="n"/>
    </row>
    <row r="263" ht="15.75" customHeight="1">
      <c r="A263" s="71" t="n"/>
      <c r="B263" s="71" t="n"/>
      <c r="C263" s="71" t="n"/>
      <c r="D263" s="71" t="n"/>
      <c r="E263" s="71" t="n"/>
      <c r="F263" s="71" t="n"/>
      <c r="G263" s="71" t="n"/>
      <c r="H263" s="71" t="n"/>
      <c r="I263" s="71" t="n"/>
      <c r="J263" s="71" t="n"/>
      <c r="K263" s="71" t="n"/>
      <c r="L263" s="71" t="n"/>
      <c r="M263" s="71" t="n"/>
      <c r="N263" s="71" t="n"/>
      <c r="O263" s="71" t="n"/>
      <c r="P263" s="71" t="n"/>
      <c r="Q263" s="71" t="n"/>
      <c r="R263" s="71" t="n"/>
      <c r="S263" s="71" t="n"/>
      <c r="T263" s="71" t="n"/>
      <c r="U263" s="71" t="n"/>
      <c r="V263" s="71" t="n"/>
      <c r="W263" s="71" t="n"/>
      <c r="X263" s="71" t="n"/>
      <c r="Y263" s="71" t="n"/>
      <c r="Z263" s="71" t="n"/>
    </row>
    <row r="264" ht="15.75" customHeight="1">
      <c r="A264" s="71" t="n"/>
      <c r="B264" s="71" t="n"/>
      <c r="C264" s="71" t="n"/>
      <c r="D264" s="71" t="n"/>
      <c r="E264" s="71" t="n"/>
      <c r="F264" s="71" t="n"/>
      <c r="G264" s="71" t="n"/>
      <c r="H264" s="71" t="n"/>
      <c r="I264" s="71" t="n"/>
      <c r="J264" s="71" t="n"/>
      <c r="K264" s="71" t="n"/>
      <c r="L264" s="71" t="n"/>
      <c r="M264" s="71" t="n"/>
      <c r="N264" s="71" t="n"/>
      <c r="O264" s="71" t="n"/>
      <c r="P264" s="71" t="n"/>
      <c r="Q264" s="71" t="n"/>
      <c r="R264" s="71" t="n"/>
      <c r="S264" s="71" t="n"/>
      <c r="T264" s="71" t="n"/>
      <c r="U264" s="71" t="n"/>
      <c r="V264" s="71" t="n"/>
      <c r="W264" s="71" t="n"/>
      <c r="X264" s="71" t="n"/>
      <c r="Y264" s="71" t="n"/>
      <c r="Z264" s="71" t="n"/>
    </row>
    <row r="265" ht="15.75" customHeight="1">
      <c r="A265" s="71" t="n"/>
      <c r="B265" s="71" t="n"/>
      <c r="C265" s="71" t="n"/>
      <c r="D265" s="71" t="n"/>
      <c r="E265" s="71" t="n"/>
      <c r="F265" s="71" t="n"/>
      <c r="G265" s="71" t="n"/>
      <c r="H265" s="71" t="n"/>
      <c r="I265" s="71" t="n"/>
      <c r="J265" s="71" t="n"/>
      <c r="K265" s="71" t="n"/>
      <c r="L265" s="71" t="n"/>
      <c r="M265" s="71" t="n"/>
      <c r="N265" s="71" t="n"/>
      <c r="O265" s="71" t="n"/>
      <c r="P265" s="71" t="n"/>
      <c r="Q265" s="71" t="n"/>
      <c r="R265" s="71" t="n"/>
      <c r="S265" s="71" t="n"/>
      <c r="T265" s="71" t="n"/>
      <c r="U265" s="71" t="n"/>
      <c r="V265" s="71" t="n"/>
      <c r="W265" s="71" t="n"/>
      <c r="X265" s="71" t="n"/>
      <c r="Y265" s="71" t="n"/>
      <c r="Z265" s="71" t="n"/>
    </row>
    <row r="266" ht="15.75" customHeight="1">
      <c r="A266" s="71" t="n"/>
      <c r="B266" s="71" t="n"/>
      <c r="C266" s="71" t="n"/>
      <c r="D266" s="71" t="n"/>
      <c r="E266" s="71" t="n"/>
      <c r="F266" s="71" t="n"/>
      <c r="G266" s="71" t="n"/>
      <c r="H266" s="71" t="n"/>
      <c r="I266" s="71" t="n"/>
      <c r="J266" s="71" t="n"/>
      <c r="K266" s="71" t="n"/>
      <c r="L266" s="71" t="n"/>
      <c r="M266" s="71" t="n"/>
      <c r="N266" s="71" t="n"/>
      <c r="O266" s="71" t="n"/>
      <c r="P266" s="71" t="n"/>
      <c r="Q266" s="71" t="n"/>
      <c r="R266" s="71" t="n"/>
      <c r="S266" s="71" t="n"/>
      <c r="T266" s="71" t="n"/>
      <c r="U266" s="71" t="n"/>
      <c r="V266" s="71" t="n"/>
      <c r="W266" s="71" t="n"/>
      <c r="X266" s="71" t="n"/>
      <c r="Y266" s="71" t="n"/>
      <c r="Z266" s="71" t="n"/>
    </row>
    <row r="267" ht="15.75" customHeight="1">
      <c r="A267" s="71" t="n"/>
      <c r="B267" s="71" t="n"/>
      <c r="C267" s="71" t="n"/>
      <c r="D267" s="71" t="n"/>
      <c r="E267" s="71" t="n"/>
      <c r="F267" s="71" t="n"/>
      <c r="G267" s="71" t="n"/>
      <c r="H267" s="71" t="n"/>
      <c r="I267" s="71" t="n"/>
      <c r="J267" s="71" t="n"/>
      <c r="K267" s="71" t="n"/>
      <c r="L267" s="71" t="n"/>
      <c r="M267" s="71" t="n"/>
      <c r="N267" s="71" t="n"/>
      <c r="O267" s="71" t="n"/>
      <c r="P267" s="71" t="n"/>
      <c r="Q267" s="71" t="n"/>
      <c r="R267" s="71" t="n"/>
      <c r="S267" s="71" t="n"/>
      <c r="T267" s="71" t="n"/>
      <c r="U267" s="71" t="n"/>
      <c r="V267" s="71" t="n"/>
      <c r="W267" s="71" t="n"/>
      <c r="X267" s="71" t="n"/>
      <c r="Y267" s="71" t="n"/>
      <c r="Z267" s="71" t="n"/>
    </row>
    <row r="268" ht="15.75" customHeight="1">
      <c r="A268" s="71" t="n"/>
      <c r="B268" s="71" t="n"/>
      <c r="C268" s="71" t="n"/>
      <c r="D268" s="71" t="n"/>
      <c r="E268" s="71" t="n"/>
      <c r="F268" s="71" t="n"/>
      <c r="G268" s="71" t="n"/>
      <c r="H268" s="71" t="n"/>
      <c r="I268" s="71" t="n"/>
      <c r="J268" s="71" t="n"/>
      <c r="K268" s="71" t="n"/>
      <c r="L268" s="71" t="n"/>
      <c r="M268" s="71" t="n"/>
      <c r="N268" s="71" t="n"/>
      <c r="O268" s="71" t="n"/>
      <c r="P268" s="71" t="n"/>
      <c r="Q268" s="71" t="n"/>
      <c r="R268" s="71" t="n"/>
      <c r="S268" s="71" t="n"/>
      <c r="T268" s="71" t="n"/>
      <c r="U268" s="71" t="n"/>
      <c r="V268" s="71" t="n"/>
      <c r="W268" s="71" t="n"/>
      <c r="X268" s="71" t="n"/>
      <c r="Y268" s="71" t="n"/>
      <c r="Z268" s="71" t="n"/>
    </row>
    <row r="269" ht="15.75" customHeight="1">
      <c r="A269" s="71" t="n"/>
      <c r="B269" s="71" t="n"/>
      <c r="C269" s="71" t="n"/>
      <c r="D269" s="71" t="n"/>
      <c r="E269" s="71" t="n"/>
      <c r="F269" s="71" t="n"/>
      <c r="G269" s="71" t="n"/>
      <c r="H269" s="71" t="n"/>
      <c r="I269" s="71" t="n"/>
      <c r="J269" s="71" t="n"/>
      <c r="K269" s="71" t="n"/>
      <c r="L269" s="71" t="n"/>
      <c r="M269" s="71" t="n"/>
      <c r="N269" s="71" t="n"/>
      <c r="O269" s="71" t="n"/>
      <c r="P269" s="71" t="n"/>
      <c r="Q269" s="71" t="n"/>
      <c r="R269" s="71" t="n"/>
      <c r="S269" s="71" t="n"/>
      <c r="T269" s="71" t="n"/>
      <c r="U269" s="71" t="n"/>
      <c r="V269" s="71" t="n"/>
      <c r="W269" s="71" t="n"/>
      <c r="X269" s="71" t="n"/>
      <c r="Y269" s="71" t="n"/>
      <c r="Z269" s="71" t="n"/>
    </row>
    <row r="270" ht="15.75" customHeight="1">
      <c r="A270" s="71" t="n"/>
      <c r="B270" s="71" t="n"/>
      <c r="C270" s="71" t="n"/>
      <c r="D270" s="71" t="n"/>
      <c r="E270" s="71" t="n"/>
      <c r="F270" s="71" t="n"/>
      <c r="G270" s="71" t="n"/>
      <c r="H270" s="71" t="n"/>
      <c r="I270" s="71" t="n"/>
      <c r="J270" s="71" t="n"/>
      <c r="K270" s="71" t="n"/>
      <c r="L270" s="71" t="n"/>
      <c r="M270" s="71" t="n"/>
      <c r="N270" s="71" t="n"/>
      <c r="O270" s="71" t="n"/>
      <c r="P270" s="71" t="n"/>
      <c r="Q270" s="71" t="n"/>
      <c r="R270" s="71" t="n"/>
      <c r="S270" s="71" t="n"/>
      <c r="T270" s="71" t="n"/>
      <c r="U270" s="71" t="n"/>
      <c r="V270" s="71" t="n"/>
      <c r="W270" s="71" t="n"/>
      <c r="X270" s="71" t="n"/>
      <c r="Y270" s="71" t="n"/>
      <c r="Z270" s="71" t="n"/>
    </row>
    <row r="271" ht="15.75" customHeight="1">
      <c r="A271" s="71" t="n"/>
      <c r="B271" s="71" t="n"/>
      <c r="C271" s="71" t="n"/>
      <c r="D271" s="71" t="n"/>
      <c r="E271" s="71" t="n"/>
      <c r="F271" s="71" t="n"/>
      <c r="G271" s="71" t="n"/>
      <c r="H271" s="71" t="n"/>
      <c r="I271" s="71" t="n"/>
      <c r="J271" s="71" t="n"/>
      <c r="K271" s="71" t="n"/>
      <c r="L271" s="71" t="n"/>
      <c r="M271" s="71" t="n"/>
      <c r="N271" s="71" t="n"/>
      <c r="O271" s="71" t="n"/>
      <c r="P271" s="71" t="n"/>
      <c r="Q271" s="71" t="n"/>
      <c r="R271" s="71" t="n"/>
      <c r="S271" s="71" t="n"/>
      <c r="T271" s="71" t="n"/>
      <c r="U271" s="71" t="n"/>
      <c r="V271" s="71" t="n"/>
      <c r="W271" s="71" t="n"/>
      <c r="X271" s="71" t="n"/>
      <c r="Y271" s="71" t="n"/>
      <c r="Z271" s="71" t="n"/>
    </row>
    <row r="272" ht="15.75" customHeight="1">
      <c r="A272" s="71" t="n"/>
      <c r="B272" s="71" t="n"/>
      <c r="C272" s="71" t="n"/>
      <c r="D272" s="71" t="n"/>
      <c r="E272" s="71" t="n"/>
      <c r="F272" s="71" t="n"/>
      <c r="G272" s="71" t="n"/>
      <c r="H272" s="71" t="n"/>
      <c r="I272" s="71" t="n"/>
      <c r="J272" s="71" t="n"/>
      <c r="K272" s="71" t="n"/>
      <c r="L272" s="71" t="n"/>
      <c r="M272" s="71" t="n"/>
      <c r="N272" s="71" t="n"/>
      <c r="O272" s="71" t="n"/>
      <c r="P272" s="71" t="n"/>
      <c r="Q272" s="71" t="n"/>
      <c r="R272" s="71" t="n"/>
      <c r="S272" s="71" t="n"/>
      <c r="T272" s="71" t="n"/>
      <c r="U272" s="71" t="n"/>
      <c r="V272" s="71" t="n"/>
      <c r="W272" s="71" t="n"/>
      <c r="X272" s="71" t="n"/>
      <c r="Y272" s="71" t="n"/>
      <c r="Z272" s="71" t="n"/>
    </row>
    <row r="273" ht="15.75" customHeight="1">
      <c r="A273" s="71" t="n"/>
      <c r="B273" s="71" t="n"/>
      <c r="C273" s="71" t="n"/>
      <c r="D273" s="71" t="n"/>
      <c r="E273" s="71" t="n"/>
      <c r="F273" s="71" t="n"/>
      <c r="G273" s="71" t="n"/>
      <c r="H273" s="71" t="n"/>
      <c r="I273" s="71" t="n"/>
      <c r="J273" s="71" t="n"/>
      <c r="K273" s="71" t="n"/>
      <c r="L273" s="71" t="n"/>
      <c r="M273" s="71" t="n"/>
      <c r="N273" s="71" t="n"/>
      <c r="O273" s="71" t="n"/>
      <c r="P273" s="71" t="n"/>
      <c r="Q273" s="71" t="n"/>
      <c r="R273" s="71" t="n"/>
      <c r="S273" s="71" t="n"/>
      <c r="T273" s="71" t="n"/>
      <c r="U273" s="71" t="n"/>
      <c r="V273" s="71" t="n"/>
      <c r="W273" s="71" t="n"/>
      <c r="X273" s="71" t="n"/>
      <c r="Y273" s="71" t="n"/>
      <c r="Z273" s="71" t="n"/>
    </row>
    <row r="274" ht="15.75" customHeight="1">
      <c r="A274" s="71" t="n"/>
      <c r="B274" s="71" t="n"/>
      <c r="C274" s="71" t="n"/>
      <c r="D274" s="71" t="n"/>
      <c r="E274" s="71" t="n"/>
      <c r="F274" s="71" t="n"/>
      <c r="G274" s="71" t="n"/>
      <c r="H274" s="71" t="n"/>
      <c r="I274" s="71" t="n"/>
      <c r="J274" s="71" t="n"/>
      <c r="K274" s="71" t="n"/>
      <c r="L274" s="71" t="n"/>
      <c r="M274" s="71" t="n"/>
      <c r="N274" s="71" t="n"/>
      <c r="O274" s="71" t="n"/>
      <c r="P274" s="71" t="n"/>
      <c r="Q274" s="71" t="n"/>
      <c r="R274" s="71" t="n"/>
      <c r="S274" s="71" t="n"/>
      <c r="T274" s="71" t="n"/>
      <c r="U274" s="71" t="n"/>
      <c r="V274" s="71" t="n"/>
      <c r="W274" s="71" t="n"/>
      <c r="X274" s="71" t="n"/>
      <c r="Y274" s="71" t="n"/>
      <c r="Z274" s="71" t="n"/>
    </row>
    <row r="275" ht="15.75" customHeight="1">
      <c r="A275" s="71" t="n"/>
      <c r="B275" s="71" t="n"/>
      <c r="C275" s="71" t="n"/>
      <c r="D275" s="71" t="n"/>
      <c r="E275" s="71" t="n"/>
      <c r="F275" s="71" t="n"/>
      <c r="G275" s="71" t="n"/>
      <c r="H275" s="71" t="n"/>
      <c r="I275" s="71" t="n"/>
      <c r="J275" s="71" t="n"/>
      <c r="K275" s="71" t="n"/>
      <c r="L275" s="71" t="n"/>
      <c r="M275" s="71" t="n"/>
      <c r="N275" s="71" t="n"/>
      <c r="O275" s="71" t="n"/>
      <c r="P275" s="71" t="n"/>
      <c r="Q275" s="71" t="n"/>
      <c r="R275" s="71" t="n"/>
      <c r="S275" s="71" t="n"/>
      <c r="T275" s="71" t="n"/>
      <c r="U275" s="71" t="n"/>
      <c r="V275" s="71" t="n"/>
      <c r="W275" s="71" t="n"/>
      <c r="X275" s="71" t="n"/>
      <c r="Y275" s="71" t="n"/>
      <c r="Z275" s="71" t="n"/>
    </row>
    <row r="276" ht="15.75" customHeight="1">
      <c r="A276" s="71" t="n"/>
      <c r="B276" s="71" t="n"/>
      <c r="C276" s="71" t="n"/>
      <c r="D276" s="71" t="n"/>
      <c r="E276" s="71" t="n"/>
      <c r="F276" s="71" t="n"/>
      <c r="G276" s="71" t="n"/>
      <c r="H276" s="71" t="n"/>
      <c r="I276" s="71" t="n"/>
      <c r="J276" s="71" t="n"/>
      <c r="K276" s="71" t="n"/>
      <c r="L276" s="71" t="n"/>
      <c r="M276" s="71" t="n"/>
      <c r="N276" s="71" t="n"/>
      <c r="O276" s="71" t="n"/>
      <c r="P276" s="71" t="n"/>
      <c r="Q276" s="71" t="n"/>
      <c r="R276" s="71" t="n"/>
      <c r="S276" s="71" t="n"/>
      <c r="T276" s="71" t="n"/>
      <c r="U276" s="71" t="n"/>
      <c r="V276" s="71" t="n"/>
      <c r="W276" s="71" t="n"/>
      <c r="X276" s="71" t="n"/>
      <c r="Y276" s="71" t="n"/>
      <c r="Z276" s="71" t="n"/>
    </row>
    <row r="277" ht="15.75" customHeight="1">
      <c r="A277" s="71" t="n"/>
      <c r="B277" s="71" t="n"/>
      <c r="C277" s="71" t="n"/>
      <c r="D277" s="71" t="n"/>
      <c r="E277" s="71" t="n"/>
      <c r="F277" s="71" t="n"/>
      <c r="G277" s="71" t="n"/>
      <c r="H277" s="71" t="n"/>
      <c r="I277" s="71" t="n"/>
      <c r="J277" s="71" t="n"/>
      <c r="K277" s="71" t="n"/>
      <c r="L277" s="71" t="n"/>
      <c r="M277" s="71" t="n"/>
      <c r="N277" s="71" t="n"/>
      <c r="O277" s="71" t="n"/>
      <c r="P277" s="71" t="n"/>
      <c r="Q277" s="71" t="n"/>
      <c r="R277" s="71" t="n"/>
      <c r="S277" s="71" t="n"/>
      <c r="T277" s="71" t="n"/>
      <c r="U277" s="71" t="n"/>
      <c r="V277" s="71" t="n"/>
      <c r="W277" s="71" t="n"/>
      <c r="X277" s="71" t="n"/>
      <c r="Y277" s="71" t="n"/>
      <c r="Z277" s="71" t="n"/>
    </row>
    <row r="278" ht="15.75" customHeight="1">
      <c r="A278" s="71" t="n"/>
      <c r="B278" s="71" t="n"/>
      <c r="C278" s="71" t="n"/>
      <c r="D278" s="71" t="n"/>
      <c r="E278" s="71" t="n"/>
      <c r="F278" s="71" t="n"/>
      <c r="G278" s="71" t="n"/>
      <c r="H278" s="71" t="n"/>
      <c r="I278" s="71" t="n"/>
      <c r="J278" s="71" t="n"/>
      <c r="K278" s="71" t="n"/>
      <c r="L278" s="71" t="n"/>
      <c r="M278" s="71" t="n"/>
      <c r="N278" s="71" t="n"/>
      <c r="O278" s="71" t="n"/>
      <c r="P278" s="71" t="n"/>
      <c r="Q278" s="71" t="n"/>
      <c r="R278" s="71" t="n"/>
      <c r="S278" s="71" t="n"/>
      <c r="T278" s="71" t="n"/>
      <c r="U278" s="71" t="n"/>
      <c r="V278" s="71" t="n"/>
      <c r="W278" s="71" t="n"/>
      <c r="X278" s="71" t="n"/>
      <c r="Y278" s="71" t="n"/>
      <c r="Z278" s="71" t="n"/>
    </row>
    <row r="279" ht="15.75" customHeight="1">
      <c r="A279" s="71" t="n"/>
      <c r="B279" s="71" t="n"/>
      <c r="C279" s="71" t="n"/>
      <c r="D279" s="71" t="n"/>
      <c r="E279" s="71" t="n"/>
      <c r="F279" s="71" t="n"/>
      <c r="G279" s="71" t="n"/>
      <c r="H279" s="71" t="n"/>
      <c r="I279" s="71" t="n"/>
      <c r="J279" s="71" t="n"/>
      <c r="K279" s="71" t="n"/>
      <c r="L279" s="71" t="n"/>
      <c r="M279" s="71" t="n"/>
      <c r="N279" s="71" t="n"/>
      <c r="O279" s="71" t="n"/>
      <c r="P279" s="71" t="n"/>
      <c r="Q279" s="71" t="n"/>
      <c r="R279" s="71" t="n"/>
      <c r="S279" s="71" t="n"/>
      <c r="T279" s="71" t="n"/>
      <c r="U279" s="71" t="n"/>
      <c r="V279" s="71" t="n"/>
      <c r="W279" s="71" t="n"/>
      <c r="X279" s="71" t="n"/>
      <c r="Y279" s="71" t="n"/>
      <c r="Z279" s="71" t="n"/>
    </row>
    <row r="280" ht="15.75" customHeight="1">
      <c r="A280" s="71" t="n"/>
      <c r="B280" s="71" t="n"/>
      <c r="C280" s="71" t="n"/>
      <c r="D280" s="71" t="n"/>
      <c r="E280" s="71" t="n"/>
      <c r="F280" s="71" t="n"/>
      <c r="G280" s="71" t="n"/>
      <c r="H280" s="71" t="n"/>
      <c r="I280" s="71" t="n"/>
      <c r="J280" s="71" t="n"/>
      <c r="K280" s="71" t="n"/>
      <c r="L280" s="71" t="n"/>
      <c r="M280" s="71" t="n"/>
      <c r="N280" s="71" t="n"/>
      <c r="O280" s="71" t="n"/>
      <c r="P280" s="71" t="n"/>
      <c r="Q280" s="71" t="n"/>
      <c r="R280" s="71" t="n"/>
      <c r="S280" s="71" t="n"/>
      <c r="T280" s="71" t="n"/>
      <c r="U280" s="71" t="n"/>
      <c r="V280" s="71" t="n"/>
      <c r="W280" s="71" t="n"/>
      <c r="X280" s="71" t="n"/>
      <c r="Y280" s="71" t="n"/>
      <c r="Z280" s="71" t="n"/>
    </row>
    <row r="281" ht="15.75" customHeight="1">
      <c r="A281" s="71" t="n"/>
      <c r="B281" s="71" t="n"/>
      <c r="C281" s="71" t="n"/>
      <c r="D281" s="71" t="n"/>
      <c r="E281" s="71" t="n"/>
      <c r="F281" s="71" t="n"/>
      <c r="G281" s="71" t="n"/>
      <c r="H281" s="71" t="n"/>
      <c r="I281" s="71" t="n"/>
      <c r="J281" s="71" t="n"/>
      <c r="K281" s="71" t="n"/>
      <c r="L281" s="71" t="n"/>
      <c r="M281" s="71" t="n"/>
      <c r="N281" s="71" t="n"/>
      <c r="O281" s="71" t="n"/>
      <c r="P281" s="71" t="n"/>
      <c r="Q281" s="71" t="n"/>
      <c r="R281" s="71" t="n"/>
      <c r="S281" s="71" t="n"/>
      <c r="T281" s="71" t="n"/>
      <c r="U281" s="71" t="n"/>
      <c r="V281" s="71" t="n"/>
      <c r="W281" s="71" t="n"/>
      <c r="X281" s="71" t="n"/>
      <c r="Y281" s="71" t="n"/>
      <c r="Z281" s="71" t="n"/>
    </row>
    <row r="282" ht="15.75" customHeight="1">
      <c r="A282" s="71" t="n"/>
      <c r="B282" s="71" t="n"/>
      <c r="C282" s="71" t="n"/>
      <c r="D282" s="71" t="n"/>
      <c r="E282" s="71" t="n"/>
      <c r="F282" s="71" t="n"/>
      <c r="G282" s="71" t="n"/>
      <c r="H282" s="71" t="n"/>
      <c r="I282" s="71" t="n"/>
      <c r="J282" s="71" t="n"/>
      <c r="K282" s="71" t="n"/>
      <c r="L282" s="71" t="n"/>
      <c r="M282" s="71" t="n"/>
      <c r="N282" s="71" t="n"/>
      <c r="O282" s="71" t="n"/>
      <c r="P282" s="71" t="n"/>
      <c r="Q282" s="71" t="n"/>
      <c r="R282" s="71" t="n"/>
      <c r="S282" s="71" t="n"/>
      <c r="T282" s="71" t="n"/>
      <c r="U282" s="71" t="n"/>
      <c r="V282" s="71" t="n"/>
      <c r="W282" s="71" t="n"/>
      <c r="X282" s="71" t="n"/>
      <c r="Y282" s="71" t="n"/>
      <c r="Z282" s="71" t="n"/>
    </row>
    <row r="283" ht="15.75" customHeight="1">
      <c r="A283" s="71" t="n"/>
      <c r="B283" s="71" t="n"/>
      <c r="C283" s="71" t="n"/>
      <c r="D283" s="71" t="n"/>
      <c r="E283" s="71" t="n"/>
      <c r="F283" s="71" t="n"/>
      <c r="G283" s="71" t="n"/>
      <c r="H283" s="71" t="n"/>
      <c r="I283" s="71" t="n"/>
      <c r="J283" s="71" t="n"/>
      <c r="K283" s="71" t="n"/>
      <c r="L283" s="71" t="n"/>
      <c r="M283" s="71" t="n"/>
      <c r="N283" s="71" t="n"/>
      <c r="O283" s="71" t="n"/>
      <c r="P283" s="71" t="n"/>
      <c r="Q283" s="71" t="n"/>
      <c r="R283" s="71" t="n"/>
      <c r="S283" s="71" t="n"/>
      <c r="T283" s="71" t="n"/>
      <c r="U283" s="71" t="n"/>
      <c r="V283" s="71" t="n"/>
      <c r="W283" s="71" t="n"/>
      <c r="X283" s="71" t="n"/>
      <c r="Y283" s="71" t="n"/>
      <c r="Z283" s="71" t="n"/>
    </row>
    <row r="284" ht="15.75" customHeight="1">
      <c r="A284" s="71" t="n"/>
      <c r="B284" s="71" t="n"/>
      <c r="C284" s="71" t="n"/>
      <c r="D284" s="71" t="n"/>
      <c r="E284" s="71" t="n"/>
      <c r="F284" s="71" t="n"/>
      <c r="G284" s="71" t="n"/>
      <c r="H284" s="71" t="n"/>
      <c r="I284" s="71" t="n"/>
      <c r="J284" s="71" t="n"/>
      <c r="K284" s="71" t="n"/>
      <c r="L284" s="71" t="n"/>
      <c r="M284" s="71" t="n"/>
      <c r="N284" s="71" t="n"/>
      <c r="O284" s="71" t="n"/>
      <c r="P284" s="71" t="n"/>
      <c r="Q284" s="71" t="n"/>
      <c r="R284" s="71" t="n"/>
      <c r="S284" s="71" t="n"/>
      <c r="T284" s="71" t="n"/>
      <c r="U284" s="71" t="n"/>
      <c r="V284" s="71" t="n"/>
      <c r="W284" s="71" t="n"/>
      <c r="X284" s="71" t="n"/>
      <c r="Y284" s="71" t="n"/>
      <c r="Z284" s="71" t="n"/>
    </row>
    <row r="285" ht="15.75" customHeight="1">
      <c r="A285" s="71" t="n"/>
      <c r="B285" s="71" t="n"/>
      <c r="C285" s="71" t="n"/>
      <c r="D285" s="71" t="n"/>
      <c r="E285" s="71" t="n"/>
      <c r="F285" s="71" t="n"/>
      <c r="G285" s="71" t="n"/>
      <c r="H285" s="71" t="n"/>
      <c r="I285" s="71" t="n"/>
      <c r="J285" s="71" t="n"/>
      <c r="K285" s="71" t="n"/>
      <c r="L285" s="71" t="n"/>
      <c r="M285" s="71" t="n"/>
      <c r="N285" s="71" t="n"/>
      <c r="O285" s="71" t="n"/>
      <c r="P285" s="71" t="n"/>
      <c r="Q285" s="71" t="n"/>
      <c r="R285" s="71" t="n"/>
      <c r="S285" s="71" t="n"/>
      <c r="T285" s="71" t="n"/>
      <c r="U285" s="71" t="n"/>
      <c r="V285" s="71" t="n"/>
      <c r="W285" s="71" t="n"/>
      <c r="X285" s="71" t="n"/>
      <c r="Y285" s="71" t="n"/>
      <c r="Z285" s="71" t="n"/>
    </row>
    <row r="286" ht="15.75" customHeight="1">
      <c r="A286" s="71" t="n"/>
      <c r="B286" s="71" t="n"/>
      <c r="C286" s="71" t="n"/>
      <c r="D286" s="71" t="n"/>
      <c r="E286" s="71" t="n"/>
      <c r="F286" s="71" t="n"/>
      <c r="G286" s="71" t="n"/>
      <c r="H286" s="71" t="n"/>
      <c r="I286" s="71" t="n"/>
      <c r="J286" s="71" t="n"/>
      <c r="K286" s="71" t="n"/>
      <c r="L286" s="71" t="n"/>
      <c r="M286" s="71" t="n"/>
      <c r="N286" s="71" t="n"/>
      <c r="O286" s="71" t="n"/>
      <c r="P286" s="71" t="n"/>
      <c r="Q286" s="71" t="n"/>
      <c r="R286" s="71" t="n"/>
      <c r="S286" s="71" t="n"/>
      <c r="T286" s="71" t="n"/>
      <c r="U286" s="71" t="n"/>
      <c r="V286" s="71" t="n"/>
      <c r="W286" s="71" t="n"/>
      <c r="X286" s="71" t="n"/>
      <c r="Y286" s="71" t="n"/>
      <c r="Z286" s="71" t="n"/>
    </row>
    <row r="287" ht="15.75" customHeight="1">
      <c r="A287" s="71" t="n"/>
      <c r="B287" s="71" t="n"/>
      <c r="C287" s="71" t="n"/>
      <c r="D287" s="71" t="n"/>
      <c r="E287" s="71" t="n"/>
      <c r="F287" s="71" t="n"/>
      <c r="G287" s="71" t="n"/>
      <c r="H287" s="71" t="n"/>
      <c r="I287" s="71" t="n"/>
      <c r="J287" s="71" t="n"/>
      <c r="K287" s="71" t="n"/>
      <c r="L287" s="71" t="n"/>
      <c r="M287" s="71" t="n"/>
      <c r="N287" s="71" t="n"/>
      <c r="O287" s="71" t="n"/>
      <c r="P287" s="71" t="n"/>
      <c r="Q287" s="71" t="n"/>
      <c r="R287" s="71" t="n"/>
      <c r="S287" s="71" t="n"/>
      <c r="T287" s="71" t="n"/>
      <c r="U287" s="71" t="n"/>
      <c r="V287" s="71" t="n"/>
      <c r="W287" s="71" t="n"/>
      <c r="X287" s="71" t="n"/>
      <c r="Y287" s="71" t="n"/>
      <c r="Z287" s="71" t="n"/>
    </row>
    <row r="288" ht="15.75" customHeight="1">
      <c r="A288" s="71" t="n"/>
      <c r="B288" s="71" t="n"/>
      <c r="C288" s="71" t="n"/>
      <c r="D288" s="71" t="n"/>
      <c r="E288" s="71" t="n"/>
      <c r="F288" s="71" t="n"/>
      <c r="G288" s="71" t="n"/>
      <c r="H288" s="71" t="n"/>
      <c r="I288" s="71" t="n"/>
      <c r="J288" s="71" t="n"/>
      <c r="K288" s="71" t="n"/>
      <c r="L288" s="71" t="n"/>
      <c r="M288" s="71" t="n"/>
      <c r="N288" s="71" t="n"/>
      <c r="O288" s="71" t="n"/>
      <c r="P288" s="71" t="n"/>
      <c r="Q288" s="71" t="n"/>
      <c r="R288" s="71" t="n"/>
      <c r="S288" s="71" t="n"/>
      <c r="T288" s="71" t="n"/>
      <c r="U288" s="71" t="n"/>
      <c r="V288" s="71" t="n"/>
      <c r="W288" s="71" t="n"/>
      <c r="X288" s="71" t="n"/>
      <c r="Y288" s="71" t="n"/>
      <c r="Z288" s="71" t="n"/>
    </row>
    <row r="289" ht="15.75" customHeight="1">
      <c r="A289" s="71" t="n"/>
      <c r="B289" s="71" t="n"/>
      <c r="C289" s="71" t="n"/>
      <c r="D289" s="71" t="n"/>
      <c r="E289" s="71" t="n"/>
      <c r="F289" s="71" t="n"/>
      <c r="G289" s="71" t="n"/>
      <c r="H289" s="71" t="n"/>
      <c r="I289" s="71" t="n"/>
      <c r="J289" s="71" t="n"/>
      <c r="K289" s="71" t="n"/>
      <c r="L289" s="71" t="n"/>
      <c r="M289" s="71" t="n"/>
      <c r="N289" s="71" t="n"/>
      <c r="O289" s="71" t="n"/>
      <c r="P289" s="71" t="n"/>
      <c r="Q289" s="71" t="n"/>
      <c r="R289" s="71" t="n"/>
      <c r="S289" s="71" t="n"/>
      <c r="T289" s="71" t="n"/>
      <c r="U289" s="71" t="n"/>
      <c r="V289" s="71" t="n"/>
      <c r="W289" s="71" t="n"/>
      <c r="X289" s="71" t="n"/>
      <c r="Y289" s="71" t="n"/>
      <c r="Z289" s="71" t="n"/>
    </row>
    <row r="290" ht="15.75" customHeight="1">
      <c r="A290" s="71" t="n"/>
      <c r="B290" s="71" t="n"/>
      <c r="C290" s="71" t="n"/>
      <c r="D290" s="71" t="n"/>
      <c r="E290" s="71" t="n"/>
      <c r="F290" s="71" t="n"/>
      <c r="G290" s="71" t="n"/>
      <c r="H290" s="71" t="n"/>
      <c r="I290" s="71" t="n"/>
      <c r="J290" s="71" t="n"/>
      <c r="K290" s="71" t="n"/>
      <c r="L290" s="71" t="n"/>
      <c r="M290" s="71" t="n"/>
      <c r="N290" s="71" t="n"/>
      <c r="O290" s="71" t="n"/>
      <c r="P290" s="71" t="n"/>
      <c r="Q290" s="71" t="n"/>
      <c r="R290" s="71" t="n"/>
      <c r="S290" s="71" t="n"/>
      <c r="T290" s="71" t="n"/>
      <c r="U290" s="71" t="n"/>
      <c r="V290" s="71" t="n"/>
      <c r="W290" s="71" t="n"/>
      <c r="X290" s="71" t="n"/>
      <c r="Y290" s="71" t="n"/>
      <c r="Z290" s="71" t="n"/>
    </row>
    <row r="291" ht="15.75" customHeight="1">
      <c r="A291" s="71" t="n"/>
      <c r="B291" s="71" t="n"/>
      <c r="C291" s="71" t="n"/>
      <c r="D291" s="71" t="n"/>
      <c r="E291" s="71" t="n"/>
      <c r="F291" s="71" t="n"/>
      <c r="G291" s="71" t="n"/>
      <c r="H291" s="71" t="n"/>
      <c r="I291" s="71" t="n"/>
      <c r="J291" s="71" t="n"/>
      <c r="K291" s="71" t="n"/>
      <c r="L291" s="71" t="n"/>
      <c r="M291" s="71" t="n"/>
      <c r="N291" s="71" t="n"/>
      <c r="O291" s="71" t="n"/>
      <c r="P291" s="71" t="n"/>
      <c r="Q291" s="71" t="n"/>
      <c r="R291" s="71" t="n"/>
      <c r="S291" s="71" t="n"/>
      <c r="T291" s="71" t="n"/>
      <c r="U291" s="71" t="n"/>
      <c r="V291" s="71" t="n"/>
      <c r="W291" s="71" t="n"/>
      <c r="X291" s="71" t="n"/>
      <c r="Y291" s="71" t="n"/>
      <c r="Z291" s="71" t="n"/>
    </row>
    <row r="292" ht="15.75" customHeight="1">
      <c r="A292" s="71" t="n"/>
      <c r="B292" s="71" t="n"/>
      <c r="C292" s="71" t="n"/>
      <c r="D292" s="71" t="n"/>
      <c r="E292" s="71" t="n"/>
      <c r="F292" s="71" t="n"/>
      <c r="G292" s="71" t="n"/>
      <c r="H292" s="71" t="n"/>
      <c r="I292" s="71" t="n"/>
      <c r="J292" s="71" t="n"/>
      <c r="K292" s="71" t="n"/>
      <c r="L292" s="71" t="n"/>
      <c r="M292" s="71" t="n"/>
      <c r="N292" s="71" t="n"/>
      <c r="O292" s="71" t="n"/>
      <c r="P292" s="71" t="n"/>
      <c r="Q292" s="71" t="n"/>
      <c r="R292" s="71" t="n"/>
      <c r="S292" s="71" t="n"/>
      <c r="T292" s="71" t="n"/>
      <c r="U292" s="71" t="n"/>
      <c r="V292" s="71" t="n"/>
      <c r="W292" s="71" t="n"/>
      <c r="X292" s="71" t="n"/>
      <c r="Y292" s="71" t="n"/>
      <c r="Z292" s="71" t="n"/>
    </row>
    <row r="293" ht="15.75" customHeight="1">
      <c r="A293" s="71" t="n"/>
      <c r="B293" s="71" t="n"/>
      <c r="C293" s="71" t="n"/>
      <c r="D293" s="71" t="n"/>
      <c r="E293" s="71" t="n"/>
      <c r="F293" s="71" t="n"/>
      <c r="G293" s="71" t="n"/>
      <c r="H293" s="71" t="n"/>
      <c r="I293" s="71" t="n"/>
      <c r="J293" s="71" t="n"/>
      <c r="K293" s="71" t="n"/>
      <c r="L293" s="71" t="n"/>
      <c r="M293" s="71" t="n"/>
      <c r="N293" s="71" t="n"/>
      <c r="O293" s="71" t="n"/>
      <c r="P293" s="71" t="n"/>
      <c r="Q293" s="71" t="n"/>
      <c r="R293" s="71" t="n"/>
      <c r="S293" s="71" t="n"/>
      <c r="T293" s="71" t="n"/>
      <c r="U293" s="71" t="n"/>
      <c r="V293" s="71" t="n"/>
      <c r="W293" s="71" t="n"/>
      <c r="X293" s="71" t="n"/>
      <c r="Y293" s="71" t="n"/>
      <c r="Z293" s="71" t="n"/>
    </row>
    <row r="294" ht="15.75" customHeight="1">
      <c r="A294" s="71" t="n"/>
      <c r="B294" s="71" t="n"/>
      <c r="C294" s="71" t="n"/>
      <c r="D294" s="71" t="n"/>
      <c r="E294" s="71" t="n"/>
      <c r="F294" s="71" t="n"/>
      <c r="G294" s="71" t="n"/>
      <c r="H294" s="71" t="n"/>
      <c r="I294" s="71" t="n"/>
      <c r="J294" s="71" t="n"/>
      <c r="K294" s="71" t="n"/>
      <c r="L294" s="71" t="n"/>
      <c r="M294" s="71" t="n"/>
      <c r="N294" s="71" t="n"/>
      <c r="O294" s="71" t="n"/>
      <c r="P294" s="71" t="n"/>
      <c r="Q294" s="71" t="n"/>
      <c r="R294" s="71" t="n"/>
      <c r="S294" s="71" t="n"/>
      <c r="T294" s="71" t="n"/>
      <c r="U294" s="71" t="n"/>
      <c r="V294" s="71" t="n"/>
      <c r="W294" s="71" t="n"/>
      <c r="X294" s="71" t="n"/>
      <c r="Y294" s="71" t="n"/>
      <c r="Z294" s="71" t="n"/>
    </row>
    <row r="295" ht="15.75" customHeight="1">
      <c r="A295" s="71" t="n"/>
      <c r="B295" s="71" t="n"/>
      <c r="C295" s="71" t="n"/>
      <c r="D295" s="71" t="n"/>
      <c r="E295" s="71" t="n"/>
      <c r="F295" s="71" t="n"/>
      <c r="G295" s="71" t="n"/>
      <c r="H295" s="71" t="n"/>
      <c r="I295" s="71" t="n"/>
      <c r="J295" s="71" t="n"/>
      <c r="K295" s="71" t="n"/>
      <c r="L295" s="71" t="n"/>
      <c r="M295" s="71" t="n"/>
      <c r="N295" s="71" t="n"/>
      <c r="O295" s="71" t="n"/>
      <c r="P295" s="71" t="n"/>
      <c r="Q295" s="71" t="n"/>
      <c r="R295" s="71" t="n"/>
      <c r="S295" s="71" t="n"/>
      <c r="T295" s="71" t="n"/>
      <c r="U295" s="71" t="n"/>
      <c r="V295" s="71" t="n"/>
      <c r="W295" s="71" t="n"/>
      <c r="X295" s="71" t="n"/>
      <c r="Y295" s="71" t="n"/>
      <c r="Z295" s="71" t="n"/>
    </row>
    <row r="296" ht="15.75" customHeight="1">
      <c r="A296" s="71" t="n"/>
      <c r="B296" s="71" t="n"/>
      <c r="C296" s="71" t="n"/>
      <c r="D296" s="71" t="n"/>
      <c r="E296" s="71" t="n"/>
      <c r="F296" s="71" t="n"/>
      <c r="G296" s="71" t="n"/>
      <c r="H296" s="71" t="n"/>
      <c r="I296" s="71" t="n"/>
      <c r="J296" s="71" t="n"/>
      <c r="K296" s="71" t="n"/>
      <c r="L296" s="71" t="n"/>
      <c r="M296" s="71" t="n"/>
      <c r="N296" s="71" t="n"/>
      <c r="O296" s="71" t="n"/>
      <c r="P296" s="71" t="n"/>
      <c r="Q296" s="71" t="n"/>
      <c r="R296" s="71" t="n"/>
      <c r="S296" s="71" t="n"/>
      <c r="T296" s="71" t="n"/>
      <c r="U296" s="71" t="n"/>
      <c r="V296" s="71" t="n"/>
      <c r="W296" s="71" t="n"/>
      <c r="X296" s="71" t="n"/>
      <c r="Y296" s="71" t="n"/>
      <c r="Z296" s="71" t="n"/>
    </row>
    <row r="297" ht="15.75" customHeight="1">
      <c r="A297" s="71" t="n"/>
      <c r="B297" s="71" t="n"/>
      <c r="C297" s="71" t="n"/>
      <c r="D297" s="71" t="n"/>
      <c r="E297" s="71" t="n"/>
      <c r="F297" s="71" t="n"/>
      <c r="G297" s="71" t="n"/>
      <c r="H297" s="71" t="n"/>
      <c r="I297" s="71" t="n"/>
      <c r="J297" s="71" t="n"/>
      <c r="K297" s="71" t="n"/>
      <c r="L297" s="71" t="n"/>
      <c r="M297" s="71" t="n"/>
      <c r="N297" s="71" t="n"/>
      <c r="O297" s="71" t="n"/>
      <c r="P297" s="71" t="n"/>
      <c r="Q297" s="71" t="n"/>
      <c r="R297" s="71" t="n"/>
      <c r="S297" s="71" t="n"/>
      <c r="T297" s="71" t="n"/>
      <c r="U297" s="71" t="n"/>
      <c r="V297" s="71" t="n"/>
      <c r="W297" s="71" t="n"/>
      <c r="X297" s="71" t="n"/>
      <c r="Y297" s="71" t="n"/>
      <c r="Z297" s="71" t="n"/>
    </row>
    <row r="298" ht="15.75" customHeight="1">
      <c r="A298" s="71" t="n"/>
      <c r="B298" s="71" t="n"/>
      <c r="C298" s="71" t="n"/>
      <c r="D298" s="71" t="n"/>
      <c r="E298" s="71" t="n"/>
      <c r="F298" s="71" t="n"/>
      <c r="G298" s="71" t="n"/>
      <c r="H298" s="71" t="n"/>
      <c r="I298" s="71" t="n"/>
      <c r="J298" s="71" t="n"/>
      <c r="K298" s="71" t="n"/>
      <c r="L298" s="71" t="n"/>
      <c r="M298" s="71" t="n"/>
      <c r="N298" s="71" t="n"/>
      <c r="O298" s="71" t="n"/>
      <c r="P298" s="71" t="n"/>
      <c r="Q298" s="71" t="n"/>
      <c r="R298" s="71" t="n"/>
      <c r="S298" s="71" t="n"/>
      <c r="T298" s="71" t="n"/>
      <c r="U298" s="71" t="n"/>
      <c r="V298" s="71" t="n"/>
      <c r="W298" s="71" t="n"/>
      <c r="X298" s="71" t="n"/>
      <c r="Y298" s="71" t="n"/>
      <c r="Z298" s="71" t="n"/>
    </row>
    <row r="299" ht="15.75" customHeight="1">
      <c r="A299" s="71" t="n"/>
      <c r="B299" s="71" t="n"/>
      <c r="C299" s="71" t="n"/>
      <c r="D299" s="71" t="n"/>
      <c r="E299" s="71" t="n"/>
      <c r="F299" s="71" t="n"/>
      <c r="G299" s="71" t="n"/>
      <c r="H299" s="71" t="n"/>
      <c r="I299" s="71" t="n"/>
      <c r="J299" s="71" t="n"/>
      <c r="K299" s="71" t="n"/>
      <c r="L299" s="71" t="n"/>
      <c r="M299" s="71" t="n"/>
      <c r="N299" s="71" t="n"/>
      <c r="O299" s="71" t="n"/>
      <c r="P299" s="71" t="n"/>
      <c r="Q299" s="71" t="n"/>
      <c r="R299" s="71" t="n"/>
      <c r="S299" s="71" t="n"/>
      <c r="T299" s="71" t="n"/>
      <c r="U299" s="71" t="n"/>
      <c r="V299" s="71" t="n"/>
      <c r="W299" s="71" t="n"/>
      <c r="X299" s="71" t="n"/>
      <c r="Y299" s="71" t="n"/>
      <c r="Z299" s="71" t="n"/>
    </row>
    <row r="300" ht="15.75" customHeight="1">
      <c r="A300" s="71" t="n"/>
      <c r="B300" s="71" t="n"/>
      <c r="C300" s="71" t="n"/>
      <c r="D300" s="71" t="n"/>
      <c r="E300" s="71" t="n"/>
      <c r="F300" s="71" t="n"/>
      <c r="G300" s="71" t="n"/>
      <c r="H300" s="71" t="n"/>
      <c r="I300" s="71" t="n"/>
      <c r="J300" s="71" t="n"/>
      <c r="K300" s="71" t="n"/>
      <c r="L300" s="71" t="n"/>
      <c r="M300" s="71" t="n"/>
      <c r="N300" s="71" t="n"/>
      <c r="O300" s="71" t="n"/>
      <c r="P300" s="71" t="n"/>
      <c r="Q300" s="71" t="n"/>
      <c r="R300" s="71" t="n"/>
      <c r="S300" s="71" t="n"/>
      <c r="T300" s="71" t="n"/>
      <c r="U300" s="71" t="n"/>
      <c r="V300" s="71" t="n"/>
      <c r="W300" s="71" t="n"/>
      <c r="X300" s="71" t="n"/>
      <c r="Y300" s="71" t="n"/>
      <c r="Z300" s="71" t="n"/>
    </row>
    <row r="301" ht="15.75" customHeight="1">
      <c r="A301" s="71" t="n"/>
      <c r="B301" s="71" t="n"/>
      <c r="C301" s="71" t="n"/>
      <c r="D301" s="71" t="n"/>
      <c r="E301" s="71" t="n"/>
      <c r="F301" s="71" t="n"/>
      <c r="G301" s="71" t="n"/>
      <c r="H301" s="71" t="n"/>
      <c r="I301" s="71" t="n"/>
      <c r="J301" s="71" t="n"/>
      <c r="K301" s="71" t="n"/>
      <c r="L301" s="71" t="n"/>
      <c r="M301" s="71" t="n"/>
      <c r="N301" s="71" t="n"/>
      <c r="O301" s="71" t="n"/>
      <c r="P301" s="71" t="n"/>
      <c r="Q301" s="71" t="n"/>
      <c r="R301" s="71" t="n"/>
      <c r="S301" s="71" t="n"/>
      <c r="T301" s="71" t="n"/>
      <c r="U301" s="71" t="n"/>
      <c r="V301" s="71" t="n"/>
      <c r="W301" s="71" t="n"/>
      <c r="X301" s="71" t="n"/>
      <c r="Y301" s="71" t="n"/>
      <c r="Z301" s="71" t="n"/>
    </row>
    <row r="302" ht="15.75" customHeight="1">
      <c r="A302" s="71" t="n"/>
      <c r="B302" s="71" t="n"/>
      <c r="C302" s="71" t="n"/>
      <c r="D302" s="71" t="n"/>
      <c r="E302" s="71" t="n"/>
      <c r="F302" s="71" t="n"/>
      <c r="G302" s="71" t="n"/>
      <c r="H302" s="71" t="n"/>
      <c r="I302" s="71" t="n"/>
      <c r="J302" s="71" t="n"/>
      <c r="K302" s="71" t="n"/>
      <c r="L302" s="71" t="n"/>
      <c r="M302" s="71" t="n"/>
      <c r="N302" s="71" t="n"/>
      <c r="O302" s="71" t="n"/>
      <c r="P302" s="71" t="n"/>
      <c r="Q302" s="71" t="n"/>
      <c r="R302" s="71" t="n"/>
      <c r="S302" s="71" t="n"/>
      <c r="T302" s="71" t="n"/>
      <c r="U302" s="71" t="n"/>
      <c r="V302" s="71" t="n"/>
      <c r="W302" s="71" t="n"/>
      <c r="X302" s="71" t="n"/>
      <c r="Y302" s="71" t="n"/>
      <c r="Z302" s="71" t="n"/>
    </row>
    <row r="303" ht="15.75" customHeight="1">
      <c r="A303" s="71" t="n"/>
      <c r="B303" s="71" t="n"/>
      <c r="C303" s="71" t="n"/>
      <c r="D303" s="71" t="n"/>
      <c r="E303" s="71" t="n"/>
      <c r="F303" s="71" t="n"/>
      <c r="G303" s="71" t="n"/>
      <c r="H303" s="71" t="n"/>
      <c r="I303" s="71" t="n"/>
      <c r="J303" s="71" t="n"/>
      <c r="K303" s="71" t="n"/>
      <c r="L303" s="71" t="n"/>
      <c r="M303" s="71" t="n"/>
      <c r="N303" s="71" t="n"/>
      <c r="O303" s="71" t="n"/>
      <c r="P303" s="71" t="n"/>
      <c r="Q303" s="71" t="n"/>
      <c r="R303" s="71" t="n"/>
      <c r="S303" s="71" t="n"/>
      <c r="T303" s="71" t="n"/>
      <c r="U303" s="71" t="n"/>
      <c r="V303" s="71" t="n"/>
      <c r="W303" s="71" t="n"/>
      <c r="X303" s="71" t="n"/>
      <c r="Y303" s="71" t="n"/>
      <c r="Z303" s="71" t="n"/>
    </row>
    <row r="304" ht="15.75" customHeight="1">
      <c r="A304" s="71" t="n"/>
      <c r="B304" s="71" t="n"/>
      <c r="C304" s="71" t="n"/>
      <c r="D304" s="71" t="n"/>
      <c r="E304" s="71" t="n"/>
      <c r="F304" s="71" t="n"/>
      <c r="G304" s="71" t="n"/>
      <c r="H304" s="71" t="n"/>
      <c r="I304" s="71" t="n"/>
      <c r="J304" s="71" t="n"/>
      <c r="K304" s="71" t="n"/>
      <c r="L304" s="71" t="n"/>
      <c r="M304" s="71" t="n"/>
      <c r="N304" s="71" t="n"/>
      <c r="O304" s="71" t="n"/>
      <c r="P304" s="71" t="n"/>
      <c r="Q304" s="71" t="n"/>
      <c r="R304" s="71" t="n"/>
      <c r="S304" s="71" t="n"/>
      <c r="T304" s="71" t="n"/>
      <c r="U304" s="71" t="n"/>
      <c r="V304" s="71" t="n"/>
      <c r="W304" s="71" t="n"/>
      <c r="X304" s="71" t="n"/>
      <c r="Y304" s="71" t="n"/>
      <c r="Z304" s="71" t="n"/>
    </row>
    <row r="305" ht="15.75" customHeight="1">
      <c r="A305" s="71" t="n"/>
      <c r="B305" s="71" t="n"/>
      <c r="C305" s="71" t="n"/>
      <c r="D305" s="71" t="n"/>
      <c r="E305" s="71" t="n"/>
      <c r="F305" s="71" t="n"/>
      <c r="G305" s="71" t="n"/>
      <c r="H305" s="71" t="n"/>
      <c r="I305" s="71" t="n"/>
      <c r="J305" s="71" t="n"/>
      <c r="K305" s="71" t="n"/>
      <c r="L305" s="71" t="n"/>
      <c r="M305" s="71" t="n"/>
      <c r="N305" s="71" t="n"/>
      <c r="O305" s="71" t="n"/>
      <c r="P305" s="71" t="n"/>
      <c r="Q305" s="71" t="n"/>
      <c r="R305" s="71" t="n"/>
      <c r="S305" s="71" t="n"/>
      <c r="T305" s="71" t="n"/>
      <c r="U305" s="71" t="n"/>
      <c r="V305" s="71" t="n"/>
      <c r="W305" s="71" t="n"/>
      <c r="X305" s="71" t="n"/>
      <c r="Y305" s="71" t="n"/>
      <c r="Z305" s="71" t="n"/>
    </row>
    <row r="306" ht="15.75" customHeight="1">
      <c r="A306" s="71" t="n"/>
      <c r="B306" s="71" t="n"/>
      <c r="C306" s="71" t="n"/>
      <c r="D306" s="71" t="n"/>
      <c r="E306" s="71" t="n"/>
      <c r="F306" s="71" t="n"/>
      <c r="G306" s="71" t="n"/>
      <c r="H306" s="71" t="n"/>
      <c r="I306" s="71" t="n"/>
      <c r="J306" s="71" t="n"/>
      <c r="K306" s="71" t="n"/>
      <c r="L306" s="71" t="n"/>
      <c r="M306" s="71" t="n"/>
      <c r="N306" s="71" t="n"/>
      <c r="O306" s="71" t="n"/>
      <c r="P306" s="71" t="n"/>
      <c r="Q306" s="71" t="n"/>
      <c r="R306" s="71" t="n"/>
      <c r="S306" s="71" t="n"/>
      <c r="T306" s="71" t="n"/>
      <c r="U306" s="71" t="n"/>
      <c r="V306" s="71" t="n"/>
      <c r="W306" s="71" t="n"/>
      <c r="X306" s="71" t="n"/>
      <c r="Y306" s="71" t="n"/>
      <c r="Z306" s="71" t="n"/>
    </row>
    <row r="307" ht="15.75" customHeight="1">
      <c r="A307" s="71" t="n"/>
      <c r="B307" s="71" t="n"/>
      <c r="C307" s="71" t="n"/>
      <c r="D307" s="71" t="n"/>
      <c r="E307" s="71" t="n"/>
      <c r="F307" s="71" t="n"/>
      <c r="G307" s="71" t="n"/>
      <c r="H307" s="71" t="n"/>
      <c r="I307" s="71" t="n"/>
      <c r="J307" s="71" t="n"/>
      <c r="K307" s="71" t="n"/>
      <c r="L307" s="71" t="n"/>
      <c r="M307" s="71" t="n"/>
      <c r="N307" s="71" t="n"/>
      <c r="O307" s="71" t="n"/>
      <c r="P307" s="71" t="n"/>
      <c r="Q307" s="71" t="n"/>
      <c r="R307" s="71" t="n"/>
      <c r="S307" s="71" t="n"/>
      <c r="T307" s="71" t="n"/>
      <c r="U307" s="71" t="n"/>
      <c r="V307" s="71" t="n"/>
      <c r="W307" s="71" t="n"/>
      <c r="X307" s="71" t="n"/>
      <c r="Y307" s="71" t="n"/>
      <c r="Z307" s="71" t="n"/>
    </row>
    <row r="308" ht="15.75" customHeight="1">
      <c r="A308" s="71" t="n"/>
      <c r="B308" s="71" t="n"/>
      <c r="C308" s="71" t="n"/>
      <c r="D308" s="71" t="n"/>
      <c r="E308" s="71" t="n"/>
      <c r="F308" s="71" t="n"/>
      <c r="G308" s="71" t="n"/>
      <c r="H308" s="71" t="n"/>
      <c r="I308" s="71" t="n"/>
      <c r="J308" s="71" t="n"/>
      <c r="K308" s="71" t="n"/>
      <c r="L308" s="71" t="n"/>
      <c r="M308" s="71" t="n"/>
      <c r="N308" s="71" t="n"/>
      <c r="O308" s="71" t="n"/>
      <c r="P308" s="71" t="n"/>
      <c r="Q308" s="71" t="n"/>
      <c r="R308" s="71" t="n"/>
      <c r="S308" s="71" t="n"/>
      <c r="T308" s="71" t="n"/>
      <c r="U308" s="71" t="n"/>
      <c r="V308" s="71" t="n"/>
      <c r="W308" s="71" t="n"/>
      <c r="X308" s="71" t="n"/>
      <c r="Y308" s="71" t="n"/>
      <c r="Z308" s="71" t="n"/>
    </row>
    <row r="309" ht="15.75" customHeight="1">
      <c r="A309" s="71" t="n"/>
      <c r="B309" s="71" t="n"/>
      <c r="C309" s="71" t="n"/>
      <c r="D309" s="71" t="n"/>
      <c r="E309" s="71" t="n"/>
      <c r="F309" s="71" t="n"/>
      <c r="G309" s="71" t="n"/>
      <c r="H309" s="71" t="n"/>
      <c r="I309" s="71" t="n"/>
      <c r="J309" s="71" t="n"/>
      <c r="K309" s="71" t="n"/>
      <c r="L309" s="71" t="n"/>
      <c r="M309" s="71" t="n"/>
      <c r="N309" s="71" t="n"/>
      <c r="O309" s="71" t="n"/>
      <c r="P309" s="71" t="n"/>
      <c r="Q309" s="71" t="n"/>
      <c r="R309" s="71" t="n"/>
      <c r="S309" s="71" t="n"/>
      <c r="T309" s="71" t="n"/>
      <c r="U309" s="71" t="n"/>
      <c r="V309" s="71" t="n"/>
      <c r="W309" s="71" t="n"/>
      <c r="X309" s="71" t="n"/>
      <c r="Y309" s="71" t="n"/>
      <c r="Z309" s="71" t="n"/>
    </row>
    <row r="310" ht="15.75" customHeight="1">
      <c r="A310" s="71" t="n"/>
      <c r="B310" s="71" t="n"/>
      <c r="C310" s="71" t="n"/>
      <c r="D310" s="71" t="n"/>
      <c r="E310" s="71" t="n"/>
      <c r="F310" s="71" t="n"/>
      <c r="G310" s="71" t="n"/>
      <c r="H310" s="71" t="n"/>
      <c r="I310" s="71" t="n"/>
      <c r="J310" s="71" t="n"/>
      <c r="K310" s="71" t="n"/>
      <c r="L310" s="71" t="n"/>
      <c r="M310" s="71" t="n"/>
      <c r="N310" s="71" t="n"/>
      <c r="O310" s="71" t="n"/>
      <c r="P310" s="71" t="n"/>
      <c r="Q310" s="71" t="n"/>
      <c r="R310" s="71" t="n"/>
      <c r="S310" s="71" t="n"/>
      <c r="T310" s="71" t="n"/>
      <c r="U310" s="71" t="n"/>
      <c r="V310" s="71" t="n"/>
      <c r="W310" s="71" t="n"/>
      <c r="X310" s="71" t="n"/>
      <c r="Y310" s="71" t="n"/>
      <c r="Z310" s="71" t="n"/>
    </row>
    <row r="311" ht="15.75" customHeight="1">
      <c r="A311" s="71" t="n"/>
      <c r="B311" s="71" t="n"/>
      <c r="C311" s="71" t="n"/>
      <c r="D311" s="71" t="n"/>
      <c r="E311" s="71" t="n"/>
      <c r="F311" s="71" t="n"/>
      <c r="G311" s="71" t="n"/>
      <c r="H311" s="71" t="n"/>
      <c r="I311" s="71" t="n"/>
      <c r="J311" s="71" t="n"/>
      <c r="K311" s="71" t="n"/>
      <c r="L311" s="71" t="n"/>
      <c r="M311" s="71" t="n"/>
      <c r="N311" s="71" t="n"/>
      <c r="O311" s="71" t="n"/>
      <c r="P311" s="71" t="n"/>
      <c r="Q311" s="71" t="n"/>
      <c r="R311" s="71" t="n"/>
      <c r="S311" s="71" t="n"/>
      <c r="T311" s="71" t="n"/>
      <c r="U311" s="71" t="n"/>
      <c r="V311" s="71" t="n"/>
      <c r="W311" s="71" t="n"/>
      <c r="X311" s="71" t="n"/>
      <c r="Y311" s="71" t="n"/>
      <c r="Z311" s="71" t="n"/>
    </row>
    <row r="312" ht="15.75" customHeight="1">
      <c r="A312" s="71" t="n"/>
      <c r="B312" s="71" t="n"/>
      <c r="C312" s="71" t="n"/>
      <c r="D312" s="71" t="n"/>
      <c r="E312" s="71" t="n"/>
      <c r="F312" s="71" t="n"/>
      <c r="G312" s="71" t="n"/>
      <c r="H312" s="71" t="n"/>
      <c r="I312" s="71" t="n"/>
      <c r="J312" s="71" t="n"/>
      <c r="K312" s="71" t="n"/>
      <c r="L312" s="71" t="n"/>
      <c r="M312" s="71" t="n"/>
      <c r="N312" s="71" t="n"/>
      <c r="O312" s="71" t="n"/>
      <c r="P312" s="71" t="n"/>
      <c r="Q312" s="71" t="n"/>
      <c r="R312" s="71" t="n"/>
      <c r="S312" s="71" t="n"/>
      <c r="T312" s="71" t="n"/>
      <c r="U312" s="71" t="n"/>
      <c r="V312" s="71" t="n"/>
      <c r="W312" s="71" t="n"/>
      <c r="X312" s="71" t="n"/>
      <c r="Y312" s="71" t="n"/>
      <c r="Z312" s="71" t="n"/>
    </row>
    <row r="313" ht="15.75" customHeight="1">
      <c r="A313" s="71" t="n"/>
      <c r="B313" s="71" t="n"/>
      <c r="C313" s="71" t="n"/>
      <c r="D313" s="71" t="n"/>
      <c r="E313" s="71" t="n"/>
      <c r="F313" s="71" t="n"/>
      <c r="G313" s="71" t="n"/>
      <c r="H313" s="71" t="n"/>
      <c r="I313" s="71" t="n"/>
      <c r="J313" s="71" t="n"/>
      <c r="K313" s="71" t="n"/>
      <c r="L313" s="71" t="n"/>
      <c r="M313" s="71" t="n"/>
      <c r="N313" s="71" t="n"/>
      <c r="O313" s="71" t="n"/>
      <c r="P313" s="71" t="n"/>
      <c r="Q313" s="71" t="n"/>
      <c r="R313" s="71" t="n"/>
      <c r="S313" s="71" t="n"/>
      <c r="T313" s="71" t="n"/>
      <c r="U313" s="71" t="n"/>
      <c r="V313" s="71" t="n"/>
      <c r="W313" s="71" t="n"/>
      <c r="X313" s="71" t="n"/>
      <c r="Y313" s="71" t="n"/>
      <c r="Z313" s="71" t="n"/>
    </row>
    <row r="314" ht="15.75" customHeight="1">
      <c r="A314" s="71" t="n"/>
      <c r="B314" s="71" t="n"/>
      <c r="C314" s="71" t="n"/>
      <c r="D314" s="71" t="n"/>
      <c r="E314" s="71" t="n"/>
      <c r="F314" s="71" t="n"/>
      <c r="G314" s="71" t="n"/>
      <c r="H314" s="71" t="n"/>
      <c r="I314" s="71" t="n"/>
      <c r="J314" s="71" t="n"/>
      <c r="K314" s="71" t="n"/>
      <c r="L314" s="71" t="n"/>
      <c r="M314" s="71" t="n"/>
      <c r="N314" s="71" t="n"/>
      <c r="O314" s="71" t="n"/>
      <c r="P314" s="71" t="n"/>
      <c r="Q314" s="71" t="n"/>
      <c r="R314" s="71" t="n"/>
      <c r="S314" s="71" t="n"/>
      <c r="T314" s="71" t="n"/>
      <c r="U314" s="71" t="n"/>
      <c r="V314" s="71" t="n"/>
      <c r="W314" s="71" t="n"/>
      <c r="X314" s="71" t="n"/>
      <c r="Y314" s="71" t="n"/>
      <c r="Z314" s="71" t="n"/>
    </row>
    <row r="315" ht="15.75" customHeight="1">
      <c r="A315" s="71" t="n"/>
      <c r="B315" s="71" t="n"/>
      <c r="C315" s="71" t="n"/>
      <c r="D315" s="71" t="n"/>
      <c r="E315" s="71" t="n"/>
      <c r="F315" s="71" t="n"/>
      <c r="G315" s="71" t="n"/>
      <c r="H315" s="71" t="n"/>
      <c r="I315" s="71" t="n"/>
      <c r="J315" s="71" t="n"/>
      <c r="K315" s="71" t="n"/>
      <c r="L315" s="71" t="n"/>
      <c r="M315" s="71" t="n"/>
      <c r="N315" s="71" t="n"/>
      <c r="O315" s="71" t="n"/>
      <c r="P315" s="71" t="n"/>
      <c r="Q315" s="71" t="n"/>
      <c r="R315" s="71" t="n"/>
      <c r="S315" s="71" t="n"/>
      <c r="T315" s="71" t="n"/>
      <c r="U315" s="71" t="n"/>
      <c r="V315" s="71" t="n"/>
      <c r="W315" s="71" t="n"/>
      <c r="X315" s="71" t="n"/>
      <c r="Y315" s="71" t="n"/>
      <c r="Z315" s="71" t="n"/>
    </row>
    <row r="316" ht="15.75" customHeight="1">
      <c r="A316" s="71" t="n"/>
      <c r="B316" s="71" t="n"/>
      <c r="C316" s="71" t="n"/>
      <c r="D316" s="71" t="n"/>
      <c r="E316" s="71" t="n"/>
      <c r="F316" s="71" t="n"/>
      <c r="G316" s="71" t="n"/>
      <c r="H316" s="71" t="n"/>
      <c r="I316" s="71" t="n"/>
      <c r="J316" s="71" t="n"/>
      <c r="K316" s="71" t="n"/>
      <c r="L316" s="71" t="n"/>
      <c r="M316" s="71" t="n"/>
      <c r="N316" s="71" t="n"/>
      <c r="O316" s="71" t="n"/>
      <c r="P316" s="71" t="n"/>
      <c r="Q316" s="71" t="n"/>
      <c r="R316" s="71" t="n"/>
      <c r="S316" s="71" t="n"/>
      <c r="T316" s="71" t="n"/>
      <c r="U316" s="71" t="n"/>
      <c r="V316" s="71" t="n"/>
      <c r="W316" s="71" t="n"/>
      <c r="X316" s="71" t="n"/>
      <c r="Y316" s="71" t="n"/>
      <c r="Z316" s="71" t="n"/>
    </row>
    <row r="317" ht="15.75" customHeight="1">
      <c r="A317" s="71" t="n"/>
      <c r="B317" s="71" t="n"/>
      <c r="C317" s="71" t="n"/>
      <c r="D317" s="71" t="n"/>
      <c r="E317" s="71" t="n"/>
      <c r="F317" s="71" t="n"/>
      <c r="G317" s="71" t="n"/>
      <c r="H317" s="71" t="n"/>
      <c r="I317" s="71" t="n"/>
      <c r="J317" s="71" t="n"/>
      <c r="K317" s="71" t="n"/>
      <c r="L317" s="71" t="n"/>
      <c r="M317" s="71" t="n"/>
      <c r="N317" s="71" t="n"/>
      <c r="O317" s="71" t="n"/>
      <c r="P317" s="71" t="n"/>
      <c r="Q317" s="71" t="n"/>
      <c r="R317" s="71" t="n"/>
      <c r="S317" s="71" t="n"/>
      <c r="T317" s="71" t="n"/>
      <c r="U317" s="71" t="n"/>
      <c r="V317" s="71" t="n"/>
      <c r="W317" s="71" t="n"/>
      <c r="X317" s="71" t="n"/>
      <c r="Y317" s="71" t="n"/>
      <c r="Z317" s="71" t="n"/>
    </row>
    <row r="318" ht="15.75" customHeight="1">
      <c r="A318" s="71" t="n"/>
      <c r="B318" s="71" t="n"/>
      <c r="C318" s="71" t="n"/>
      <c r="D318" s="71" t="n"/>
      <c r="E318" s="71" t="n"/>
      <c r="F318" s="71" t="n"/>
      <c r="G318" s="71" t="n"/>
      <c r="H318" s="71" t="n"/>
      <c r="I318" s="71" t="n"/>
      <c r="J318" s="71" t="n"/>
      <c r="K318" s="71" t="n"/>
      <c r="L318" s="71" t="n"/>
      <c r="M318" s="71" t="n"/>
      <c r="N318" s="71" t="n"/>
      <c r="O318" s="71" t="n"/>
      <c r="P318" s="71" t="n"/>
      <c r="Q318" s="71" t="n"/>
      <c r="R318" s="71" t="n"/>
      <c r="S318" s="71" t="n"/>
      <c r="T318" s="71" t="n"/>
      <c r="U318" s="71" t="n"/>
      <c r="V318" s="71" t="n"/>
      <c r="W318" s="71" t="n"/>
      <c r="X318" s="71" t="n"/>
      <c r="Y318" s="71" t="n"/>
      <c r="Z318" s="71" t="n"/>
    </row>
    <row r="319" ht="15.75" customHeight="1">
      <c r="A319" s="71" t="n"/>
      <c r="B319" s="71" t="n"/>
      <c r="C319" s="71" t="n"/>
      <c r="D319" s="71" t="n"/>
      <c r="E319" s="71" t="n"/>
      <c r="F319" s="71" t="n"/>
      <c r="G319" s="71" t="n"/>
      <c r="H319" s="71" t="n"/>
      <c r="I319" s="71" t="n"/>
      <c r="J319" s="71" t="n"/>
      <c r="K319" s="71" t="n"/>
      <c r="L319" s="71" t="n"/>
      <c r="M319" s="71" t="n"/>
      <c r="N319" s="71" t="n"/>
      <c r="O319" s="71" t="n"/>
      <c r="P319" s="71" t="n"/>
      <c r="Q319" s="71" t="n"/>
      <c r="R319" s="71" t="n"/>
      <c r="S319" s="71" t="n"/>
      <c r="T319" s="71" t="n"/>
      <c r="U319" s="71" t="n"/>
      <c r="V319" s="71" t="n"/>
      <c r="W319" s="71" t="n"/>
      <c r="X319" s="71" t="n"/>
      <c r="Y319" s="71" t="n"/>
      <c r="Z319" s="71" t="n"/>
    </row>
    <row r="320" ht="15.75" customHeight="1">
      <c r="A320" s="71" t="n"/>
      <c r="B320" s="71" t="n"/>
      <c r="C320" s="71" t="n"/>
      <c r="D320" s="71" t="n"/>
      <c r="E320" s="71" t="n"/>
      <c r="F320" s="71" t="n"/>
      <c r="G320" s="71" t="n"/>
      <c r="H320" s="71" t="n"/>
      <c r="I320" s="71" t="n"/>
      <c r="J320" s="71" t="n"/>
      <c r="K320" s="71" t="n"/>
      <c r="L320" s="71" t="n"/>
      <c r="M320" s="71" t="n"/>
      <c r="N320" s="71" t="n"/>
      <c r="O320" s="71" t="n"/>
      <c r="P320" s="71" t="n"/>
      <c r="Q320" s="71" t="n"/>
      <c r="R320" s="71" t="n"/>
      <c r="S320" s="71" t="n"/>
      <c r="T320" s="71" t="n"/>
      <c r="U320" s="71" t="n"/>
      <c r="V320" s="71" t="n"/>
      <c r="W320" s="71" t="n"/>
      <c r="X320" s="71" t="n"/>
      <c r="Y320" s="71" t="n"/>
      <c r="Z320" s="71" t="n"/>
    </row>
    <row r="321" ht="15.75" customHeight="1">
      <c r="A321" s="71" t="n"/>
      <c r="B321" s="71" t="n"/>
      <c r="C321" s="71" t="n"/>
      <c r="D321" s="71" t="n"/>
      <c r="E321" s="71" t="n"/>
      <c r="F321" s="71" t="n"/>
      <c r="G321" s="71" t="n"/>
      <c r="H321" s="71" t="n"/>
      <c r="I321" s="71" t="n"/>
      <c r="J321" s="71" t="n"/>
      <c r="K321" s="71" t="n"/>
      <c r="L321" s="71" t="n"/>
      <c r="M321" s="71" t="n"/>
      <c r="N321" s="71" t="n"/>
      <c r="O321" s="71" t="n"/>
      <c r="P321" s="71" t="n"/>
      <c r="Q321" s="71" t="n"/>
      <c r="R321" s="71" t="n"/>
      <c r="S321" s="71" t="n"/>
      <c r="T321" s="71" t="n"/>
      <c r="U321" s="71" t="n"/>
      <c r="V321" s="71" t="n"/>
      <c r="W321" s="71" t="n"/>
      <c r="X321" s="71" t="n"/>
      <c r="Y321" s="71" t="n"/>
      <c r="Z321" s="71" t="n"/>
    </row>
    <row r="322" ht="15.75" customHeight="1">
      <c r="A322" s="71" t="n"/>
      <c r="B322" s="71" t="n"/>
      <c r="C322" s="71" t="n"/>
      <c r="D322" s="71" t="n"/>
      <c r="E322" s="71" t="n"/>
      <c r="F322" s="71" t="n"/>
      <c r="G322" s="71" t="n"/>
      <c r="H322" s="71" t="n"/>
      <c r="I322" s="71" t="n"/>
      <c r="J322" s="71" t="n"/>
      <c r="K322" s="71" t="n"/>
      <c r="L322" s="71" t="n"/>
      <c r="M322" s="71" t="n"/>
      <c r="N322" s="71" t="n"/>
      <c r="O322" s="71" t="n"/>
      <c r="P322" s="71" t="n"/>
      <c r="Q322" s="71" t="n"/>
      <c r="R322" s="71" t="n"/>
      <c r="S322" s="71" t="n"/>
      <c r="T322" s="71" t="n"/>
      <c r="U322" s="71" t="n"/>
      <c r="V322" s="71" t="n"/>
      <c r="W322" s="71" t="n"/>
      <c r="X322" s="71" t="n"/>
      <c r="Y322" s="71" t="n"/>
      <c r="Z322" s="71" t="n"/>
    </row>
    <row r="323" ht="15.75" customHeight="1">
      <c r="A323" s="71" t="n"/>
      <c r="B323" s="71" t="n"/>
      <c r="C323" s="71" t="n"/>
      <c r="D323" s="71" t="n"/>
      <c r="E323" s="71" t="n"/>
      <c r="F323" s="71" t="n"/>
      <c r="G323" s="71" t="n"/>
      <c r="H323" s="71" t="n"/>
      <c r="I323" s="71" t="n"/>
      <c r="J323" s="71" t="n"/>
      <c r="K323" s="71" t="n"/>
      <c r="L323" s="71" t="n"/>
      <c r="M323" s="71" t="n"/>
      <c r="N323" s="71" t="n"/>
      <c r="O323" s="71" t="n"/>
      <c r="P323" s="71" t="n"/>
      <c r="Q323" s="71" t="n"/>
      <c r="R323" s="71" t="n"/>
      <c r="S323" s="71" t="n"/>
      <c r="T323" s="71" t="n"/>
      <c r="U323" s="71" t="n"/>
      <c r="V323" s="71" t="n"/>
      <c r="W323" s="71" t="n"/>
      <c r="X323" s="71" t="n"/>
      <c r="Y323" s="71" t="n"/>
      <c r="Z323" s="71" t="n"/>
    </row>
    <row r="324" ht="15.75" customHeight="1">
      <c r="A324" s="71" t="n"/>
      <c r="B324" s="71" t="n"/>
      <c r="C324" s="71" t="n"/>
      <c r="D324" s="71" t="n"/>
      <c r="E324" s="71" t="n"/>
      <c r="F324" s="71" t="n"/>
      <c r="G324" s="71" t="n"/>
      <c r="H324" s="71" t="n"/>
      <c r="I324" s="71" t="n"/>
      <c r="J324" s="71" t="n"/>
      <c r="K324" s="71" t="n"/>
      <c r="L324" s="71" t="n"/>
      <c r="M324" s="71" t="n"/>
      <c r="N324" s="71" t="n"/>
      <c r="O324" s="71" t="n"/>
      <c r="P324" s="71" t="n"/>
      <c r="Q324" s="71" t="n"/>
      <c r="R324" s="71" t="n"/>
      <c r="S324" s="71" t="n"/>
      <c r="T324" s="71" t="n"/>
      <c r="U324" s="71" t="n"/>
      <c r="V324" s="71" t="n"/>
      <c r="W324" s="71" t="n"/>
      <c r="X324" s="71" t="n"/>
      <c r="Y324" s="71" t="n"/>
      <c r="Z324" s="71" t="n"/>
    </row>
    <row r="325" ht="15.75" customHeight="1">
      <c r="A325" s="71" t="n"/>
      <c r="B325" s="71" t="n"/>
      <c r="C325" s="71" t="n"/>
      <c r="D325" s="71" t="n"/>
      <c r="E325" s="71" t="n"/>
      <c r="F325" s="71" t="n"/>
      <c r="G325" s="71" t="n"/>
      <c r="H325" s="71" t="n"/>
      <c r="I325" s="71" t="n"/>
      <c r="J325" s="71" t="n"/>
      <c r="K325" s="71" t="n"/>
      <c r="L325" s="71" t="n"/>
      <c r="M325" s="71" t="n"/>
      <c r="N325" s="71" t="n"/>
      <c r="O325" s="71" t="n"/>
      <c r="P325" s="71" t="n"/>
      <c r="Q325" s="71" t="n"/>
      <c r="R325" s="71" t="n"/>
      <c r="S325" s="71" t="n"/>
      <c r="T325" s="71" t="n"/>
      <c r="U325" s="71" t="n"/>
      <c r="V325" s="71" t="n"/>
      <c r="W325" s="71" t="n"/>
      <c r="X325" s="71" t="n"/>
      <c r="Y325" s="71" t="n"/>
      <c r="Z325" s="71" t="n"/>
    </row>
    <row r="326" ht="15.75" customHeight="1">
      <c r="A326" s="71" t="n"/>
      <c r="B326" s="71" t="n"/>
      <c r="C326" s="71" t="n"/>
      <c r="D326" s="71" t="n"/>
      <c r="E326" s="71" t="n"/>
      <c r="F326" s="71" t="n"/>
      <c r="G326" s="71" t="n"/>
      <c r="H326" s="71" t="n"/>
      <c r="I326" s="71" t="n"/>
      <c r="J326" s="71" t="n"/>
      <c r="K326" s="71" t="n"/>
      <c r="L326" s="71" t="n"/>
      <c r="M326" s="71" t="n"/>
      <c r="N326" s="71" t="n"/>
      <c r="O326" s="71" t="n"/>
      <c r="P326" s="71" t="n"/>
      <c r="Q326" s="71" t="n"/>
      <c r="R326" s="71" t="n"/>
      <c r="S326" s="71" t="n"/>
      <c r="T326" s="71" t="n"/>
      <c r="U326" s="71" t="n"/>
      <c r="V326" s="71" t="n"/>
      <c r="W326" s="71" t="n"/>
      <c r="X326" s="71" t="n"/>
      <c r="Y326" s="71" t="n"/>
      <c r="Z326" s="71" t="n"/>
    </row>
    <row r="327" ht="15.75" customHeight="1">
      <c r="A327" s="71" t="n"/>
      <c r="B327" s="71" t="n"/>
      <c r="C327" s="71" t="n"/>
      <c r="D327" s="71" t="n"/>
      <c r="E327" s="71" t="n"/>
      <c r="F327" s="71" t="n"/>
      <c r="G327" s="71" t="n"/>
      <c r="H327" s="71" t="n"/>
      <c r="I327" s="71" t="n"/>
      <c r="J327" s="71" t="n"/>
      <c r="K327" s="71" t="n"/>
      <c r="L327" s="71" t="n"/>
      <c r="M327" s="71" t="n"/>
      <c r="N327" s="71" t="n"/>
      <c r="O327" s="71" t="n"/>
      <c r="P327" s="71" t="n"/>
      <c r="Q327" s="71" t="n"/>
      <c r="R327" s="71" t="n"/>
      <c r="S327" s="71" t="n"/>
      <c r="T327" s="71" t="n"/>
      <c r="U327" s="71" t="n"/>
      <c r="V327" s="71" t="n"/>
      <c r="W327" s="71" t="n"/>
      <c r="X327" s="71" t="n"/>
      <c r="Y327" s="71" t="n"/>
      <c r="Z327" s="71" t="n"/>
    </row>
    <row r="328" ht="15.75" customHeight="1">
      <c r="A328" s="71" t="n"/>
      <c r="B328" s="71" t="n"/>
      <c r="C328" s="71" t="n"/>
      <c r="D328" s="71" t="n"/>
      <c r="E328" s="71" t="n"/>
      <c r="F328" s="71" t="n"/>
      <c r="G328" s="71" t="n"/>
      <c r="H328" s="71" t="n"/>
      <c r="I328" s="71" t="n"/>
      <c r="J328" s="71" t="n"/>
      <c r="K328" s="71" t="n"/>
      <c r="L328" s="71" t="n"/>
      <c r="M328" s="71" t="n"/>
      <c r="N328" s="71" t="n"/>
      <c r="O328" s="71" t="n"/>
      <c r="P328" s="71" t="n"/>
      <c r="Q328" s="71" t="n"/>
      <c r="R328" s="71" t="n"/>
      <c r="S328" s="71" t="n"/>
      <c r="T328" s="71" t="n"/>
      <c r="U328" s="71" t="n"/>
      <c r="V328" s="71" t="n"/>
      <c r="W328" s="71" t="n"/>
      <c r="X328" s="71" t="n"/>
      <c r="Y328" s="71" t="n"/>
      <c r="Z328" s="71" t="n"/>
    </row>
    <row r="329" ht="15.75" customHeight="1">
      <c r="A329" s="71" t="n"/>
      <c r="B329" s="71" t="n"/>
      <c r="C329" s="71" t="n"/>
      <c r="D329" s="71" t="n"/>
      <c r="E329" s="71" t="n"/>
      <c r="F329" s="71" t="n"/>
      <c r="G329" s="71" t="n"/>
      <c r="H329" s="71" t="n"/>
      <c r="I329" s="71" t="n"/>
      <c r="J329" s="71" t="n"/>
      <c r="K329" s="71" t="n"/>
      <c r="L329" s="71" t="n"/>
      <c r="M329" s="71" t="n"/>
      <c r="N329" s="71" t="n"/>
      <c r="O329" s="71" t="n"/>
      <c r="P329" s="71" t="n"/>
      <c r="Q329" s="71" t="n"/>
      <c r="R329" s="71" t="n"/>
      <c r="S329" s="71" t="n"/>
      <c r="T329" s="71" t="n"/>
      <c r="U329" s="71" t="n"/>
      <c r="V329" s="71" t="n"/>
      <c r="W329" s="71" t="n"/>
      <c r="X329" s="71" t="n"/>
      <c r="Y329" s="71" t="n"/>
      <c r="Z329" s="71" t="n"/>
    </row>
    <row r="330" ht="15.75" customHeight="1">
      <c r="A330" s="71" t="n"/>
      <c r="B330" s="71" t="n"/>
      <c r="C330" s="71" t="n"/>
      <c r="D330" s="71" t="n"/>
      <c r="E330" s="71" t="n"/>
      <c r="F330" s="71" t="n"/>
      <c r="G330" s="71" t="n"/>
      <c r="H330" s="71" t="n"/>
      <c r="I330" s="71" t="n"/>
      <c r="J330" s="71" t="n"/>
      <c r="K330" s="71" t="n"/>
      <c r="L330" s="71" t="n"/>
      <c r="M330" s="71" t="n"/>
      <c r="N330" s="71" t="n"/>
      <c r="O330" s="71" t="n"/>
      <c r="P330" s="71" t="n"/>
      <c r="Q330" s="71" t="n"/>
      <c r="R330" s="71" t="n"/>
      <c r="S330" s="71" t="n"/>
      <c r="T330" s="71" t="n"/>
      <c r="U330" s="71" t="n"/>
      <c r="V330" s="71" t="n"/>
      <c r="W330" s="71" t="n"/>
      <c r="X330" s="71" t="n"/>
      <c r="Y330" s="71" t="n"/>
      <c r="Z330" s="71" t="n"/>
    </row>
    <row r="331" ht="15.75" customHeight="1">
      <c r="A331" s="71" t="n"/>
      <c r="B331" s="71" t="n"/>
      <c r="C331" s="71" t="n"/>
      <c r="D331" s="71" t="n"/>
      <c r="E331" s="71" t="n"/>
      <c r="F331" s="71" t="n"/>
      <c r="G331" s="71" t="n"/>
      <c r="H331" s="71" t="n"/>
      <c r="I331" s="71" t="n"/>
      <c r="J331" s="71" t="n"/>
      <c r="K331" s="71" t="n"/>
      <c r="L331" s="71" t="n"/>
      <c r="M331" s="71" t="n"/>
      <c r="N331" s="71" t="n"/>
      <c r="O331" s="71" t="n"/>
      <c r="P331" s="71" t="n"/>
      <c r="Q331" s="71" t="n"/>
      <c r="R331" s="71" t="n"/>
      <c r="S331" s="71" t="n"/>
      <c r="T331" s="71" t="n"/>
      <c r="U331" s="71" t="n"/>
      <c r="V331" s="71" t="n"/>
      <c r="W331" s="71" t="n"/>
      <c r="X331" s="71" t="n"/>
      <c r="Y331" s="71" t="n"/>
      <c r="Z331" s="71" t="n"/>
    </row>
    <row r="332" ht="15.75" customHeight="1">
      <c r="A332" s="71" t="n"/>
      <c r="B332" s="71" t="n"/>
      <c r="C332" s="71" t="n"/>
      <c r="D332" s="71" t="n"/>
      <c r="E332" s="71" t="n"/>
      <c r="F332" s="71" t="n"/>
      <c r="G332" s="71" t="n"/>
      <c r="H332" s="71" t="n"/>
      <c r="I332" s="71" t="n"/>
      <c r="J332" s="71" t="n"/>
      <c r="K332" s="71" t="n"/>
      <c r="L332" s="71" t="n"/>
      <c r="M332" s="71" t="n"/>
      <c r="N332" s="71" t="n"/>
      <c r="O332" s="71" t="n"/>
      <c r="P332" s="71" t="n"/>
      <c r="Q332" s="71" t="n"/>
      <c r="R332" s="71" t="n"/>
      <c r="S332" s="71" t="n"/>
      <c r="T332" s="71" t="n"/>
      <c r="U332" s="71" t="n"/>
      <c r="V332" s="71" t="n"/>
      <c r="W332" s="71" t="n"/>
      <c r="X332" s="71" t="n"/>
      <c r="Y332" s="71" t="n"/>
      <c r="Z332" s="71" t="n"/>
    </row>
    <row r="333" ht="15.75" customHeight="1">
      <c r="A333" s="71" t="n"/>
      <c r="B333" s="71" t="n"/>
      <c r="C333" s="71" t="n"/>
      <c r="D333" s="71" t="n"/>
      <c r="E333" s="71" t="n"/>
      <c r="F333" s="71" t="n"/>
      <c r="G333" s="71" t="n"/>
      <c r="H333" s="71" t="n"/>
      <c r="I333" s="71" t="n"/>
      <c r="J333" s="71" t="n"/>
      <c r="K333" s="71" t="n"/>
      <c r="L333" s="71" t="n"/>
      <c r="M333" s="71" t="n"/>
      <c r="N333" s="71" t="n"/>
      <c r="O333" s="71" t="n"/>
      <c r="P333" s="71" t="n"/>
      <c r="Q333" s="71" t="n"/>
      <c r="R333" s="71" t="n"/>
      <c r="S333" s="71" t="n"/>
      <c r="T333" s="71" t="n"/>
      <c r="U333" s="71" t="n"/>
      <c r="V333" s="71" t="n"/>
      <c r="W333" s="71" t="n"/>
      <c r="X333" s="71" t="n"/>
      <c r="Y333" s="71" t="n"/>
      <c r="Z333" s="71" t="n"/>
    </row>
    <row r="334" ht="15.75" customHeight="1">
      <c r="A334" s="71" t="n"/>
      <c r="B334" s="71" t="n"/>
      <c r="C334" s="71" t="n"/>
      <c r="D334" s="71" t="n"/>
      <c r="E334" s="71" t="n"/>
      <c r="F334" s="71" t="n"/>
      <c r="G334" s="71" t="n"/>
      <c r="H334" s="71" t="n"/>
      <c r="I334" s="71" t="n"/>
      <c r="J334" s="71" t="n"/>
      <c r="K334" s="71" t="n"/>
      <c r="L334" s="71" t="n"/>
      <c r="M334" s="71" t="n"/>
      <c r="N334" s="71" t="n"/>
      <c r="O334" s="71" t="n"/>
      <c r="P334" s="71" t="n"/>
      <c r="Q334" s="71" t="n"/>
      <c r="R334" s="71" t="n"/>
      <c r="S334" s="71" t="n"/>
      <c r="T334" s="71" t="n"/>
      <c r="U334" s="71" t="n"/>
      <c r="V334" s="71" t="n"/>
      <c r="W334" s="71" t="n"/>
      <c r="X334" s="71" t="n"/>
      <c r="Y334" s="71" t="n"/>
      <c r="Z334" s="71" t="n"/>
    </row>
    <row r="335" ht="15.75" customHeight="1">
      <c r="A335" s="71" t="n"/>
      <c r="B335" s="71" t="n"/>
      <c r="C335" s="71" t="n"/>
      <c r="D335" s="71" t="n"/>
      <c r="E335" s="71" t="n"/>
      <c r="F335" s="71" t="n"/>
      <c r="G335" s="71" t="n"/>
      <c r="H335" s="71" t="n"/>
      <c r="I335" s="71" t="n"/>
      <c r="J335" s="71" t="n"/>
      <c r="K335" s="71" t="n"/>
      <c r="L335" s="71" t="n"/>
      <c r="M335" s="71" t="n"/>
      <c r="N335" s="71" t="n"/>
      <c r="O335" s="71" t="n"/>
      <c r="P335" s="71" t="n"/>
      <c r="Q335" s="71" t="n"/>
      <c r="R335" s="71" t="n"/>
      <c r="S335" s="71" t="n"/>
      <c r="T335" s="71" t="n"/>
      <c r="U335" s="71" t="n"/>
      <c r="V335" s="71" t="n"/>
      <c r="W335" s="71" t="n"/>
      <c r="X335" s="71" t="n"/>
      <c r="Y335" s="71" t="n"/>
      <c r="Z335" s="71" t="n"/>
    </row>
    <row r="336" ht="15.75" customHeight="1">
      <c r="A336" s="71" t="n"/>
      <c r="B336" s="71" t="n"/>
      <c r="C336" s="71" t="n"/>
      <c r="D336" s="71" t="n"/>
      <c r="E336" s="71" t="n"/>
      <c r="F336" s="71" t="n"/>
      <c r="G336" s="71" t="n"/>
      <c r="H336" s="71" t="n"/>
      <c r="I336" s="71" t="n"/>
      <c r="J336" s="71" t="n"/>
      <c r="K336" s="71" t="n"/>
      <c r="L336" s="71" t="n"/>
      <c r="M336" s="71" t="n"/>
      <c r="N336" s="71" t="n"/>
      <c r="O336" s="71" t="n"/>
      <c r="P336" s="71" t="n"/>
      <c r="Q336" s="71" t="n"/>
      <c r="R336" s="71" t="n"/>
      <c r="S336" s="71" t="n"/>
      <c r="T336" s="71" t="n"/>
      <c r="U336" s="71" t="n"/>
      <c r="V336" s="71" t="n"/>
      <c r="W336" s="71" t="n"/>
      <c r="X336" s="71" t="n"/>
      <c r="Y336" s="71" t="n"/>
      <c r="Z336" s="71" t="n"/>
    </row>
    <row r="337" ht="15.75" customHeight="1">
      <c r="A337" s="71" t="n"/>
      <c r="B337" s="71" t="n"/>
      <c r="C337" s="71" t="n"/>
      <c r="D337" s="71" t="n"/>
      <c r="E337" s="71" t="n"/>
      <c r="F337" s="71" t="n"/>
      <c r="G337" s="71" t="n"/>
      <c r="H337" s="71" t="n"/>
      <c r="I337" s="71" t="n"/>
      <c r="J337" s="71" t="n"/>
      <c r="K337" s="71" t="n"/>
      <c r="L337" s="71" t="n"/>
      <c r="M337" s="71" t="n"/>
      <c r="N337" s="71" t="n"/>
      <c r="O337" s="71" t="n"/>
      <c r="P337" s="71" t="n"/>
      <c r="Q337" s="71" t="n"/>
      <c r="R337" s="71" t="n"/>
      <c r="S337" s="71" t="n"/>
      <c r="T337" s="71" t="n"/>
      <c r="U337" s="71" t="n"/>
      <c r="V337" s="71" t="n"/>
      <c r="W337" s="71" t="n"/>
      <c r="X337" s="71" t="n"/>
      <c r="Y337" s="71" t="n"/>
      <c r="Z337" s="71" t="n"/>
    </row>
    <row r="338" ht="15.75" customHeight="1">
      <c r="A338" s="71" t="n"/>
      <c r="B338" s="71" t="n"/>
      <c r="C338" s="71" t="n"/>
      <c r="D338" s="71" t="n"/>
      <c r="E338" s="71" t="n"/>
      <c r="F338" s="71" t="n"/>
      <c r="G338" s="71" t="n"/>
      <c r="H338" s="71" t="n"/>
      <c r="I338" s="71" t="n"/>
      <c r="J338" s="71" t="n"/>
      <c r="K338" s="71" t="n"/>
      <c r="L338" s="71" t="n"/>
      <c r="M338" s="71" t="n"/>
      <c r="N338" s="71" t="n"/>
      <c r="O338" s="71" t="n"/>
      <c r="P338" s="71" t="n"/>
      <c r="Q338" s="71" t="n"/>
      <c r="R338" s="71" t="n"/>
      <c r="S338" s="71" t="n"/>
      <c r="T338" s="71" t="n"/>
      <c r="U338" s="71" t="n"/>
      <c r="V338" s="71" t="n"/>
      <c r="W338" s="71" t="n"/>
      <c r="X338" s="71" t="n"/>
      <c r="Y338" s="71" t="n"/>
      <c r="Z338" s="71" t="n"/>
    </row>
    <row r="339" ht="15.75" customHeight="1">
      <c r="A339" s="71" t="n"/>
      <c r="B339" s="71" t="n"/>
      <c r="C339" s="71" t="n"/>
      <c r="D339" s="71" t="n"/>
      <c r="E339" s="71" t="n"/>
      <c r="F339" s="71" t="n"/>
      <c r="G339" s="71" t="n"/>
      <c r="H339" s="71" t="n"/>
      <c r="I339" s="71" t="n"/>
      <c r="J339" s="71" t="n"/>
      <c r="K339" s="71" t="n"/>
      <c r="L339" s="71" t="n"/>
      <c r="M339" s="71" t="n"/>
      <c r="N339" s="71" t="n"/>
      <c r="O339" s="71" t="n"/>
      <c r="P339" s="71" t="n"/>
      <c r="Q339" s="71" t="n"/>
      <c r="R339" s="71" t="n"/>
      <c r="S339" s="71" t="n"/>
      <c r="T339" s="71" t="n"/>
      <c r="U339" s="71" t="n"/>
      <c r="V339" s="71" t="n"/>
      <c r="W339" s="71" t="n"/>
      <c r="X339" s="71" t="n"/>
      <c r="Y339" s="71" t="n"/>
      <c r="Z339" s="71" t="n"/>
    </row>
    <row r="340" ht="15.75" customHeight="1">
      <c r="A340" s="71" t="n"/>
      <c r="B340" s="71" t="n"/>
      <c r="C340" s="71" t="n"/>
      <c r="D340" s="71" t="n"/>
      <c r="E340" s="71" t="n"/>
      <c r="F340" s="71" t="n"/>
      <c r="G340" s="71" t="n"/>
      <c r="H340" s="71" t="n"/>
      <c r="I340" s="71" t="n"/>
      <c r="J340" s="71" t="n"/>
      <c r="K340" s="71" t="n"/>
      <c r="L340" s="71" t="n"/>
      <c r="M340" s="71" t="n"/>
      <c r="N340" s="71" t="n"/>
      <c r="O340" s="71" t="n"/>
      <c r="P340" s="71" t="n"/>
      <c r="Q340" s="71" t="n"/>
      <c r="R340" s="71" t="n"/>
      <c r="S340" s="71" t="n"/>
      <c r="T340" s="71" t="n"/>
      <c r="U340" s="71" t="n"/>
      <c r="V340" s="71" t="n"/>
      <c r="W340" s="71" t="n"/>
      <c r="X340" s="71" t="n"/>
      <c r="Y340" s="71" t="n"/>
      <c r="Z340" s="71" t="n"/>
    </row>
    <row r="341" ht="15.75" customHeight="1">
      <c r="A341" s="71" t="n"/>
      <c r="B341" s="71" t="n"/>
      <c r="C341" s="71" t="n"/>
      <c r="D341" s="71" t="n"/>
      <c r="E341" s="71" t="n"/>
      <c r="F341" s="71" t="n"/>
      <c r="G341" s="71" t="n"/>
      <c r="H341" s="71" t="n"/>
      <c r="I341" s="71" t="n"/>
      <c r="J341" s="71" t="n"/>
      <c r="K341" s="71" t="n"/>
      <c r="L341" s="71" t="n"/>
      <c r="M341" s="71" t="n"/>
      <c r="N341" s="71" t="n"/>
      <c r="O341" s="71" t="n"/>
      <c r="P341" s="71" t="n"/>
      <c r="Q341" s="71" t="n"/>
      <c r="R341" s="71" t="n"/>
      <c r="S341" s="71" t="n"/>
      <c r="T341" s="71" t="n"/>
      <c r="U341" s="71" t="n"/>
      <c r="V341" s="71" t="n"/>
      <c r="W341" s="71" t="n"/>
      <c r="X341" s="71" t="n"/>
      <c r="Y341" s="71" t="n"/>
      <c r="Z341" s="71" t="n"/>
    </row>
    <row r="342" ht="15.75" customHeight="1">
      <c r="A342" s="71" t="n"/>
      <c r="B342" s="71" t="n"/>
      <c r="C342" s="71" t="n"/>
      <c r="D342" s="71" t="n"/>
      <c r="E342" s="71" t="n"/>
      <c r="F342" s="71" t="n"/>
      <c r="G342" s="71" t="n"/>
      <c r="H342" s="71" t="n"/>
      <c r="I342" s="71" t="n"/>
      <c r="J342" s="71" t="n"/>
      <c r="K342" s="71" t="n"/>
      <c r="L342" s="71" t="n"/>
      <c r="M342" s="71" t="n"/>
      <c r="N342" s="71" t="n"/>
      <c r="O342" s="71" t="n"/>
      <c r="P342" s="71" t="n"/>
      <c r="Q342" s="71" t="n"/>
      <c r="R342" s="71" t="n"/>
      <c r="S342" s="71" t="n"/>
      <c r="T342" s="71" t="n"/>
      <c r="U342" s="71" t="n"/>
      <c r="V342" s="71" t="n"/>
      <c r="W342" s="71" t="n"/>
      <c r="X342" s="71" t="n"/>
      <c r="Y342" s="71" t="n"/>
      <c r="Z342" s="71" t="n"/>
    </row>
    <row r="343" ht="15.75" customHeight="1">
      <c r="A343" s="71" t="n"/>
      <c r="B343" s="71" t="n"/>
      <c r="C343" s="71" t="n"/>
      <c r="D343" s="71" t="n"/>
      <c r="E343" s="71" t="n"/>
      <c r="F343" s="71" t="n"/>
      <c r="G343" s="71" t="n"/>
      <c r="H343" s="71" t="n"/>
      <c r="I343" s="71" t="n"/>
      <c r="J343" s="71" t="n"/>
      <c r="K343" s="71" t="n"/>
      <c r="L343" s="71" t="n"/>
      <c r="M343" s="71" t="n"/>
      <c r="N343" s="71" t="n"/>
      <c r="O343" s="71" t="n"/>
      <c r="P343" s="71" t="n"/>
      <c r="Q343" s="71" t="n"/>
      <c r="R343" s="71" t="n"/>
      <c r="S343" s="71" t="n"/>
      <c r="T343" s="71" t="n"/>
      <c r="U343" s="71" t="n"/>
      <c r="V343" s="71" t="n"/>
      <c r="W343" s="71" t="n"/>
      <c r="X343" s="71" t="n"/>
      <c r="Y343" s="71" t="n"/>
      <c r="Z343" s="71" t="n"/>
    </row>
    <row r="344" ht="15.75" customHeight="1">
      <c r="A344" s="71" t="n"/>
      <c r="B344" s="71" t="n"/>
      <c r="C344" s="71" t="n"/>
      <c r="D344" s="71" t="n"/>
      <c r="E344" s="71" t="n"/>
      <c r="F344" s="71" t="n"/>
      <c r="G344" s="71" t="n"/>
      <c r="H344" s="71" t="n"/>
      <c r="I344" s="71" t="n"/>
      <c r="J344" s="71" t="n"/>
      <c r="K344" s="71" t="n"/>
      <c r="L344" s="71" t="n"/>
      <c r="M344" s="71" t="n"/>
      <c r="N344" s="71" t="n"/>
      <c r="O344" s="71" t="n"/>
      <c r="P344" s="71" t="n"/>
      <c r="Q344" s="71" t="n"/>
      <c r="R344" s="71" t="n"/>
      <c r="S344" s="71" t="n"/>
      <c r="T344" s="71" t="n"/>
      <c r="U344" s="71" t="n"/>
      <c r="V344" s="71" t="n"/>
      <c r="W344" s="71" t="n"/>
      <c r="X344" s="71" t="n"/>
      <c r="Y344" s="71" t="n"/>
      <c r="Z344" s="71" t="n"/>
    </row>
    <row r="345" ht="15.75" customHeight="1">
      <c r="A345" s="71" t="n"/>
      <c r="B345" s="71" t="n"/>
      <c r="C345" s="71" t="n"/>
      <c r="D345" s="71" t="n"/>
      <c r="E345" s="71" t="n"/>
      <c r="F345" s="71" t="n"/>
      <c r="G345" s="71" t="n"/>
      <c r="H345" s="71" t="n"/>
      <c r="I345" s="71" t="n"/>
      <c r="J345" s="71" t="n"/>
      <c r="K345" s="71" t="n"/>
      <c r="L345" s="71" t="n"/>
      <c r="M345" s="71" t="n"/>
      <c r="N345" s="71" t="n"/>
      <c r="O345" s="71" t="n"/>
      <c r="P345" s="71" t="n"/>
      <c r="Q345" s="71" t="n"/>
      <c r="R345" s="71" t="n"/>
      <c r="S345" s="71" t="n"/>
      <c r="T345" s="71" t="n"/>
      <c r="U345" s="71" t="n"/>
      <c r="V345" s="71" t="n"/>
      <c r="W345" s="71" t="n"/>
      <c r="X345" s="71" t="n"/>
      <c r="Y345" s="71" t="n"/>
      <c r="Z345" s="71" t="n"/>
    </row>
    <row r="346" ht="15.75" customHeight="1">
      <c r="A346" s="71" t="n"/>
      <c r="B346" s="71" t="n"/>
      <c r="C346" s="71" t="n"/>
      <c r="D346" s="71" t="n"/>
      <c r="E346" s="71" t="n"/>
      <c r="F346" s="71" t="n"/>
      <c r="G346" s="71" t="n"/>
      <c r="H346" s="71" t="n"/>
      <c r="I346" s="71" t="n"/>
      <c r="J346" s="71" t="n"/>
      <c r="K346" s="71" t="n"/>
      <c r="L346" s="71" t="n"/>
      <c r="M346" s="71" t="n"/>
      <c r="N346" s="71" t="n"/>
      <c r="O346" s="71" t="n"/>
      <c r="P346" s="71" t="n"/>
      <c r="Q346" s="71" t="n"/>
      <c r="R346" s="71" t="n"/>
      <c r="S346" s="71" t="n"/>
      <c r="T346" s="71" t="n"/>
      <c r="U346" s="71" t="n"/>
      <c r="V346" s="71" t="n"/>
      <c r="W346" s="71" t="n"/>
      <c r="X346" s="71" t="n"/>
      <c r="Y346" s="71" t="n"/>
      <c r="Z346" s="71" t="n"/>
    </row>
    <row r="347" ht="15.75" customHeight="1">
      <c r="A347" s="71" t="n"/>
      <c r="B347" s="71" t="n"/>
      <c r="C347" s="71" t="n"/>
      <c r="D347" s="71" t="n"/>
      <c r="E347" s="71" t="n"/>
      <c r="F347" s="71" t="n"/>
      <c r="G347" s="71" t="n"/>
      <c r="H347" s="71" t="n"/>
      <c r="I347" s="71" t="n"/>
      <c r="J347" s="71" t="n"/>
      <c r="K347" s="71" t="n"/>
      <c r="L347" s="71" t="n"/>
      <c r="M347" s="71" t="n"/>
      <c r="N347" s="71" t="n"/>
      <c r="O347" s="71" t="n"/>
      <c r="P347" s="71" t="n"/>
      <c r="Q347" s="71" t="n"/>
      <c r="R347" s="71" t="n"/>
      <c r="S347" s="71" t="n"/>
      <c r="T347" s="71" t="n"/>
      <c r="U347" s="71" t="n"/>
      <c r="V347" s="71" t="n"/>
      <c r="W347" s="71" t="n"/>
      <c r="X347" s="71" t="n"/>
      <c r="Y347" s="71" t="n"/>
      <c r="Z347" s="71" t="n"/>
    </row>
    <row r="348" ht="15.75" customHeight="1">
      <c r="A348" s="71" t="n"/>
      <c r="B348" s="71" t="n"/>
      <c r="C348" s="71" t="n"/>
      <c r="D348" s="71" t="n"/>
      <c r="E348" s="71" t="n"/>
      <c r="F348" s="71" t="n"/>
      <c r="G348" s="71" t="n"/>
      <c r="H348" s="71" t="n"/>
      <c r="I348" s="71" t="n"/>
      <c r="J348" s="71" t="n"/>
      <c r="K348" s="71" t="n"/>
      <c r="L348" s="71" t="n"/>
      <c r="M348" s="71" t="n"/>
      <c r="N348" s="71" t="n"/>
      <c r="O348" s="71" t="n"/>
      <c r="P348" s="71" t="n"/>
      <c r="Q348" s="71" t="n"/>
      <c r="R348" s="71" t="n"/>
      <c r="S348" s="71" t="n"/>
      <c r="T348" s="71" t="n"/>
      <c r="U348" s="71" t="n"/>
      <c r="V348" s="71" t="n"/>
      <c r="W348" s="71" t="n"/>
      <c r="X348" s="71" t="n"/>
      <c r="Y348" s="71" t="n"/>
      <c r="Z348" s="71" t="n"/>
    </row>
    <row r="349" ht="15.75" customHeight="1">
      <c r="A349" s="71" t="n"/>
      <c r="B349" s="71" t="n"/>
      <c r="C349" s="71" t="n"/>
      <c r="D349" s="71" t="n"/>
      <c r="E349" s="71" t="n"/>
      <c r="F349" s="71" t="n"/>
      <c r="G349" s="71" t="n"/>
      <c r="H349" s="71" t="n"/>
      <c r="I349" s="71" t="n"/>
      <c r="J349" s="71" t="n"/>
      <c r="K349" s="71" t="n"/>
      <c r="L349" s="71" t="n"/>
      <c r="M349" s="71" t="n"/>
      <c r="N349" s="71" t="n"/>
      <c r="O349" s="71" t="n"/>
      <c r="P349" s="71" t="n"/>
      <c r="Q349" s="71" t="n"/>
      <c r="R349" s="71" t="n"/>
      <c r="S349" s="71" t="n"/>
      <c r="T349" s="71" t="n"/>
      <c r="U349" s="71" t="n"/>
      <c r="V349" s="71" t="n"/>
      <c r="W349" s="71" t="n"/>
      <c r="X349" s="71" t="n"/>
      <c r="Y349" s="71" t="n"/>
      <c r="Z349" s="71" t="n"/>
    </row>
    <row r="350" ht="15.75" customHeight="1">
      <c r="A350" s="71" t="n"/>
      <c r="B350" s="71" t="n"/>
      <c r="C350" s="71" t="n"/>
      <c r="D350" s="71" t="n"/>
      <c r="E350" s="71" t="n"/>
      <c r="F350" s="71" t="n"/>
      <c r="G350" s="71" t="n"/>
      <c r="H350" s="71" t="n"/>
      <c r="I350" s="71" t="n"/>
      <c r="J350" s="71" t="n"/>
      <c r="K350" s="71" t="n"/>
      <c r="L350" s="71" t="n"/>
      <c r="M350" s="71" t="n"/>
      <c r="N350" s="71" t="n"/>
      <c r="O350" s="71" t="n"/>
      <c r="P350" s="71" t="n"/>
      <c r="Q350" s="71" t="n"/>
      <c r="R350" s="71" t="n"/>
      <c r="S350" s="71" t="n"/>
      <c r="T350" s="71" t="n"/>
      <c r="U350" s="71" t="n"/>
      <c r="V350" s="71" t="n"/>
      <c r="W350" s="71" t="n"/>
      <c r="X350" s="71" t="n"/>
      <c r="Y350" s="71" t="n"/>
      <c r="Z350" s="71" t="n"/>
    </row>
    <row r="351" ht="15.75" customHeight="1">
      <c r="A351" s="71" t="n"/>
      <c r="B351" s="71" t="n"/>
      <c r="C351" s="71" t="n"/>
      <c r="D351" s="71" t="n"/>
      <c r="E351" s="71" t="n"/>
      <c r="F351" s="71" t="n"/>
      <c r="G351" s="71" t="n"/>
      <c r="H351" s="71" t="n"/>
      <c r="I351" s="71" t="n"/>
      <c r="J351" s="71" t="n"/>
      <c r="K351" s="71" t="n"/>
      <c r="L351" s="71" t="n"/>
      <c r="M351" s="71" t="n"/>
      <c r="N351" s="71" t="n"/>
      <c r="O351" s="71" t="n"/>
      <c r="P351" s="71" t="n"/>
      <c r="Q351" s="71" t="n"/>
      <c r="R351" s="71" t="n"/>
      <c r="S351" s="71" t="n"/>
      <c r="T351" s="71" t="n"/>
      <c r="U351" s="71" t="n"/>
      <c r="V351" s="71" t="n"/>
      <c r="W351" s="71" t="n"/>
      <c r="X351" s="71" t="n"/>
      <c r="Y351" s="71" t="n"/>
      <c r="Z351" s="71" t="n"/>
    </row>
    <row r="352" ht="15.75" customHeight="1">
      <c r="A352" s="71" t="n"/>
      <c r="B352" s="71" t="n"/>
      <c r="C352" s="71" t="n"/>
      <c r="D352" s="71" t="n"/>
      <c r="E352" s="71" t="n"/>
      <c r="F352" s="71" t="n"/>
      <c r="G352" s="71" t="n"/>
      <c r="H352" s="71" t="n"/>
      <c r="I352" s="71" t="n"/>
      <c r="J352" s="71" t="n"/>
      <c r="K352" s="71" t="n"/>
      <c r="L352" s="71" t="n"/>
      <c r="M352" s="71" t="n"/>
      <c r="N352" s="71" t="n"/>
      <c r="O352" s="71" t="n"/>
      <c r="P352" s="71" t="n"/>
      <c r="Q352" s="71" t="n"/>
      <c r="R352" s="71" t="n"/>
      <c r="S352" s="71" t="n"/>
      <c r="T352" s="71" t="n"/>
      <c r="U352" s="71" t="n"/>
      <c r="V352" s="71" t="n"/>
      <c r="W352" s="71" t="n"/>
      <c r="X352" s="71" t="n"/>
      <c r="Y352" s="71" t="n"/>
      <c r="Z352" s="71" t="n"/>
    </row>
    <row r="353" ht="15.75" customHeight="1">
      <c r="A353" s="71" t="n"/>
      <c r="B353" s="71" t="n"/>
      <c r="C353" s="71" t="n"/>
      <c r="D353" s="71" t="n"/>
      <c r="E353" s="71" t="n"/>
      <c r="F353" s="71" t="n"/>
      <c r="G353" s="71" t="n"/>
      <c r="H353" s="71" t="n"/>
      <c r="I353" s="71" t="n"/>
      <c r="J353" s="71" t="n"/>
      <c r="K353" s="71" t="n"/>
      <c r="L353" s="71" t="n"/>
      <c r="M353" s="71" t="n"/>
      <c r="N353" s="71" t="n"/>
      <c r="O353" s="71" t="n"/>
      <c r="P353" s="71" t="n"/>
      <c r="Q353" s="71" t="n"/>
      <c r="R353" s="71" t="n"/>
      <c r="S353" s="71" t="n"/>
      <c r="T353" s="71" t="n"/>
      <c r="U353" s="71" t="n"/>
      <c r="V353" s="71" t="n"/>
      <c r="W353" s="71" t="n"/>
      <c r="X353" s="71" t="n"/>
      <c r="Y353" s="71" t="n"/>
      <c r="Z353" s="71" t="n"/>
    </row>
    <row r="354" ht="15.75" customHeight="1">
      <c r="A354" s="71" t="n"/>
      <c r="B354" s="71" t="n"/>
      <c r="C354" s="71" t="n"/>
      <c r="D354" s="71" t="n"/>
      <c r="E354" s="71" t="n"/>
      <c r="F354" s="71" t="n"/>
      <c r="G354" s="71" t="n"/>
      <c r="H354" s="71" t="n"/>
      <c r="I354" s="71" t="n"/>
      <c r="J354" s="71" t="n"/>
      <c r="K354" s="71" t="n"/>
      <c r="L354" s="71" t="n"/>
      <c r="M354" s="71" t="n"/>
      <c r="N354" s="71" t="n"/>
      <c r="O354" s="71" t="n"/>
      <c r="P354" s="71" t="n"/>
      <c r="Q354" s="71" t="n"/>
      <c r="R354" s="71" t="n"/>
      <c r="S354" s="71" t="n"/>
      <c r="T354" s="71" t="n"/>
      <c r="U354" s="71" t="n"/>
      <c r="V354" s="71" t="n"/>
      <c r="W354" s="71" t="n"/>
      <c r="X354" s="71" t="n"/>
      <c r="Y354" s="71" t="n"/>
      <c r="Z354" s="71" t="n"/>
    </row>
    <row r="355" ht="15.75" customHeight="1">
      <c r="A355" s="71" t="n"/>
      <c r="B355" s="71" t="n"/>
      <c r="C355" s="71" t="n"/>
      <c r="D355" s="71" t="n"/>
      <c r="E355" s="71" t="n"/>
      <c r="F355" s="71" t="n"/>
      <c r="G355" s="71" t="n"/>
      <c r="H355" s="71" t="n"/>
      <c r="I355" s="71" t="n"/>
      <c r="J355" s="71" t="n"/>
      <c r="K355" s="71" t="n"/>
      <c r="L355" s="71" t="n"/>
      <c r="M355" s="71" t="n"/>
      <c r="N355" s="71" t="n"/>
      <c r="O355" s="71" t="n"/>
      <c r="P355" s="71" t="n"/>
      <c r="Q355" s="71" t="n"/>
      <c r="R355" s="71" t="n"/>
      <c r="S355" s="71" t="n"/>
      <c r="T355" s="71" t="n"/>
      <c r="U355" s="71" t="n"/>
      <c r="V355" s="71" t="n"/>
      <c r="W355" s="71" t="n"/>
      <c r="X355" s="71" t="n"/>
      <c r="Y355" s="71" t="n"/>
      <c r="Z355" s="71" t="n"/>
    </row>
    <row r="356" ht="15.75" customHeight="1">
      <c r="A356" s="71" t="n"/>
      <c r="B356" s="71" t="n"/>
      <c r="C356" s="71" t="n"/>
      <c r="D356" s="71" t="n"/>
      <c r="E356" s="71" t="n"/>
      <c r="F356" s="71" t="n"/>
      <c r="G356" s="71" t="n"/>
      <c r="H356" s="71" t="n"/>
      <c r="I356" s="71" t="n"/>
      <c r="J356" s="71" t="n"/>
      <c r="K356" s="71" t="n"/>
      <c r="L356" s="71" t="n"/>
      <c r="M356" s="71" t="n"/>
      <c r="N356" s="71" t="n"/>
      <c r="O356" s="71" t="n"/>
      <c r="P356" s="71" t="n"/>
      <c r="Q356" s="71" t="n"/>
      <c r="R356" s="71" t="n"/>
      <c r="S356" s="71" t="n"/>
      <c r="T356" s="71" t="n"/>
      <c r="U356" s="71" t="n"/>
      <c r="V356" s="71" t="n"/>
      <c r="W356" s="71" t="n"/>
      <c r="X356" s="71" t="n"/>
      <c r="Y356" s="71" t="n"/>
      <c r="Z356" s="71" t="n"/>
    </row>
    <row r="357" ht="15.75" customHeight="1">
      <c r="A357" s="71" t="n"/>
      <c r="B357" s="71" t="n"/>
      <c r="C357" s="71" t="n"/>
      <c r="D357" s="71" t="n"/>
      <c r="E357" s="71" t="n"/>
      <c r="F357" s="71" t="n"/>
      <c r="G357" s="71" t="n"/>
      <c r="H357" s="71" t="n"/>
      <c r="I357" s="71" t="n"/>
      <c r="J357" s="71" t="n"/>
      <c r="K357" s="71" t="n"/>
      <c r="L357" s="71" t="n"/>
      <c r="M357" s="71" t="n"/>
      <c r="N357" s="71" t="n"/>
      <c r="O357" s="71" t="n"/>
      <c r="P357" s="71" t="n"/>
      <c r="Q357" s="71" t="n"/>
      <c r="R357" s="71" t="n"/>
      <c r="S357" s="71" t="n"/>
      <c r="T357" s="71" t="n"/>
      <c r="U357" s="71" t="n"/>
      <c r="V357" s="71" t="n"/>
      <c r="W357" s="71" t="n"/>
      <c r="X357" s="71" t="n"/>
      <c r="Y357" s="71" t="n"/>
      <c r="Z357" s="71" t="n"/>
    </row>
    <row r="358" ht="15.75" customHeight="1">
      <c r="A358" s="71" t="n"/>
      <c r="B358" s="71" t="n"/>
      <c r="C358" s="71" t="n"/>
      <c r="D358" s="71" t="n"/>
      <c r="E358" s="71" t="n"/>
      <c r="F358" s="71" t="n"/>
      <c r="G358" s="71" t="n"/>
      <c r="H358" s="71" t="n"/>
      <c r="I358" s="71" t="n"/>
      <c r="J358" s="71" t="n"/>
      <c r="K358" s="71" t="n"/>
      <c r="L358" s="71" t="n"/>
      <c r="M358" s="71" t="n"/>
      <c r="N358" s="71" t="n"/>
      <c r="O358" s="71" t="n"/>
      <c r="P358" s="71" t="n"/>
      <c r="Q358" s="71" t="n"/>
      <c r="R358" s="71" t="n"/>
      <c r="S358" s="71" t="n"/>
      <c r="T358" s="71" t="n"/>
      <c r="U358" s="71" t="n"/>
      <c r="V358" s="71" t="n"/>
      <c r="W358" s="71" t="n"/>
      <c r="X358" s="71" t="n"/>
      <c r="Y358" s="71" t="n"/>
      <c r="Z358" s="71" t="n"/>
    </row>
    <row r="359" ht="15.75" customHeight="1">
      <c r="A359" s="71" t="n"/>
      <c r="B359" s="71" t="n"/>
      <c r="C359" s="71" t="n"/>
      <c r="D359" s="71" t="n"/>
      <c r="E359" s="71" t="n"/>
      <c r="F359" s="71" t="n"/>
      <c r="G359" s="71" t="n"/>
      <c r="H359" s="71" t="n"/>
      <c r="I359" s="71" t="n"/>
      <c r="J359" s="71" t="n"/>
      <c r="K359" s="71" t="n"/>
      <c r="L359" s="71" t="n"/>
      <c r="M359" s="71" t="n"/>
      <c r="N359" s="71" t="n"/>
      <c r="O359" s="71" t="n"/>
      <c r="P359" s="71" t="n"/>
      <c r="Q359" s="71" t="n"/>
      <c r="R359" s="71" t="n"/>
      <c r="S359" s="71" t="n"/>
      <c r="T359" s="71" t="n"/>
      <c r="U359" s="71" t="n"/>
      <c r="V359" s="71" t="n"/>
      <c r="W359" s="71" t="n"/>
      <c r="X359" s="71" t="n"/>
      <c r="Y359" s="71" t="n"/>
      <c r="Z359" s="71" t="n"/>
    </row>
    <row r="360" ht="15.75" customHeight="1">
      <c r="A360" s="71" t="n"/>
      <c r="B360" s="71" t="n"/>
      <c r="C360" s="71" t="n"/>
      <c r="D360" s="71" t="n"/>
      <c r="E360" s="71" t="n"/>
      <c r="F360" s="71" t="n"/>
      <c r="G360" s="71" t="n"/>
      <c r="H360" s="71" t="n"/>
      <c r="I360" s="71" t="n"/>
      <c r="J360" s="71" t="n"/>
      <c r="K360" s="71" t="n"/>
      <c r="L360" s="71" t="n"/>
      <c r="M360" s="71" t="n"/>
      <c r="N360" s="71" t="n"/>
      <c r="O360" s="71" t="n"/>
      <c r="P360" s="71" t="n"/>
      <c r="Q360" s="71" t="n"/>
      <c r="R360" s="71" t="n"/>
      <c r="S360" s="71" t="n"/>
      <c r="T360" s="71" t="n"/>
      <c r="U360" s="71" t="n"/>
      <c r="V360" s="71" t="n"/>
      <c r="W360" s="71" t="n"/>
      <c r="X360" s="71" t="n"/>
      <c r="Y360" s="71" t="n"/>
      <c r="Z360" s="71" t="n"/>
    </row>
    <row r="361" ht="15.75" customHeight="1">
      <c r="A361" s="71" t="n"/>
      <c r="B361" s="71" t="n"/>
      <c r="C361" s="71" t="n"/>
      <c r="D361" s="71" t="n"/>
      <c r="E361" s="71" t="n"/>
      <c r="F361" s="71" t="n"/>
      <c r="G361" s="71" t="n"/>
      <c r="H361" s="71" t="n"/>
      <c r="I361" s="71" t="n"/>
      <c r="J361" s="71" t="n"/>
      <c r="K361" s="71" t="n"/>
      <c r="L361" s="71" t="n"/>
      <c r="M361" s="71" t="n"/>
      <c r="N361" s="71" t="n"/>
      <c r="O361" s="71" t="n"/>
      <c r="P361" s="71" t="n"/>
      <c r="Q361" s="71" t="n"/>
      <c r="R361" s="71" t="n"/>
      <c r="S361" s="71" t="n"/>
      <c r="T361" s="71" t="n"/>
      <c r="U361" s="71" t="n"/>
      <c r="V361" s="71" t="n"/>
      <c r="W361" s="71" t="n"/>
      <c r="X361" s="71" t="n"/>
      <c r="Y361" s="71" t="n"/>
      <c r="Z361" s="71" t="n"/>
    </row>
    <row r="362" ht="15.75" customHeight="1">
      <c r="A362" s="71" t="n"/>
      <c r="B362" s="71" t="n"/>
      <c r="C362" s="71" t="n"/>
      <c r="D362" s="71" t="n"/>
      <c r="E362" s="71" t="n"/>
      <c r="F362" s="71" t="n"/>
      <c r="G362" s="71" t="n"/>
      <c r="H362" s="71" t="n"/>
      <c r="I362" s="71" t="n"/>
      <c r="J362" s="71" t="n"/>
      <c r="K362" s="71" t="n"/>
      <c r="L362" s="71" t="n"/>
      <c r="M362" s="71" t="n"/>
      <c r="N362" s="71" t="n"/>
      <c r="O362" s="71" t="n"/>
      <c r="P362" s="71" t="n"/>
      <c r="Q362" s="71" t="n"/>
      <c r="R362" s="71" t="n"/>
      <c r="S362" s="71" t="n"/>
      <c r="T362" s="71" t="n"/>
      <c r="U362" s="71" t="n"/>
      <c r="V362" s="71" t="n"/>
      <c r="W362" s="71" t="n"/>
      <c r="X362" s="71" t="n"/>
      <c r="Y362" s="71" t="n"/>
      <c r="Z362" s="71" t="n"/>
    </row>
    <row r="363" ht="15.75" customHeight="1">
      <c r="A363" s="71" t="n"/>
      <c r="B363" s="71" t="n"/>
      <c r="C363" s="71" t="n"/>
      <c r="D363" s="71" t="n"/>
      <c r="E363" s="71" t="n"/>
      <c r="F363" s="71" t="n"/>
      <c r="G363" s="71" t="n"/>
      <c r="H363" s="71" t="n"/>
      <c r="I363" s="71" t="n"/>
      <c r="J363" s="71" t="n"/>
      <c r="K363" s="71" t="n"/>
      <c r="L363" s="71" t="n"/>
      <c r="M363" s="71" t="n"/>
      <c r="N363" s="71" t="n"/>
      <c r="O363" s="71" t="n"/>
      <c r="P363" s="71" t="n"/>
      <c r="Q363" s="71" t="n"/>
      <c r="R363" s="71" t="n"/>
      <c r="S363" s="71" t="n"/>
      <c r="T363" s="71" t="n"/>
      <c r="U363" s="71" t="n"/>
      <c r="V363" s="71" t="n"/>
      <c r="W363" s="71" t="n"/>
      <c r="X363" s="71" t="n"/>
      <c r="Y363" s="71" t="n"/>
      <c r="Z363" s="71" t="n"/>
    </row>
    <row r="364" ht="15.75" customHeight="1">
      <c r="A364" s="71" t="n"/>
      <c r="B364" s="71" t="n"/>
      <c r="C364" s="71" t="n"/>
      <c r="D364" s="71" t="n"/>
      <c r="E364" s="71" t="n"/>
      <c r="F364" s="71" t="n"/>
      <c r="G364" s="71" t="n"/>
      <c r="H364" s="71" t="n"/>
      <c r="I364" s="71" t="n"/>
      <c r="J364" s="71" t="n"/>
      <c r="K364" s="71" t="n"/>
      <c r="L364" s="71" t="n"/>
      <c r="M364" s="71" t="n"/>
      <c r="N364" s="71" t="n"/>
      <c r="O364" s="71" t="n"/>
      <c r="P364" s="71" t="n"/>
      <c r="Q364" s="71" t="n"/>
      <c r="R364" s="71" t="n"/>
      <c r="S364" s="71" t="n"/>
      <c r="T364" s="71" t="n"/>
      <c r="U364" s="71" t="n"/>
      <c r="V364" s="71" t="n"/>
      <c r="W364" s="71" t="n"/>
      <c r="X364" s="71" t="n"/>
      <c r="Y364" s="71" t="n"/>
      <c r="Z364" s="71" t="n"/>
    </row>
    <row r="365" ht="15.75" customHeight="1">
      <c r="A365" s="71" t="n"/>
      <c r="B365" s="71" t="n"/>
      <c r="C365" s="71" t="n"/>
      <c r="D365" s="71" t="n"/>
      <c r="E365" s="71" t="n"/>
      <c r="F365" s="71" t="n"/>
      <c r="G365" s="71" t="n"/>
      <c r="H365" s="71" t="n"/>
      <c r="I365" s="71" t="n"/>
      <c r="J365" s="71" t="n"/>
      <c r="K365" s="71" t="n"/>
      <c r="L365" s="71" t="n"/>
      <c r="M365" s="71" t="n"/>
      <c r="N365" s="71" t="n"/>
      <c r="O365" s="71" t="n"/>
      <c r="P365" s="71" t="n"/>
      <c r="Q365" s="71" t="n"/>
      <c r="R365" s="71" t="n"/>
      <c r="S365" s="71" t="n"/>
      <c r="T365" s="71" t="n"/>
      <c r="U365" s="71" t="n"/>
      <c r="V365" s="71" t="n"/>
      <c r="W365" s="71" t="n"/>
      <c r="X365" s="71" t="n"/>
      <c r="Y365" s="71" t="n"/>
      <c r="Z365" s="71" t="n"/>
    </row>
    <row r="366" ht="15.75" customHeight="1">
      <c r="A366" s="71" t="n"/>
      <c r="B366" s="71" t="n"/>
      <c r="C366" s="71" t="n"/>
      <c r="D366" s="71" t="n"/>
      <c r="E366" s="71" t="n"/>
      <c r="F366" s="71" t="n"/>
      <c r="G366" s="71" t="n"/>
      <c r="H366" s="71" t="n"/>
      <c r="I366" s="71" t="n"/>
      <c r="J366" s="71" t="n"/>
      <c r="K366" s="71" t="n"/>
      <c r="L366" s="71" t="n"/>
      <c r="M366" s="71" t="n"/>
      <c r="N366" s="71" t="n"/>
      <c r="O366" s="71" t="n"/>
      <c r="P366" s="71" t="n"/>
      <c r="Q366" s="71" t="n"/>
      <c r="R366" s="71" t="n"/>
      <c r="S366" s="71" t="n"/>
      <c r="T366" s="71" t="n"/>
      <c r="U366" s="71" t="n"/>
      <c r="V366" s="71" t="n"/>
      <c r="W366" s="71" t="n"/>
      <c r="X366" s="71" t="n"/>
      <c r="Y366" s="71" t="n"/>
      <c r="Z366" s="71" t="n"/>
    </row>
    <row r="367" ht="15.75" customHeight="1">
      <c r="A367" s="71" t="n"/>
      <c r="B367" s="71" t="n"/>
      <c r="C367" s="71" t="n"/>
      <c r="D367" s="71" t="n"/>
      <c r="E367" s="71" t="n"/>
      <c r="F367" s="71" t="n"/>
      <c r="G367" s="71" t="n"/>
      <c r="H367" s="71" t="n"/>
      <c r="I367" s="71" t="n"/>
      <c r="J367" s="71" t="n"/>
      <c r="K367" s="71" t="n"/>
      <c r="L367" s="71" t="n"/>
      <c r="M367" s="71" t="n"/>
      <c r="N367" s="71" t="n"/>
      <c r="O367" s="71" t="n"/>
      <c r="P367" s="71" t="n"/>
      <c r="Q367" s="71" t="n"/>
      <c r="R367" s="71" t="n"/>
      <c r="S367" s="71" t="n"/>
      <c r="T367" s="71" t="n"/>
      <c r="U367" s="71" t="n"/>
      <c r="V367" s="71" t="n"/>
      <c r="W367" s="71" t="n"/>
      <c r="X367" s="71" t="n"/>
      <c r="Y367" s="71" t="n"/>
      <c r="Z367" s="71" t="n"/>
    </row>
    <row r="368" ht="15.75" customHeight="1">
      <c r="A368" s="71" t="n"/>
      <c r="B368" s="71" t="n"/>
      <c r="C368" s="71" t="n"/>
      <c r="D368" s="71" t="n"/>
      <c r="E368" s="71" t="n"/>
      <c r="F368" s="71" t="n"/>
      <c r="G368" s="71" t="n"/>
      <c r="H368" s="71" t="n"/>
      <c r="I368" s="71" t="n"/>
      <c r="J368" s="71" t="n"/>
      <c r="K368" s="71" t="n"/>
      <c r="L368" s="71" t="n"/>
      <c r="M368" s="71" t="n"/>
      <c r="N368" s="71" t="n"/>
      <c r="O368" s="71" t="n"/>
      <c r="P368" s="71" t="n"/>
      <c r="Q368" s="71" t="n"/>
      <c r="R368" s="71" t="n"/>
      <c r="S368" s="71" t="n"/>
      <c r="T368" s="71" t="n"/>
      <c r="U368" s="71" t="n"/>
      <c r="V368" s="71" t="n"/>
      <c r="W368" s="71" t="n"/>
      <c r="X368" s="71" t="n"/>
      <c r="Y368" s="71" t="n"/>
      <c r="Z368" s="71" t="n"/>
    </row>
    <row r="369" ht="15.75" customHeight="1">
      <c r="A369" s="71" t="n"/>
      <c r="B369" s="71" t="n"/>
      <c r="C369" s="71" t="n"/>
      <c r="D369" s="71" t="n"/>
      <c r="E369" s="71" t="n"/>
      <c r="F369" s="71" t="n"/>
      <c r="G369" s="71" t="n"/>
      <c r="H369" s="71" t="n"/>
      <c r="I369" s="71" t="n"/>
      <c r="J369" s="71" t="n"/>
      <c r="K369" s="71" t="n"/>
      <c r="L369" s="71" t="n"/>
      <c r="M369" s="71" t="n"/>
      <c r="N369" s="71" t="n"/>
      <c r="O369" s="71" t="n"/>
      <c r="P369" s="71" t="n"/>
      <c r="Q369" s="71" t="n"/>
      <c r="R369" s="71" t="n"/>
      <c r="S369" s="71" t="n"/>
      <c r="T369" s="71" t="n"/>
      <c r="U369" s="71" t="n"/>
      <c r="V369" s="71" t="n"/>
      <c r="W369" s="71" t="n"/>
      <c r="X369" s="71" t="n"/>
      <c r="Y369" s="71" t="n"/>
      <c r="Z369" s="71" t="n"/>
    </row>
    <row r="370" ht="15.75" customHeight="1">
      <c r="A370" s="71" t="n"/>
      <c r="B370" s="71" t="n"/>
      <c r="C370" s="71" t="n"/>
      <c r="D370" s="71" t="n"/>
      <c r="E370" s="71" t="n"/>
      <c r="F370" s="71" t="n"/>
      <c r="G370" s="71" t="n"/>
      <c r="H370" s="71" t="n"/>
      <c r="I370" s="71" t="n"/>
      <c r="J370" s="71" t="n"/>
      <c r="K370" s="71" t="n"/>
      <c r="L370" s="71" t="n"/>
      <c r="M370" s="71" t="n"/>
      <c r="N370" s="71" t="n"/>
      <c r="O370" s="71" t="n"/>
      <c r="P370" s="71" t="n"/>
      <c r="Q370" s="71" t="n"/>
      <c r="R370" s="71" t="n"/>
      <c r="S370" s="71" t="n"/>
      <c r="T370" s="71" t="n"/>
      <c r="U370" s="71" t="n"/>
      <c r="V370" s="71" t="n"/>
      <c r="W370" s="71" t="n"/>
      <c r="X370" s="71" t="n"/>
      <c r="Y370" s="71" t="n"/>
      <c r="Z370" s="71" t="n"/>
    </row>
    <row r="371" ht="15.75" customHeight="1">
      <c r="A371" s="71" t="n"/>
      <c r="B371" s="71" t="n"/>
      <c r="C371" s="71" t="n"/>
      <c r="D371" s="71" t="n"/>
      <c r="E371" s="71" t="n"/>
      <c r="F371" s="71" t="n"/>
      <c r="G371" s="71" t="n"/>
      <c r="H371" s="71" t="n"/>
      <c r="I371" s="71" t="n"/>
      <c r="J371" s="71" t="n"/>
      <c r="K371" s="71" t="n"/>
      <c r="L371" s="71" t="n"/>
      <c r="M371" s="71" t="n"/>
      <c r="N371" s="71" t="n"/>
      <c r="O371" s="71" t="n"/>
      <c r="P371" s="71" t="n"/>
      <c r="Q371" s="71" t="n"/>
      <c r="R371" s="71" t="n"/>
      <c r="S371" s="71" t="n"/>
      <c r="T371" s="71" t="n"/>
      <c r="U371" s="71" t="n"/>
      <c r="V371" s="71" t="n"/>
      <c r="W371" s="71" t="n"/>
      <c r="X371" s="71" t="n"/>
      <c r="Y371" s="71" t="n"/>
      <c r="Z371" s="71" t="n"/>
    </row>
    <row r="372" ht="15.75" customHeight="1">
      <c r="A372" s="71" t="n"/>
      <c r="B372" s="71" t="n"/>
      <c r="C372" s="71" t="n"/>
      <c r="D372" s="71" t="n"/>
      <c r="E372" s="71" t="n"/>
      <c r="F372" s="71" t="n"/>
      <c r="G372" s="71" t="n"/>
      <c r="H372" s="71" t="n"/>
      <c r="I372" s="71" t="n"/>
      <c r="J372" s="71" t="n"/>
      <c r="K372" s="71" t="n"/>
      <c r="L372" s="71" t="n"/>
      <c r="M372" s="71" t="n"/>
      <c r="N372" s="71" t="n"/>
      <c r="O372" s="71" t="n"/>
      <c r="P372" s="71" t="n"/>
      <c r="Q372" s="71" t="n"/>
      <c r="R372" s="71" t="n"/>
      <c r="S372" s="71" t="n"/>
      <c r="T372" s="71" t="n"/>
      <c r="U372" s="71" t="n"/>
      <c r="V372" s="71" t="n"/>
      <c r="W372" s="71" t="n"/>
      <c r="X372" s="71" t="n"/>
      <c r="Y372" s="71" t="n"/>
      <c r="Z372" s="71" t="n"/>
    </row>
    <row r="373" ht="15.75" customHeight="1">
      <c r="A373" s="71" t="n"/>
      <c r="B373" s="71" t="n"/>
      <c r="C373" s="71" t="n"/>
      <c r="D373" s="71" t="n"/>
      <c r="E373" s="71" t="n"/>
      <c r="F373" s="71" t="n"/>
      <c r="G373" s="71" t="n"/>
      <c r="H373" s="71" t="n"/>
      <c r="I373" s="71" t="n"/>
      <c r="J373" s="71" t="n"/>
      <c r="K373" s="71" t="n"/>
      <c r="L373" s="71" t="n"/>
      <c r="M373" s="71" t="n"/>
      <c r="N373" s="71" t="n"/>
      <c r="O373" s="71" t="n"/>
      <c r="P373" s="71" t="n"/>
      <c r="Q373" s="71" t="n"/>
      <c r="R373" s="71" t="n"/>
      <c r="S373" s="71" t="n"/>
      <c r="T373" s="71" t="n"/>
      <c r="U373" s="71" t="n"/>
      <c r="V373" s="71" t="n"/>
      <c r="W373" s="71" t="n"/>
      <c r="X373" s="71" t="n"/>
      <c r="Y373" s="71" t="n"/>
      <c r="Z373" s="71" t="n"/>
    </row>
    <row r="374" ht="15.75" customHeight="1">
      <c r="A374" s="71" t="n"/>
      <c r="B374" s="71" t="n"/>
      <c r="C374" s="71" t="n"/>
      <c r="D374" s="71" t="n"/>
      <c r="E374" s="71" t="n"/>
      <c r="F374" s="71" t="n"/>
      <c r="G374" s="71" t="n"/>
      <c r="H374" s="71" t="n"/>
      <c r="I374" s="71" t="n"/>
      <c r="J374" s="71" t="n"/>
      <c r="K374" s="71" t="n"/>
      <c r="L374" s="71" t="n"/>
      <c r="M374" s="71" t="n"/>
      <c r="N374" s="71" t="n"/>
      <c r="O374" s="71" t="n"/>
      <c r="P374" s="71" t="n"/>
      <c r="Q374" s="71" t="n"/>
      <c r="R374" s="71" t="n"/>
      <c r="S374" s="71" t="n"/>
      <c r="T374" s="71" t="n"/>
      <c r="U374" s="71" t="n"/>
      <c r="V374" s="71" t="n"/>
      <c r="W374" s="71" t="n"/>
      <c r="X374" s="71" t="n"/>
      <c r="Y374" s="71" t="n"/>
      <c r="Z374" s="71" t="n"/>
    </row>
    <row r="375" ht="15.75" customHeight="1">
      <c r="A375" s="71" t="n"/>
      <c r="B375" s="71" t="n"/>
      <c r="C375" s="71" t="n"/>
      <c r="D375" s="71" t="n"/>
      <c r="E375" s="71" t="n"/>
      <c r="F375" s="71" t="n"/>
      <c r="G375" s="71" t="n"/>
      <c r="H375" s="71" t="n"/>
      <c r="I375" s="71" t="n"/>
      <c r="J375" s="71" t="n"/>
      <c r="K375" s="71" t="n"/>
      <c r="L375" s="71" t="n"/>
      <c r="M375" s="71" t="n"/>
      <c r="N375" s="71" t="n"/>
      <c r="O375" s="71" t="n"/>
      <c r="P375" s="71" t="n"/>
      <c r="Q375" s="71" t="n"/>
      <c r="R375" s="71" t="n"/>
      <c r="S375" s="71" t="n"/>
      <c r="T375" s="71" t="n"/>
      <c r="U375" s="71" t="n"/>
      <c r="V375" s="71" t="n"/>
      <c r="W375" s="71" t="n"/>
      <c r="X375" s="71" t="n"/>
      <c r="Y375" s="71" t="n"/>
      <c r="Z375" s="71" t="n"/>
    </row>
    <row r="376" ht="15.75" customHeight="1">
      <c r="A376" s="71" t="n"/>
      <c r="B376" s="71" t="n"/>
      <c r="C376" s="71" t="n"/>
      <c r="D376" s="71" t="n"/>
      <c r="E376" s="71" t="n"/>
      <c r="F376" s="71" t="n"/>
      <c r="G376" s="71" t="n"/>
      <c r="H376" s="71" t="n"/>
      <c r="I376" s="71" t="n"/>
      <c r="J376" s="71" t="n"/>
      <c r="K376" s="71" t="n"/>
      <c r="L376" s="71" t="n"/>
      <c r="M376" s="71" t="n"/>
      <c r="N376" s="71" t="n"/>
      <c r="O376" s="71" t="n"/>
      <c r="P376" s="71" t="n"/>
      <c r="Q376" s="71" t="n"/>
      <c r="R376" s="71" t="n"/>
      <c r="S376" s="71" t="n"/>
      <c r="T376" s="71" t="n"/>
      <c r="U376" s="71" t="n"/>
      <c r="V376" s="71" t="n"/>
      <c r="W376" s="71" t="n"/>
      <c r="X376" s="71" t="n"/>
      <c r="Y376" s="71" t="n"/>
      <c r="Z376" s="71" t="n"/>
    </row>
    <row r="377" ht="15.75" customHeight="1">
      <c r="A377" s="71" t="n"/>
      <c r="B377" s="71" t="n"/>
      <c r="C377" s="71" t="n"/>
      <c r="D377" s="71" t="n"/>
      <c r="E377" s="71" t="n"/>
      <c r="F377" s="71" t="n"/>
      <c r="G377" s="71" t="n"/>
      <c r="H377" s="71" t="n"/>
      <c r="I377" s="71" t="n"/>
      <c r="J377" s="71" t="n"/>
      <c r="K377" s="71" t="n"/>
      <c r="L377" s="71" t="n"/>
      <c r="M377" s="71" t="n"/>
      <c r="N377" s="71" t="n"/>
      <c r="O377" s="71" t="n"/>
      <c r="P377" s="71" t="n"/>
      <c r="Q377" s="71" t="n"/>
      <c r="R377" s="71" t="n"/>
      <c r="S377" s="71" t="n"/>
      <c r="T377" s="71" t="n"/>
      <c r="U377" s="71" t="n"/>
      <c r="V377" s="71" t="n"/>
      <c r="W377" s="71" t="n"/>
      <c r="X377" s="71" t="n"/>
      <c r="Y377" s="71" t="n"/>
      <c r="Z377" s="71" t="n"/>
    </row>
    <row r="378" ht="15.75" customHeight="1">
      <c r="A378" s="71" t="n"/>
      <c r="B378" s="71" t="n"/>
      <c r="C378" s="71" t="n"/>
      <c r="D378" s="71" t="n"/>
      <c r="E378" s="71" t="n"/>
      <c r="F378" s="71" t="n"/>
      <c r="G378" s="71" t="n"/>
      <c r="H378" s="71" t="n"/>
      <c r="I378" s="71" t="n"/>
      <c r="J378" s="71" t="n"/>
      <c r="K378" s="71" t="n"/>
      <c r="L378" s="71" t="n"/>
      <c r="M378" s="71" t="n"/>
      <c r="N378" s="71" t="n"/>
      <c r="O378" s="71" t="n"/>
      <c r="P378" s="71" t="n"/>
      <c r="Q378" s="71" t="n"/>
      <c r="R378" s="71" t="n"/>
      <c r="S378" s="71" t="n"/>
      <c r="T378" s="71" t="n"/>
      <c r="U378" s="71" t="n"/>
      <c r="V378" s="71" t="n"/>
      <c r="W378" s="71" t="n"/>
      <c r="X378" s="71" t="n"/>
      <c r="Y378" s="71" t="n"/>
      <c r="Z378" s="71" t="n"/>
    </row>
    <row r="379" ht="15.75" customHeight="1">
      <c r="A379" s="71" t="n"/>
      <c r="B379" s="71" t="n"/>
      <c r="C379" s="71" t="n"/>
      <c r="D379" s="71" t="n"/>
      <c r="E379" s="71" t="n"/>
      <c r="F379" s="71" t="n"/>
      <c r="G379" s="71" t="n"/>
      <c r="H379" s="71" t="n"/>
      <c r="I379" s="71" t="n"/>
      <c r="J379" s="71" t="n"/>
      <c r="K379" s="71" t="n"/>
      <c r="L379" s="71" t="n"/>
      <c r="M379" s="71" t="n"/>
      <c r="N379" s="71" t="n"/>
      <c r="O379" s="71" t="n"/>
      <c r="P379" s="71" t="n"/>
      <c r="Q379" s="71" t="n"/>
      <c r="R379" s="71" t="n"/>
      <c r="S379" s="71" t="n"/>
      <c r="T379" s="71" t="n"/>
      <c r="U379" s="71" t="n"/>
      <c r="V379" s="71" t="n"/>
      <c r="W379" s="71" t="n"/>
      <c r="X379" s="71" t="n"/>
      <c r="Y379" s="71" t="n"/>
      <c r="Z379" s="71" t="n"/>
    </row>
    <row r="380" ht="15.75" customHeight="1">
      <c r="A380" s="71" t="n"/>
      <c r="B380" s="71" t="n"/>
      <c r="C380" s="71" t="n"/>
      <c r="D380" s="71" t="n"/>
      <c r="E380" s="71" t="n"/>
      <c r="F380" s="71" t="n"/>
      <c r="G380" s="71" t="n"/>
      <c r="H380" s="71" t="n"/>
      <c r="I380" s="71" t="n"/>
      <c r="J380" s="71" t="n"/>
      <c r="K380" s="71" t="n"/>
      <c r="L380" s="71" t="n"/>
      <c r="M380" s="71" t="n"/>
      <c r="N380" s="71" t="n"/>
      <c r="O380" s="71" t="n"/>
      <c r="P380" s="71" t="n"/>
      <c r="Q380" s="71" t="n"/>
      <c r="R380" s="71" t="n"/>
      <c r="S380" s="71" t="n"/>
      <c r="T380" s="71" t="n"/>
      <c r="U380" s="71" t="n"/>
      <c r="V380" s="71" t="n"/>
      <c r="W380" s="71" t="n"/>
      <c r="X380" s="71" t="n"/>
      <c r="Y380" s="71" t="n"/>
      <c r="Z380" s="71" t="n"/>
    </row>
    <row r="381" ht="15.75" customHeight="1">
      <c r="A381" s="71" t="n"/>
      <c r="B381" s="71" t="n"/>
      <c r="C381" s="71" t="n"/>
      <c r="D381" s="71" t="n"/>
      <c r="E381" s="71" t="n"/>
      <c r="F381" s="71" t="n"/>
      <c r="G381" s="71" t="n"/>
      <c r="H381" s="71" t="n"/>
      <c r="I381" s="71" t="n"/>
      <c r="J381" s="71" t="n"/>
      <c r="K381" s="71" t="n"/>
      <c r="L381" s="71" t="n"/>
      <c r="M381" s="71" t="n"/>
      <c r="N381" s="71" t="n"/>
      <c r="O381" s="71" t="n"/>
      <c r="P381" s="71" t="n"/>
      <c r="Q381" s="71" t="n"/>
      <c r="R381" s="71" t="n"/>
      <c r="S381" s="71" t="n"/>
      <c r="T381" s="71" t="n"/>
      <c r="U381" s="71" t="n"/>
      <c r="V381" s="71" t="n"/>
      <c r="W381" s="71" t="n"/>
      <c r="X381" s="71" t="n"/>
      <c r="Y381" s="71" t="n"/>
      <c r="Z381" s="71" t="n"/>
    </row>
    <row r="382" ht="15.75" customHeight="1">
      <c r="A382" s="71" t="n"/>
      <c r="B382" s="71" t="n"/>
      <c r="C382" s="71" t="n"/>
      <c r="D382" s="71" t="n"/>
      <c r="E382" s="71" t="n"/>
      <c r="F382" s="71" t="n"/>
      <c r="G382" s="71" t="n"/>
      <c r="H382" s="71" t="n"/>
      <c r="I382" s="71" t="n"/>
      <c r="J382" s="71" t="n"/>
      <c r="K382" s="71" t="n"/>
      <c r="L382" s="71" t="n"/>
      <c r="M382" s="71" t="n"/>
      <c r="N382" s="71" t="n"/>
      <c r="O382" s="71" t="n"/>
      <c r="P382" s="71" t="n"/>
      <c r="Q382" s="71" t="n"/>
      <c r="R382" s="71" t="n"/>
      <c r="S382" s="71" t="n"/>
      <c r="T382" s="71" t="n"/>
      <c r="U382" s="71" t="n"/>
      <c r="V382" s="71" t="n"/>
      <c r="W382" s="71" t="n"/>
      <c r="X382" s="71" t="n"/>
      <c r="Y382" s="71" t="n"/>
      <c r="Z382" s="71" t="n"/>
    </row>
    <row r="383" ht="15.75" customHeight="1">
      <c r="A383" s="71" t="n"/>
      <c r="B383" s="71" t="n"/>
      <c r="C383" s="71" t="n"/>
      <c r="D383" s="71" t="n"/>
      <c r="E383" s="71" t="n"/>
      <c r="F383" s="71" t="n"/>
      <c r="G383" s="71" t="n"/>
      <c r="H383" s="71" t="n"/>
      <c r="I383" s="71" t="n"/>
      <c r="J383" s="71" t="n"/>
      <c r="K383" s="71" t="n"/>
      <c r="L383" s="71" t="n"/>
      <c r="M383" s="71" t="n"/>
      <c r="N383" s="71" t="n"/>
      <c r="O383" s="71" t="n"/>
      <c r="P383" s="71" t="n"/>
      <c r="Q383" s="71" t="n"/>
      <c r="R383" s="71" t="n"/>
      <c r="S383" s="71" t="n"/>
      <c r="T383" s="71" t="n"/>
      <c r="U383" s="71" t="n"/>
      <c r="V383" s="71" t="n"/>
      <c r="W383" s="71" t="n"/>
      <c r="X383" s="71" t="n"/>
      <c r="Y383" s="71" t="n"/>
      <c r="Z383" s="71" t="n"/>
    </row>
    <row r="384" ht="15.75" customHeight="1">
      <c r="A384" s="71" t="n"/>
      <c r="B384" s="71" t="n"/>
      <c r="C384" s="71" t="n"/>
      <c r="D384" s="71" t="n"/>
      <c r="E384" s="71" t="n"/>
      <c r="F384" s="71" t="n"/>
      <c r="G384" s="71" t="n"/>
      <c r="H384" s="71" t="n"/>
      <c r="I384" s="71" t="n"/>
      <c r="J384" s="71" t="n"/>
      <c r="K384" s="71" t="n"/>
      <c r="L384" s="71" t="n"/>
      <c r="M384" s="71" t="n"/>
      <c r="N384" s="71" t="n"/>
      <c r="O384" s="71" t="n"/>
      <c r="P384" s="71" t="n"/>
      <c r="Q384" s="71" t="n"/>
      <c r="R384" s="71" t="n"/>
      <c r="S384" s="71" t="n"/>
      <c r="T384" s="71" t="n"/>
      <c r="U384" s="71" t="n"/>
      <c r="V384" s="71" t="n"/>
      <c r="W384" s="71" t="n"/>
      <c r="X384" s="71" t="n"/>
      <c r="Y384" s="71" t="n"/>
      <c r="Z384" s="71" t="n"/>
    </row>
    <row r="385" ht="15.75" customHeight="1">
      <c r="A385" s="71" t="n"/>
      <c r="B385" s="71" t="n"/>
      <c r="C385" s="71" t="n"/>
      <c r="D385" s="71" t="n"/>
      <c r="E385" s="71" t="n"/>
      <c r="F385" s="71" t="n"/>
      <c r="G385" s="71" t="n"/>
      <c r="H385" s="71" t="n"/>
      <c r="I385" s="71" t="n"/>
      <c r="J385" s="71" t="n"/>
      <c r="K385" s="71" t="n"/>
      <c r="L385" s="71" t="n"/>
      <c r="M385" s="71" t="n"/>
      <c r="N385" s="71" t="n"/>
      <c r="O385" s="71" t="n"/>
      <c r="P385" s="71" t="n"/>
      <c r="Q385" s="71" t="n"/>
      <c r="R385" s="71" t="n"/>
      <c r="S385" s="71" t="n"/>
      <c r="T385" s="71" t="n"/>
      <c r="U385" s="71" t="n"/>
      <c r="V385" s="71" t="n"/>
      <c r="W385" s="71" t="n"/>
      <c r="X385" s="71" t="n"/>
      <c r="Y385" s="71" t="n"/>
      <c r="Z385" s="71" t="n"/>
    </row>
    <row r="386" ht="15.75" customHeight="1">
      <c r="A386" s="71" t="n"/>
      <c r="B386" s="71" t="n"/>
      <c r="C386" s="71" t="n"/>
      <c r="D386" s="71" t="n"/>
      <c r="E386" s="71" t="n"/>
      <c r="F386" s="71" t="n"/>
      <c r="G386" s="71" t="n"/>
      <c r="H386" s="71" t="n"/>
      <c r="I386" s="71" t="n"/>
      <c r="J386" s="71" t="n"/>
      <c r="K386" s="71" t="n"/>
      <c r="L386" s="71" t="n"/>
      <c r="M386" s="71" t="n"/>
      <c r="N386" s="71" t="n"/>
      <c r="O386" s="71" t="n"/>
      <c r="P386" s="71" t="n"/>
      <c r="Q386" s="71" t="n"/>
      <c r="R386" s="71" t="n"/>
      <c r="S386" s="71" t="n"/>
      <c r="T386" s="71" t="n"/>
      <c r="U386" s="71" t="n"/>
      <c r="V386" s="71" t="n"/>
      <c r="W386" s="71" t="n"/>
      <c r="X386" s="71" t="n"/>
      <c r="Y386" s="71" t="n"/>
      <c r="Z386" s="71" t="n"/>
    </row>
    <row r="387" ht="15.75" customHeight="1">
      <c r="A387" s="71" t="n"/>
      <c r="B387" s="71" t="n"/>
      <c r="C387" s="71" t="n"/>
      <c r="D387" s="71" t="n"/>
      <c r="E387" s="71" t="n"/>
      <c r="F387" s="71" t="n"/>
      <c r="G387" s="71" t="n"/>
      <c r="H387" s="71" t="n"/>
      <c r="I387" s="71" t="n"/>
      <c r="J387" s="71" t="n"/>
      <c r="K387" s="71" t="n"/>
      <c r="L387" s="71" t="n"/>
      <c r="M387" s="71" t="n"/>
      <c r="N387" s="71" t="n"/>
      <c r="O387" s="71" t="n"/>
      <c r="P387" s="71" t="n"/>
      <c r="Q387" s="71" t="n"/>
      <c r="R387" s="71" t="n"/>
      <c r="S387" s="71" t="n"/>
      <c r="T387" s="71" t="n"/>
      <c r="U387" s="71" t="n"/>
      <c r="V387" s="71" t="n"/>
      <c r="W387" s="71" t="n"/>
      <c r="X387" s="71" t="n"/>
      <c r="Y387" s="71" t="n"/>
      <c r="Z387" s="71" t="n"/>
    </row>
    <row r="388" ht="15.75" customHeight="1">
      <c r="A388" s="71" t="n"/>
      <c r="B388" s="71" t="n"/>
      <c r="C388" s="71" t="n"/>
      <c r="D388" s="71" t="n"/>
      <c r="E388" s="71" t="n"/>
      <c r="F388" s="71" t="n"/>
      <c r="G388" s="71" t="n"/>
      <c r="H388" s="71" t="n"/>
      <c r="I388" s="71" t="n"/>
      <c r="J388" s="71" t="n"/>
      <c r="K388" s="71" t="n"/>
      <c r="L388" s="71" t="n"/>
      <c r="M388" s="71" t="n"/>
      <c r="N388" s="71" t="n"/>
      <c r="O388" s="71" t="n"/>
      <c r="P388" s="71" t="n"/>
      <c r="Q388" s="71" t="n"/>
      <c r="R388" s="71" t="n"/>
      <c r="S388" s="71" t="n"/>
      <c r="T388" s="71" t="n"/>
      <c r="U388" s="71" t="n"/>
      <c r="V388" s="71" t="n"/>
      <c r="W388" s="71" t="n"/>
      <c r="X388" s="71" t="n"/>
      <c r="Y388" s="71" t="n"/>
      <c r="Z388" s="71" t="n"/>
    </row>
    <row r="389" ht="15.75" customHeight="1">
      <c r="A389" s="71" t="n"/>
      <c r="B389" s="71" t="n"/>
      <c r="C389" s="71" t="n"/>
      <c r="D389" s="71" t="n"/>
      <c r="E389" s="71" t="n"/>
      <c r="F389" s="71" t="n"/>
      <c r="G389" s="71" t="n"/>
      <c r="H389" s="71" t="n"/>
      <c r="I389" s="71" t="n"/>
      <c r="J389" s="71" t="n"/>
      <c r="K389" s="71" t="n"/>
      <c r="L389" s="71" t="n"/>
      <c r="M389" s="71" t="n"/>
      <c r="N389" s="71" t="n"/>
      <c r="O389" s="71" t="n"/>
      <c r="P389" s="71" t="n"/>
      <c r="Q389" s="71" t="n"/>
      <c r="R389" s="71" t="n"/>
      <c r="S389" s="71" t="n"/>
      <c r="T389" s="71" t="n"/>
      <c r="U389" s="71" t="n"/>
      <c r="V389" s="71" t="n"/>
      <c r="W389" s="71" t="n"/>
      <c r="X389" s="71" t="n"/>
      <c r="Y389" s="71" t="n"/>
      <c r="Z389" s="71" t="n"/>
    </row>
    <row r="390" ht="15.75" customHeight="1">
      <c r="A390" s="71" t="n"/>
      <c r="B390" s="71" t="n"/>
      <c r="C390" s="71" t="n"/>
      <c r="D390" s="71" t="n"/>
      <c r="E390" s="71" t="n"/>
      <c r="F390" s="71" t="n"/>
      <c r="G390" s="71" t="n"/>
      <c r="H390" s="71" t="n"/>
      <c r="I390" s="71" t="n"/>
      <c r="J390" s="71" t="n"/>
      <c r="K390" s="71" t="n"/>
      <c r="L390" s="71" t="n"/>
      <c r="M390" s="71" t="n"/>
      <c r="N390" s="71" t="n"/>
      <c r="O390" s="71" t="n"/>
      <c r="P390" s="71" t="n"/>
      <c r="Q390" s="71" t="n"/>
      <c r="R390" s="71" t="n"/>
      <c r="S390" s="71" t="n"/>
      <c r="T390" s="71" t="n"/>
      <c r="U390" s="71" t="n"/>
      <c r="V390" s="71" t="n"/>
      <c r="W390" s="71" t="n"/>
      <c r="X390" s="71" t="n"/>
      <c r="Y390" s="71" t="n"/>
      <c r="Z390" s="71" t="n"/>
    </row>
    <row r="391" ht="15.75" customHeight="1">
      <c r="A391" s="71" t="n"/>
      <c r="B391" s="71" t="n"/>
      <c r="C391" s="71" t="n"/>
      <c r="D391" s="71" t="n"/>
      <c r="E391" s="71" t="n"/>
      <c r="F391" s="71" t="n"/>
      <c r="G391" s="71" t="n"/>
      <c r="H391" s="71" t="n"/>
      <c r="I391" s="71" t="n"/>
      <c r="J391" s="71" t="n"/>
      <c r="K391" s="71" t="n"/>
      <c r="L391" s="71" t="n"/>
      <c r="M391" s="71" t="n"/>
      <c r="N391" s="71" t="n"/>
      <c r="O391" s="71" t="n"/>
      <c r="P391" s="71" t="n"/>
      <c r="Q391" s="71" t="n"/>
      <c r="R391" s="71" t="n"/>
      <c r="S391" s="71" t="n"/>
      <c r="T391" s="71" t="n"/>
      <c r="U391" s="71" t="n"/>
      <c r="V391" s="71" t="n"/>
      <c r="W391" s="71" t="n"/>
      <c r="X391" s="71" t="n"/>
      <c r="Y391" s="71" t="n"/>
      <c r="Z391" s="71" t="n"/>
    </row>
    <row r="392" ht="15.75" customHeight="1">
      <c r="A392" s="71" t="n"/>
      <c r="B392" s="71" t="n"/>
      <c r="C392" s="71" t="n"/>
      <c r="D392" s="71" t="n"/>
      <c r="E392" s="71" t="n"/>
      <c r="F392" s="71" t="n"/>
      <c r="G392" s="71" t="n"/>
      <c r="H392" s="71" t="n"/>
      <c r="I392" s="71" t="n"/>
      <c r="J392" s="71" t="n"/>
      <c r="K392" s="71" t="n"/>
      <c r="L392" s="71" t="n"/>
      <c r="M392" s="71" t="n"/>
      <c r="N392" s="71" t="n"/>
      <c r="O392" s="71" t="n"/>
      <c r="P392" s="71" t="n"/>
      <c r="Q392" s="71" t="n"/>
      <c r="R392" s="71" t="n"/>
      <c r="S392" s="71" t="n"/>
      <c r="T392" s="71" t="n"/>
      <c r="U392" s="71" t="n"/>
      <c r="V392" s="71" t="n"/>
      <c r="W392" s="71" t="n"/>
      <c r="X392" s="71" t="n"/>
      <c r="Y392" s="71" t="n"/>
      <c r="Z392" s="71" t="n"/>
    </row>
    <row r="393" ht="15.75" customHeight="1">
      <c r="A393" s="71" t="n"/>
      <c r="B393" s="71" t="n"/>
      <c r="C393" s="71" t="n"/>
      <c r="D393" s="71" t="n"/>
      <c r="E393" s="71" t="n"/>
      <c r="F393" s="71" t="n"/>
      <c r="G393" s="71" t="n"/>
      <c r="H393" s="71" t="n"/>
      <c r="I393" s="71" t="n"/>
      <c r="J393" s="71" t="n"/>
      <c r="K393" s="71" t="n"/>
      <c r="L393" s="71" t="n"/>
      <c r="M393" s="71" t="n"/>
      <c r="N393" s="71" t="n"/>
      <c r="O393" s="71" t="n"/>
      <c r="P393" s="71" t="n"/>
      <c r="Q393" s="71" t="n"/>
      <c r="R393" s="71" t="n"/>
      <c r="S393" s="71" t="n"/>
      <c r="T393" s="71" t="n"/>
      <c r="U393" s="71" t="n"/>
      <c r="V393" s="71" t="n"/>
      <c r="W393" s="71" t="n"/>
      <c r="X393" s="71" t="n"/>
      <c r="Y393" s="71" t="n"/>
      <c r="Z393" s="71" t="n"/>
    </row>
    <row r="394" ht="15.75" customHeight="1">
      <c r="A394" s="71" t="n"/>
      <c r="B394" s="71" t="n"/>
      <c r="C394" s="71" t="n"/>
      <c r="D394" s="71" t="n"/>
      <c r="E394" s="71" t="n"/>
      <c r="F394" s="71" t="n"/>
      <c r="G394" s="71" t="n"/>
      <c r="H394" s="71" t="n"/>
      <c r="I394" s="71" t="n"/>
      <c r="J394" s="71" t="n"/>
      <c r="K394" s="71" t="n"/>
      <c r="L394" s="71" t="n"/>
      <c r="M394" s="71" t="n"/>
      <c r="N394" s="71" t="n"/>
      <c r="O394" s="71" t="n"/>
      <c r="P394" s="71" t="n"/>
      <c r="Q394" s="71" t="n"/>
      <c r="R394" s="71" t="n"/>
      <c r="S394" s="71" t="n"/>
      <c r="T394" s="71" t="n"/>
      <c r="U394" s="71" t="n"/>
      <c r="V394" s="71" t="n"/>
      <c r="W394" s="71" t="n"/>
      <c r="X394" s="71" t="n"/>
      <c r="Y394" s="71" t="n"/>
      <c r="Z394" s="71" t="n"/>
    </row>
    <row r="395" ht="15.75" customHeight="1">
      <c r="A395" s="71" t="n"/>
      <c r="B395" s="71" t="n"/>
      <c r="C395" s="71" t="n"/>
      <c r="D395" s="71" t="n"/>
      <c r="E395" s="71" t="n"/>
      <c r="F395" s="71" t="n"/>
      <c r="G395" s="71" t="n"/>
      <c r="H395" s="71" t="n"/>
      <c r="I395" s="71" t="n"/>
      <c r="J395" s="71" t="n"/>
      <c r="K395" s="71" t="n"/>
      <c r="L395" s="71" t="n"/>
      <c r="M395" s="71" t="n"/>
      <c r="N395" s="71" t="n"/>
      <c r="O395" s="71" t="n"/>
      <c r="P395" s="71" t="n"/>
      <c r="Q395" s="71" t="n"/>
      <c r="R395" s="71" t="n"/>
      <c r="S395" s="71" t="n"/>
      <c r="T395" s="71" t="n"/>
      <c r="U395" s="71" t="n"/>
      <c r="V395" s="71" t="n"/>
      <c r="W395" s="71" t="n"/>
      <c r="X395" s="71" t="n"/>
      <c r="Y395" s="71" t="n"/>
      <c r="Z395" s="71" t="n"/>
    </row>
    <row r="396" ht="15.75" customHeight="1">
      <c r="A396" s="71" t="n"/>
      <c r="B396" s="71" t="n"/>
      <c r="C396" s="71" t="n"/>
      <c r="D396" s="71" t="n"/>
      <c r="E396" s="71" t="n"/>
      <c r="F396" s="71" t="n"/>
      <c r="G396" s="71" t="n"/>
      <c r="H396" s="71" t="n"/>
      <c r="I396" s="71" t="n"/>
      <c r="J396" s="71" t="n"/>
      <c r="K396" s="71" t="n"/>
      <c r="L396" s="71" t="n"/>
      <c r="M396" s="71" t="n"/>
      <c r="N396" s="71" t="n"/>
      <c r="O396" s="71" t="n"/>
      <c r="P396" s="71" t="n"/>
      <c r="Q396" s="71" t="n"/>
      <c r="R396" s="71" t="n"/>
      <c r="S396" s="71" t="n"/>
      <c r="T396" s="71" t="n"/>
      <c r="U396" s="71" t="n"/>
      <c r="V396" s="71" t="n"/>
      <c r="W396" s="71" t="n"/>
      <c r="X396" s="71" t="n"/>
      <c r="Y396" s="71" t="n"/>
      <c r="Z396" s="71" t="n"/>
    </row>
    <row r="397" ht="15.75" customHeight="1">
      <c r="A397" s="71" t="n"/>
      <c r="B397" s="71" t="n"/>
      <c r="C397" s="71" t="n"/>
      <c r="D397" s="71" t="n"/>
      <c r="E397" s="71" t="n"/>
      <c r="F397" s="71" t="n"/>
      <c r="G397" s="71" t="n"/>
      <c r="H397" s="71" t="n"/>
      <c r="I397" s="71" t="n"/>
      <c r="J397" s="71" t="n"/>
      <c r="K397" s="71" t="n"/>
      <c r="L397" s="71" t="n"/>
      <c r="M397" s="71" t="n"/>
      <c r="N397" s="71" t="n"/>
      <c r="O397" s="71" t="n"/>
      <c r="P397" s="71" t="n"/>
      <c r="Q397" s="71" t="n"/>
      <c r="R397" s="71" t="n"/>
      <c r="S397" s="71" t="n"/>
      <c r="T397" s="71" t="n"/>
      <c r="U397" s="71" t="n"/>
      <c r="V397" s="71" t="n"/>
      <c r="W397" s="71" t="n"/>
      <c r="X397" s="71" t="n"/>
      <c r="Y397" s="71" t="n"/>
      <c r="Z397" s="71" t="n"/>
    </row>
    <row r="398" ht="15.75" customHeight="1">
      <c r="A398" s="71" t="n"/>
      <c r="B398" s="71" t="n"/>
      <c r="C398" s="71" t="n"/>
      <c r="D398" s="71" t="n"/>
      <c r="E398" s="71" t="n"/>
      <c r="F398" s="71" t="n"/>
      <c r="G398" s="71" t="n"/>
      <c r="H398" s="71" t="n"/>
      <c r="I398" s="71" t="n"/>
      <c r="J398" s="71" t="n"/>
      <c r="K398" s="71" t="n"/>
      <c r="L398" s="71" t="n"/>
      <c r="M398" s="71" t="n"/>
      <c r="N398" s="71" t="n"/>
      <c r="O398" s="71" t="n"/>
      <c r="P398" s="71" t="n"/>
      <c r="Q398" s="71" t="n"/>
      <c r="R398" s="71" t="n"/>
      <c r="S398" s="71" t="n"/>
      <c r="T398" s="71" t="n"/>
      <c r="U398" s="71" t="n"/>
      <c r="V398" s="71" t="n"/>
      <c r="W398" s="71" t="n"/>
      <c r="X398" s="71" t="n"/>
      <c r="Y398" s="71" t="n"/>
      <c r="Z398" s="71" t="n"/>
    </row>
    <row r="399" ht="15.75" customHeight="1">
      <c r="A399" s="71" t="n"/>
      <c r="B399" s="71" t="n"/>
      <c r="C399" s="71" t="n"/>
      <c r="D399" s="71" t="n"/>
      <c r="E399" s="71" t="n"/>
      <c r="F399" s="71" t="n"/>
      <c r="G399" s="71" t="n"/>
      <c r="H399" s="71" t="n"/>
      <c r="I399" s="71" t="n"/>
      <c r="J399" s="71" t="n"/>
      <c r="K399" s="71" t="n"/>
      <c r="L399" s="71" t="n"/>
      <c r="M399" s="71" t="n"/>
      <c r="N399" s="71" t="n"/>
      <c r="O399" s="71" t="n"/>
      <c r="P399" s="71" t="n"/>
      <c r="Q399" s="71" t="n"/>
      <c r="R399" s="71" t="n"/>
      <c r="S399" s="71" t="n"/>
      <c r="T399" s="71" t="n"/>
      <c r="U399" s="71" t="n"/>
      <c r="V399" s="71" t="n"/>
      <c r="W399" s="71" t="n"/>
      <c r="X399" s="71" t="n"/>
      <c r="Y399" s="71" t="n"/>
      <c r="Z399" s="71" t="n"/>
    </row>
    <row r="400" ht="15.75" customHeight="1">
      <c r="A400" s="71" t="n"/>
      <c r="B400" s="71" t="n"/>
      <c r="C400" s="71" t="n"/>
      <c r="D400" s="71" t="n"/>
      <c r="E400" s="71" t="n"/>
      <c r="F400" s="71" t="n"/>
      <c r="G400" s="71" t="n"/>
      <c r="H400" s="71" t="n"/>
      <c r="I400" s="71" t="n"/>
      <c r="J400" s="71" t="n"/>
      <c r="K400" s="71" t="n"/>
      <c r="L400" s="71" t="n"/>
      <c r="M400" s="71" t="n"/>
      <c r="N400" s="71" t="n"/>
      <c r="O400" s="71" t="n"/>
      <c r="P400" s="71" t="n"/>
      <c r="Q400" s="71" t="n"/>
      <c r="R400" s="71" t="n"/>
      <c r="S400" s="71" t="n"/>
      <c r="T400" s="71" t="n"/>
      <c r="U400" s="71" t="n"/>
      <c r="V400" s="71" t="n"/>
      <c r="W400" s="71" t="n"/>
      <c r="X400" s="71" t="n"/>
      <c r="Y400" s="71" t="n"/>
      <c r="Z400" s="71" t="n"/>
    </row>
    <row r="401" ht="15.75" customHeight="1">
      <c r="A401" s="71" t="n"/>
      <c r="B401" s="71" t="n"/>
      <c r="C401" s="71" t="n"/>
      <c r="D401" s="71" t="n"/>
      <c r="E401" s="71" t="n"/>
      <c r="F401" s="71" t="n"/>
      <c r="G401" s="71" t="n"/>
      <c r="H401" s="71" t="n"/>
      <c r="I401" s="71" t="n"/>
      <c r="J401" s="71" t="n"/>
      <c r="K401" s="71" t="n"/>
      <c r="L401" s="71" t="n"/>
      <c r="M401" s="71" t="n"/>
      <c r="N401" s="71" t="n"/>
      <c r="O401" s="71" t="n"/>
      <c r="P401" s="71" t="n"/>
      <c r="Q401" s="71" t="n"/>
      <c r="R401" s="71" t="n"/>
      <c r="S401" s="71" t="n"/>
      <c r="T401" s="71" t="n"/>
      <c r="U401" s="71" t="n"/>
      <c r="V401" s="71" t="n"/>
      <c r="W401" s="71" t="n"/>
      <c r="X401" s="71" t="n"/>
      <c r="Y401" s="71" t="n"/>
      <c r="Z401" s="71" t="n"/>
    </row>
    <row r="402" ht="15.75" customHeight="1">
      <c r="A402" s="71" t="n"/>
      <c r="B402" s="71" t="n"/>
      <c r="C402" s="71" t="n"/>
      <c r="D402" s="71" t="n"/>
      <c r="E402" s="71" t="n"/>
      <c r="F402" s="71" t="n"/>
      <c r="G402" s="71" t="n"/>
      <c r="H402" s="71" t="n"/>
      <c r="I402" s="71" t="n"/>
      <c r="J402" s="71" t="n"/>
      <c r="K402" s="71" t="n"/>
      <c r="L402" s="71" t="n"/>
      <c r="M402" s="71" t="n"/>
      <c r="N402" s="71" t="n"/>
      <c r="O402" s="71" t="n"/>
      <c r="P402" s="71" t="n"/>
      <c r="Q402" s="71" t="n"/>
      <c r="R402" s="71" t="n"/>
      <c r="S402" s="71" t="n"/>
      <c r="T402" s="71" t="n"/>
      <c r="U402" s="71" t="n"/>
      <c r="V402" s="71" t="n"/>
      <c r="W402" s="71" t="n"/>
      <c r="X402" s="71" t="n"/>
      <c r="Y402" s="71" t="n"/>
      <c r="Z402" s="71" t="n"/>
    </row>
    <row r="403" ht="15.75" customHeight="1">
      <c r="A403" s="71" t="n"/>
      <c r="B403" s="71" t="n"/>
      <c r="C403" s="71" t="n"/>
      <c r="D403" s="71" t="n"/>
      <c r="E403" s="71" t="n"/>
      <c r="F403" s="71" t="n"/>
      <c r="G403" s="71" t="n"/>
      <c r="H403" s="71" t="n"/>
      <c r="I403" s="71" t="n"/>
      <c r="J403" s="71" t="n"/>
      <c r="K403" s="71" t="n"/>
      <c r="L403" s="71" t="n"/>
      <c r="M403" s="71" t="n"/>
      <c r="N403" s="71" t="n"/>
      <c r="O403" s="71" t="n"/>
      <c r="P403" s="71" t="n"/>
      <c r="Q403" s="71" t="n"/>
      <c r="R403" s="71" t="n"/>
      <c r="S403" s="71" t="n"/>
      <c r="T403" s="71" t="n"/>
      <c r="U403" s="71" t="n"/>
      <c r="V403" s="71" t="n"/>
      <c r="W403" s="71" t="n"/>
      <c r="X403" s="71" t="n"/>
      <c r="Y403" s="71" t="n"/>
      <c r="Z403" s="71" t="n"/>
    </row>
    <row r="404" ht="15.75" customHeight="1">
      <c r="A404" s="71" t="n"/>
      <c r="B404" s="71" t="n"/>
      <c r="C404" s="71" t="n"/>
      <c r="D404" s="71" t="n"/>
      <c r="E404" s="71" t="n"/>
      <c r="F404" s="71" t="n"/>
      <c r="G404" s="71" t="n"/>
      <c r="H404" s="71" t="n"/>
      <c r="I404" s="71" t="n"/>
      <c r="J404" s="71" t="n"/>
      <c r="K404" s="71" t="n"/>
      <c r="L404" s="71" t="n"/>
      <c r="M404" s="71" t="n"/>
      <c r="N404" s="71" t="n"/>
      <c r="O404" s="71" t="n"/>
      <c r="P404" s="71" t="n"/>
      <c r="Q404" s="71" t="n"/>
      <c r="R404" s="71" t="n"/>
      <c r="S404" s="71" t="n"/>
      <c r="T404" s="71" t="n"/>
      <c r="U404" s="71" t="n"/>
      <c r="V404" s="71" t="n"/>
      <c r="W404" s="71" t="n"/>
      <c r="X404" s="71" t="n"/>
      <c r="Y404" s="71" t="n"/>
      <c r="Z404" s="71" t="n"/>
    </row>
    <row r="405" ht="15.75" customHeight="1">
      <c r="A405" s="71" t="n"/>
      <c r="B405" s="71" t="n"/>
      <c r="C405" s="71" t="n"/>
      <c r="D405" s="71" t="n"/>
      <c r="E405" s="71" t="n"/>
      <c r="F405" s="71" t="n"/>
      <c r="G405" s="71" t="n"/>
      <c r="H405" s="71" t="n"/>
      <c r="I405" s="71" t="n"/>
      <c r="J405" s="71" t="n"/>
      <c r="K405" s="71" t="n"/>
      <c r="L405" s="71" t="n"/>
      <c r="M405" s="71" t="n"/>
      <c r="N405" s="71" t="n"/>
      <c r="O405" s="71" t="n"/>
      <c r="P405" s="71" t="n"/>
      <c r="Q405" s="71" t="n"/>
      <c r="R405" s="71" t="n"/>
      <c r="S405" s="71" t="n"/>
      <c r="T405" s="71" t="n"/>
      <c r="U405" s="71" t="n"/>
      <c r="V405" s="71" t="n"/>
      <c r="W405" s="71" t="n"/>
      <c r="X405" s="71" t="n"/>
      <c r="Y405" s="71" t="n"/>
      <c r="Z405" s="71" t="n"/>
    </row>
    <row r="406" ht="15.75" customHeight="1">
      <c r="A406" s="71" t="n"/>
      <c r="B406" s="71" t="n"/>
      <c r="C406" s="71" t="n"/>
      <c r="D406" s="71" t="n"/>
      <c r="E406" s="71" t="n"/>
      <c r="F406" s="71" t="n"/>
      <c r="G406" s="71" t="n"/>
      <c r="H406" s="71" t="n"/>
      <c r="I406" s="71" t="n"/>
      <c r="J406" s="71" t="n"/>
      <c r="K406" s="71" t="n"/>
      <c r="L406" s="71" t="n"/>
      <c r="M406" s="71" t="n"/>
      <c r="N406" s="71" t="n"/>
      <c r="O406" s="71" t="n"/>
      <c r="P406" s="71" t="n"/>
      <c r="Q406" s="71" t="n"/>
      <c r="R406" s="71" t="n"/>
      <c r="S406" s="71" t="n"/>
      <c r="T406" s="71" t="n"/>
      <c r="U406" s="71" t="n"/>
      <c r="V406" s="71" t="n"/>
      <c r="W406" s="71" t="n"/>
      <c r="X406" s="71" t="n"/>
      <c r="Y406" s="71" t="n"/>
      <c r="Z406" s="71" t="n"/>
    </row>
    <row r="407" ht="15.75" customHeight="1">
      <c r="A407" s="71" t="n"/>
      <c r="B407" s="71" t="n"/>
      <c r="C407" s="71" t="n"/>
      <c r="D407" s="71" t="n"/>
      <c r="E407" s="71" t="n"/>
      <c r="F407" s="71" t="n"/>
      <c r="G407" s="71" t="n"/>
      <c r="H407" s="71" t="n"/>
      <c r="I407" s="71" t="n"/>
      <c r="J407" s="71" t="n"/>
      <c r="K407" s="71" t="n"/>
      <c r="L407" s="71" t="n"/>
      <c r="M407" s="71" t="n"/>
      <c r="N407" s="71" t="n"/>
      <c r="O407" s="71" t="n"/>
      <c r="P407" s="71" t="n"/>
      <c r="Q407" s="71" t="n"/>
      <c r="R407" s="71" t="n"/>
      <c r="S407" s="71" t="n"/>
      <c r="T407" s="71" t="n"/>
      <c r="U407" s="71" t="n"/>
      <c r="V407" s="71" t="n"/>
      <c r="W407" s="71" t="n"/>
      <c r="X407" s="71" t="n"/>
      <c r="Y407" s="71" t="n"/>
      <c r="Z407" s="71" t="n"/>
    </row>
    <row r="408" ht="15.75" customHeight="1">
      <c r="A408" s="71" t="n"/>
      <c r="B408" s="71" t="n"/>
      <c r="C408" s="71" t="n"/>
      <c r="D408" s="71" t="n"/>
      <c r="E408" s="71" t="n"/>
      <c r="F408" s="71" t="n"/>
      <c r="G408" s="71" t="n"/>
      <c r="H408" s="71" t="n"/>
      <c r="I408" s="71" t="n"/>
      <c r="J408" s="71" t="n"/>
      <c r="K408" s="71" t="n"/>
      <c r="L408" s="71" t="n"/>
      <c r="M408" s="71" t="n"/>
      <c r="N408" s="71" t="n"/>
      <c r="O408" s="71" t="n"/>
      <c r="P408" s="71" t="n"/>
      <c r="Q408" s="71" t="n"/>
      <c r="R408" s="71" t="n"/>
      <c r="S408" s="71" t="n"/>
      <c r="T408" s="71" t="n"/>
      <c r="U408" s="71" t="n"/>
      <c r="V408" s="71" t="n"/>
      <c r="W408" s="71" t="n"/>
      <c r="X408" s="71" t="n"/>
      <c r="Y408" s="71" t="n"/>
      <c r="Z408" s="71" t="n"/>
    </row>
    <row r="409" ht="15.75" customHeight="1">
      <c r="A409" s="71" t="n"/>
      <c r="B409" s="71" t="n"/>
      <c r="C409" s="71" t="n"/>
      <c r="D409" s="71" t="n"/>
      <c r="E409" s="71" t="n"/>
      <c r="F409" s="71" t="n"/>
      <c r="G409" s="71" t="n"/>
      <c r="H409" s="71" t="n"/>
      <c r="I409" s="71" t="n"/>
      <c r="J409" s="71" t="n"/>
      <c r="K409" s="71" t="n"/>
      <c r="L409" s="71" t="n"/>
      <c r="M409" s="71" t="n"/>
      <c r="N409" s="71" t="n"/>
      <c r="O409" s="71" t="n"/>
      <c r="P409" s="71" t="n"/>
      <c r="Q409" s="71" t="n"/>
      <c r="R409" s="71" t="n"/>
      <c r="S409" s="71" t="n"/>
      <c r="T409" s="71" t="n"/>
      <c r="U409" s="71" t="n"/>
      <c r="V409" s="71" t="n"/>
      <c r="W409" s="71" t="n"/>
      <c r="X409" s="71" t="n"/>
      <c r="Y409" s="71" t="n"/>
      <c r="Z409" s="71" t="n"/>
    </row>
    <row r="410" ht="15.75" customHeight="1">
      <c r="A410" s="71" t="n"/>
      <c r="B410" s="71" t="n"/>
      <c r="C410" s="71" t="n"/>
      <c r="D410" s="71" t="n"/>
      <c r="E410" s="71" t="n"/>
      <c r="F410" s="71" t="n"/>
      <c r="G410" s="71" t="n"/>
      <c r="H410" s="71" t="n"/>
      <c r="I410" s="71" t="n"/>
      <c r="J410" s="71" t="n"/>
      <c r="K410" s="71" t="n"/>
      <c r="L410" s="71" t="n"/>
      <c r="M410" s="71" t="n"/>
      <c r="N410" s="71" t="n"/>
      <c r="O410" s="71" t="n"/>
      <c r="P410" s="71" t="n"/>
      <c r="Q410" s="71" t="n"/>
      <c r="R410" s="71" t="n"/>
      <c r="S410" s="71" t="n"/>
      <c r="T410" s="71" t="n"/>
      <c r="U410" s="71" t="n"/>
      <c r="V410" s="71" t="n"/>
      <c r="W410" s="71" t="n"/>
      <c r="X410" s="71" t="n"/>
      <c r="Y410" s="71" t="n"/>
      <c r="Z410" s="71" t="n"/>
    </row>
    <row r="411" ht="15.75" customHeight="1">
      <c r="A411" s="71" t="n"/>
      <c r="B411" s="71" t="n"/>
      <c r="C411" s="71" t="n"/>
      <c r="D411" s="71" t="n"/>
      <c r="E411" s="71" t="n"/>
      <c r="F411" s="71" t="n"/>
      <c r="G411" s="71" t="n"/>
      <c r="H411" s="71" t="n"/>
      <c r="I411" s="71" t="n"/>
      <c r="J411" s="71" t="n"/>
      <c r="K411" s="71" t="n"/>
      <c r="L411" s="71" t="n"/>
      <c r="M411" s="71" t="n"/>
      <c r="N411" s="71" t="n"/>
      <c r="O411" s="71" t="n"/>
      <c r="P411" s="71" t="n"/>
      <c r="Q411" s="71" t="n"/>
      <c r="R411" s="71" t="n"/>
      <c r="S411" s="71" t="n"/>
      <c r="T411" s="71" t="n"/>
      <c r="U411" s="71" t="n"/>
      <c r="V411" s="71" t="n"/>
      <c r="W411" s="71" t="n"/>
      <c r="X411" s="71" t="n"/>
      <c r="Y411" s="71" t="n"/>
      <c r="Z411" s="71" t="n"/>
    </row>
    <row r="412" ht="15.75" customHeight="1">
      <c r="A412" s="71" t="n"/>
      <c r="B412" s="71" t="n"/>
      <c r="C412" s="71" t="n"/>
      <c r="D412" s="71" t="n"/>
      <c r="E412" s="71" t="n"/>
      <c r="F412" s="71" t="n"/>
      <c r="G412" s="71" t="n"/>
      <c r="H412" s="71" t="n"/>
      <c r="I412" s="71" t="n"/>
      <c r="J412" s="71" t="n"/>
      <c r="K412" s="71" t="n"/>
      <c r="L412" s="71" t="n"/>
      <c r="M412" s="71" t="n"/>
      <c r="N412" s="71" t="n"/>
      <c r="O412" s="71" t="n"/>
      <c r="P412" s="71" t="n"/>
      <c r="Q412" s="71" t="n"/>
      <c r="R412" s="71" t="n"/>
      <c r="S412" s="71" t="n"/>
      <c r="T412" s="71" t="n"/>
      <c r="U412" s="71" t="n"/>
      <c r="V412" s="71" t="n"/>
      <c r="W412" s="71" t="n"/>
      <c r="X412" s="71" t="n"/>
      <c r="Y412" s="71" t="n"/>
      <c r="Z412" s="71" t="n"/>
    </row>
    <row r="413" ht="15.75" customHeight="1">
      <c r="A413" s="71" t="n"/>
      <c r="B413" s="71" t="n"/>
      <c r="C413" s="71" t="n"/>
      <c r="D413" s="71" t="n"/>
      <c r="E413" s="71" t="n"/>
      <c r="F413" s="71" t="n"/>
      <c r="G413" s="71" t="n"/>
      <c r="H413" s="71" t="n"/>
      <c r="I413" s="71" t="n"/>
      <c r="J413" s="71" t="n"/>
      <c r="K413" s="71" t="n"/>
      <c r="L413" s="71" t="n"/>
      <c r="M413" s="71" t="n"/>
      <c r="N413" s="71" t="n"/>
      <c r="O413" s="71" t="n"/>
      <c r="P413" s="71" t="n"/>
      <c r="Q413" s="71" t="n"/>
      <c r="R413" s="71" t="n"/>
      <c r="S413" s="71" t="n"/>
      <c r="T413" s="71" t="n"/>
      <c r="U413" s="71" t="n"/>
      <c r="V413" s="71" t="n"/>
      <c r="W413" s="71" t="n"/>
      <c r="X413" s="71" t="n"/>
      <c r="Y413" s="71" t="n"/>
      <c r="Z413" s="71" t="n"/>
    </row>
    <row r="414" ht="15.75" customHeight="1">
      <c r="A414" s="71" t="n"/>
      <c r="B414" s="71" t="n"/>
      <c r="C414" s="71" t="n"/>
      <c r="D414" s="71" t="n"/>
      <c r="E414" s="71" t="n"/>
      <c r="F414" s="71" t="n"/>
      <c r="G414" s="71" t="n"/>
      <c r="H414" s="71" t="n"/>
      <c r="I414" s="71" t="n"/>
      <c r="J414" s="71" t="n"/>
      <c r="K414" s="71" t="n"/>
      <c r="L414" s="71" t="n"/>
      <c r="M414" s="71" t="n"/>
      <c r="N414" s="71" t="n"/>
      <c r="O414" s="71" t="n"/>
      <c r="P414" s="71" t="n"/>
      <c r="Q414" s="71" t="n"/>
      <c r="R414" s="71" t="n"/>
      <c r="S414" s="71" t="n"/>
      <c r="T414" s="71" t="n"/>
      <c r="U414" s="71" t="n"/>
      <c r="V414" s="71" t="n"/>
      <c r="W414" s="71" t="n"/>
      <c r="X414" s="71" t="n"/>
      <c r="Y414" s="71" t="n"/>
      <c r="Z414" s="71" t="n"/>
    </row>
    <row r="415" ht="15.75" customHeight="1">
      <c r="A415" s="71" t="n"/>
      <c r="B415" s="71" t="n"/>
      <c r="C415" s="71" t="n"/>
      <c r="D415" s="71" t="n"/>
      <c r="E415" s="71" t="n"/>
      <c r="F415" s="71" t="n"/>
      <c r="G415" s="71" t="n"/>
      <c r="H415" s="71" t="n"/>
      <c r="I415" s="71" t="n"/>
      <c r="J415" s="71" t="n"/>
      <c r="K415" s="71" t="n"/>
      <c r="L415" s="71" t="n"/>
      <c r="M415" s="71" t="n"/>
      <c r="N415" s="71" t="n"/>
      <c r="O415" s="71" t="n"/>
      <c r="P415" s="71" t="n"/>
      <c r="Q415" s="71" t="n"/>
      <c r="R415" s="71" t="n"/>
      <c r="S415" s="71" t="n"/>
      <c r="T415" s="71" t="n"/>
      <c r="U415" s="71" t="n"/>
      <c r="V415" s="71" t="n"/>
      <c r="W415" s="71" t="n"/>
      <c r="X415" s="71" t="n"/>
      <c r="Y415" s="71" t="n"/>
      <c r="Z415" s="71" t="n"/>
    </row>
    <row r="416" ht="15.75" customHeight="1">
      <c r="A416" s="71" t="n"/>
      <c r="B416" s="71" t="n"/>
      <c r="C416" s="71" t="n"/>
      <c r="D416" s="71" t="n"/>
      <c r="E416" s="71" t="n"/>
      <c r="F416" s="71" t="n"/>
      <c r="G416" s="71" t="n"/>
      <c r="H416" s="71" t="n"/>
      <c r="I416" s="71" t="n"/>
      <c r="J416" s="71" t="n"/>
      <c r="K416" s="71" t="n"/>
      <c r="L416" s="71" t="n"/>
      <c r="M416" s="71" t="n"/>
      <c r="N416" s="71" t="n"/>
      <c r="O416" s="71" t="n"/>
      <c r="P416" s="71" t="n"/>
      <c r="Q416" s="71" t="n"/>
      <c r="R416" s="71" t="n"/>
      <c r="S416" s="71" t="n"/>
      <c r="T416" s="71" t="n"/>
      <c r="U416" s="71" t="n"/>
      <c r="V416" s="71" t="n"/>
      <c r="W416" s="71" t="n"/>
      <c r="X416" s="71" t="n"/>
      <c r="Y416" s="71" t="n"/>
      <c r="Z416" s="71" t="n"/>
    </row>
    <row r="417" ht="15.75" customHeight="1">
      <c r="A417" s="71" t="n"/>
      <c r="B417" s="71" t="n"/>
      <c r="C417" s="71" t="n"/>
      <c r="D417" s="71" t="n"/>
      <c r="E417" s="71" t="n"/>
      <c r="F417" s="71" t="n"/>
      <c r="G417" s="71" t="n"/>
      <c r="H417" s="71" t="n"/>
      <c r="I417" s="71" t="n"/>
      <c r="J417" s="71" t="n"/>
      <c r="K417" s="71" t="n"/>
      <c r="L417" s="71" t="n"/>
      <c r="M417" s="71" t="n"/>
      <c r="N417" s="71" t="n"/>
      <c r="O417" s="71" t="n"/>
      <c r="P417" s="71" t="n"/>
      <c r="Q417" s="71" t="n"/>
      <c r="R417" s="71" t="n"/>
      <c r="S417" s="71" t="n"/>
      <c r="T417" s="71" t="n"/>
      <c r="U417" s="71" t="n"/>
      <c r="V417" s="71" t="n"/>
      <c r="W417" s="71" t="n"/>
      <c r="X417" s="71" t="n"/>
      <c r="Y417" s="71" t="n"/>
      <c r="Z417" s="71" t="n"/>
    </row>
    <row r="418" ht="15.75" customHeight="1">
      <c r="A418" s="71" t="n"/>
      <c r="B418" s="71" t="n"/>
      <c r="C418" s="71" t="n"/>
      <c r="D418" s="71" t="n"/>
      <c r="E418" s="71" t="n"/>
      <c r="F418" s="71" t="n"/>
      <c r="G418" s="71" t="n"/>
      <c r="H418" s="71" t="n"/>
      <c r="I418" s="71" t="n"/>
      <c r="J418" s="71" t="n"/>
      <c r="K418" s="71" t="n"/>
      <c r="L418" s="71" t="n"/>
      <c r="M418" s="71" t="n"/>
      <c r="N418" s="71" t="n"/>
      <c r="O418" s="71" t="n"/>
      <c r="P418" s="71" t="n"/>
      <c r="Q418" s="71" t="n"/>
      <c r="R418" s="71" t="n"/>
      <c r="S418" s="71" t="n"/>
      <c r="T418" s="71" t="n"/>
      <c r="U418" s="71" t="n"/>
      <c r="V418" s="71" t="n"/>
      <c r="W418" s="71" t="n"/>
      <c r="X418" s="71" t="n"/>
      <c r="Y418" s="71" t="n"/>
      <c r="Z418" s="71" t="n"/>
    </row>
    <row r="419" ht="15.75" customHeight="1">
      <c r="A419" s="71" t="n"/>
      <c r="B419" s="71" t="n"/>
      <c r="C419" s="71" t="n"/>
      <c r="D419" s="71" t="n"/>
      <c r="E419" s="71" t="n"/>
      <c r="F419" s="71" t="n"/>
      <c r="G419" s="71" t="n"/>
      <c r="H419" s="71" t="n"/>
      <c r="I419" s="71" t="n"/>
      <c r="J419" s="71" t="n"/>
      <c r="K419" s="71" t="n"/>
      <c r="L419" s="71" t="n"/>
      <c r="M419" s="71" t="n"/>
      <c r="N419" s="71" t="n"/>
      <c r="O419" s="71" t="n"/>
      <c r="P419" s="71" t="n"/>
      <c r="Q419" s="71" t="n"/>
      <c r="R419" s="71" t="n"/>
      <c r="S419" s="71" t="n"/>
      <c r="T419" s="71" t="n"/>
      <c r="U419" s="71" t="n"/>
      <c r="V419" s="71" t="n"/>
      <c r="W419" s="71" t="n"/>
      <c r="X419" s="71" t="n"/>
      <c r="Y419" s="71" t="n"/>
      <c r="Z419" s="71" t="n"/>
    </row>
    <row r="420" ht="15.75" customHeight="1">
      <c r="A420" s="71" t="n"/>
      <c r="B420" s="71" t="n"/>
      <c r="C420" s="71" t="n"/>
      <c r="D420" s="71" t="n"/>
      <c r="E420" s="71" t="n"/>
      <c r="F420" s="71" t="n"/>
      <c r="G420" s="71" t="n"/>
      <c r="H420" s="71" t="n"/>
      <c r="I420" s="71" t="n"/>
      <c r="J420" s="71" t="n"/>
      <c r="K420" s="71" t="n"/>
      <c r="L420" s="71" t="n"/>
      <c r="M420" s="71" t="n"/>
      <c r="N420" s="71" t="n"/>
      <c r="O420" s="71" t="n"/>
      <c r="P420" s="71" t="n"/>
      <c r="Q420" s="71" t="n"/>
      <c r="R420" s="71" t="n"/>
      <c r="S420" s="71" t="n"/>
      <c r="T420" s="71" t="n"/>
      <c r="U420" s="71" t="n"/>
      <c r="V420" s="71" t="n"/>
      <c r="W420" s="71" t="n"/>
      <c r="X420" s="71" t="n"/>
      <c r="Y420" s="71" t="n"/>
      <c r="Z420" s="71" t="n"/>
    </row>
    <row r="421" ht="15.75" customHeight="1">
      <c r="A421" s="71" t="n"/>
      <c r="B421" s="71" t="n"/>
      <c r="C421" s="71" t="n"/>
      <c r="D421" s="71" t="n"/>
      <c r="E421" s="71" t="n"/>
      <c r="F421" s="71" t="n"/>
      <c r="G421" s="71" t="n"/>
      <c r="H421" s="71" t="n"/>
      <c r="I421" s="71" t="n"/>
      <c r="J421" s="71" t="n"/>
      <c r="K421" s="71" t="n"/>
      <c r="L421" s="71" t="n"/>
      <c r="M421" s="71" t="n"/>
      <c r="N421" s="71" t="n"/>
      <c r="O421" s="71" t="n"/>
      <c r="P421" s="71" t="n"/>
      <c r="Q421" s="71" t="n"/>
      <c r="R421" s="71" t="n"/>
      <c r="S421" s="71" t="n"/>
      <c r="T421" s="71" t="n"/>
      <c r="U421" s="71" t="n"/>
      <c r="V421" s="71" t="n"/>
      <c r="W421" s="71" t="n"/>
      <c r="X421" s="71" t="n"/>
      <c r="Y421" s="71" t="n"/>
      <c r="Z421" s="71" t="n"/>
    </row>
    <row r="422" ht="15.75" customHeight="1">
      <c r="A422" s="71" t="n"/>
      <c r="B422" s="71" t="n"/>
      <c r="C422" s="71" t="n"/>
      <c r="D422" s="71" t="n"/>
      <c r="E422" s="71" t="n"/>
      <c r="F422" s="71" t="n"/>
      <c r="G422" s="71" t="n"/>
      <c r="H422" s="71" t="n"/>
      <c r="I422" s="71" t="n"/>
      <c r="J422" s="71" t="n"/>
      <c r="K422" s="71" t="n"/>
      <c r="L422" s="71" t="n"/>
      <c r="M422" s="71" t="n"/>
      <c r="N422" s="71" t="n"/>
      <c r="O422" s="71" t="n"/>
      <c r="P422" s="71" t="n"/>
      <c r="Q422" s="71" t="n"/>
      <c r="R422" s="71" t="n"/>
      <c r="S422" s="71" t="n"/>
      <c r="T422" s="71" t="n"/>
      <c r="U422" s="71" t="n"/>
      <c r="V422" s="71" t="n"/>
      <c r="W422" s="71" t="n"/>
      <c r="X422" s="71" t="n"/>
      <c r="Y422" s="71" t="n"/>
      <c r="Z422" s="71" t="n"/>
    </row>
    <row r="423" ht="15.75" customHeight="1">
      <c r="A423" s="71" t="n"/>
      <c r="B423" s="71" t="n"/>
      <c r="C423" s="71" t="n"/>
      <c r="D423" s="71" t="n"/>
      <c r="E423" s="71" t="n"/>
      <c r="F423" s="71" t="n"/>
      <c r="G423" s="71" t="n"/>
      <c r="H423" s="71" t="n"/>
      <c r="I423" s="71" t="n"/>
      <c r="J423" s="71" t="n"/>
      <c r="K423" s="71" t="n"/>
      <c r="L423" s="71" t="n"/>
      <c r="M423" s="71" t="n"/>
      <c r="N423" s="71" t="n"/>
      <c r="O423" s="71" t="n"/>
      <c r="P423" s="71" t="n"/>
      <c r="Q423" s="71" t="n"/>
      <c r="R423" s="71" t="n"/>
      <c r="S423" s="71" t="n"/>
      <c r="T423" s="71" t="n"/>
      <c r="U423" s="71" t="n"/>
      <c r="V423" s="71" t="n"/>
      <c r="W423" s="71" t="n"/>
      <c r="X423" s="71" t="n"/>
      <c r="Y423" s="71" t="n"/>
      <c r="Z423" s="71" t="n"/>
    </row>
    <row r="424" ht="15.75" customHeight="1">
      <c r="A424" s="71" t="n"/>
      <c r="B424" s="71" t="n"/>
      <c r="C424" s="71" t="n"/>
      <c r="D424" s="71" t="n"/>
      <c r="E424" s="71" t="n"/>
      <c r="F424" s="71" t="n"/>
      <c r="G424" s="71" t="n"/>
      <c r="H424" s="71" t="n"/>
      <c r="I424" s="71" t="n"/>
      <c r="J424" s="71" t="n"/>
      <c r="K424" s="71" t="n"/>
      <c r="L424" s="71" t="n"/>
      <c r="M424" s="71" t="n"/>
      <c r="N424" s="71" t="n"/>
      <c r="O424" s="71" t="n"/>
      <c r="P424" s="71" t="n"/>
      <c r="Q424" s="71" t="n"/>
      <c r="R424" s="71" t="n"/>
      <c r="S424" s="71" t="n"/>
      <c r="T424" s="71" t="n"/>
      <c r="U424" s="71" t="n"/>
      <c r="V424" s="71" t="n"/>
      <c r="W424" s="71" t="n"/>
      <c r="X424" s="71" t="n"/>
      <c r="Y424" s="71" t="n"/>
      <c r="Z424" s="71" t="n"/>
    </row>
    <row r="425" ht="15.75" customHeight="1">
      <c r="A425" s="71" t="n"/>
      <c r="B425" s="71" t="n"/>
      <c r="C425" s="71" t="n"/>
      <c r="D425" s="71" t="n"/>
      <c r="E425" s="71" t="n"/>
      <c r="F425" s="71" t="n"/>
      <c r="G425" s="71" t="n"/>
      <c r="H425" s="71" t="n"/>
      <c r="I425" s="71" t="n"/>
      <c r="J425" s="71" t="n"/>
      <c r="K425" s="71" t="n"/>
      <c r="L425" s="71" t="n"/>
      <c r="M425" s="71" t="n"/>
      <c r="N425" s="71" t="n"/>
      <c r="O425" s="71" t="n"/>
      <c r="P425" s="71" t="n"/>
      <c r="Q425" s="71" t="n"/>
      <c r="R425" s="71" t="n"/>
      <c r="S425" s="71" t="n"/>
      <c r="T425" s="71" t="n"/>
      <c r="U425" s="71" t="n"/>
      <c r="V425" s="71" t="n"/>
      <c r="W425" s="71" t="n"/>
      <c r="X425" s="71" t="n"/>
      <c r="Y425" s="71" t="n"/>
      <c r="Z425" s="71" t="n"/>
    </row>
    <row r="426" ht="15.75" customHeight="1">
      <c r="A426" s="71" t="n"/>
      <c r="B426" s="71" t="n"/>
      <c r="C426" s="71" t="n"/>
      <c r="D426" s="71" t="n"/>
      <c r="E426" s="71" t="n"/>
      <c r="F426" s="71" t="n"/>
      <c r="G426" s="71" t="n"/>
      <c r="H426" s="71" t="n"/>
      <c r="I426" s="71" t="n"/>
      <c r="J426" s="71" t="n"/>
      <c r="K426" s="71" t="n"/>
      <c r="L426" s="71" t="n"/>
      <c r="M426" s="71" t="n"/>
      <c r="N426" s="71" t="n"/>
      <c r="O426" s="71" t="n"/>
      <c r="P426" s="71" t="n"/>
      <c r="Q426" s="71" t="n"/>
      <c r="R426" s="71" t="n"/>
      <c r="S426" s="71" t="n"/>
      <c r="T426" s="71" t="n"/>
      <c r="U426" s="71" t="n"/>
      <c r="V426" s="71" t="n"/>
      <c r="W426" s="71" t="n"/>
      <c r="X426" s="71" t="n"/>
      <c r="Y426" s="71" t="n"/>
      <c r="Z426" s="71" t="n"/>
    </row>
    <row r="427" ht="15.75" customHeight="1">
      <c r="A427" s="71" t="n"/>
      <c r="B427" s="71" t="n"/>
      <c r="C427" s="71" t="n"/>
      <c r="D427" s="71" t="n"/>
      <c r="E427" s="71" t="n"/>
      <c r="F427" s="71" t="n"/>
      <c r="G427" s="71" t="n"/>
      <c r="H427" s="71" t="n"/>
      <c r="I427" s="71" t="n"/>
      <c r="J427" s="71" t="n"/>
      <c r="K427" s="71" t="n"/>
      <c r="L427" s="71" t="n"/>
      <c r="M427" s="71" t="n"/>
      <c r="N427" s="71" t="n"/>
      <c r="O427" s="71" t="n"/>
      <c r="P427" s="71" t="n"/>
      <c r="Q427" s="71" t="n"/>
      <c r="R427" s="71" t="n"/>
      <c r="S427" s="71" t="n"/>
      <c r="T427" s="71" t="n"/>
      <c r="U427" s="71" t="n"/>
      <c r="V427" s="71" t="n"/>
      <c r="W427" s="71" t="n"/>
      <c r="X427" s="71" t="n"/>
      <c r="Y427" s="71" t="n"/>
      <c r="Z427" s="71" t="n"/>
    </row>
    <row r="428" ht="15.75" customHeight="1">
      <c r="A428" s="71" t="n"/>
      <c r="B428" s="71" t="n"/>
      <c r="C428" s="71" t="n"/>
      <c r="D428" s="71" t="n"/>
      <c r="E428" s="71" t="n"/>
      <c r="F428" s="71" t="n"/>
      <c r="G428" s="71" t="n"/>
      <c r="H428" s="71" t="n"/>
      <c r="I428" s="71" t="n"/>
      <c r="J428" s="71" t="n"/>
      <c r="K428" s="71" t="n"/>
      <c r="L428" s="71" t="n"/>
      <c r="M428" s="71" t="n"/>
      <c r="N428" s="71" t="n"/>
      <c r="O428" s="71" t="n"/>
      <c r="P428" s="71" t="n"/>
      <c r="Q428" s="71" t="n"/>
      <c r="R428" s="71" t="n"/>
      <c r="S428" s="71" t="n"/>
      <c r="T428" s="71" t="n"/>
      <c r="U428" s="71" t="n"/>
      <c r="V428" s="71" t="n"/>
      <c r="W428" s="71" t="n"/>
      <c r="X428" s="71" t="n"/>
      <c r="Y428" s="71" t="n"/>
      <c r="Z428" s="71" t="n"/>
    </row>
    <row r="429" ht="15.75" customHeight="1">
      <c r="A429" s="71" t="n"/>
      <c r="B429" s="71" t="n"/>
      <c r="C429" s="71" t="n"/>
      <c r="D429" s="71" t="n"/>
      <c r="E429" s="71" t="n"/>
      <c r="F429" s="71" t="n"/>
      <c r="G429" s="71" t="n"/>
      <c r="H429" s="71" t="n"/>
      <c r="I429" s="71" t="n"/>
      <c r="J429" s="71" t="n"/>
      <c r="K429" s="71" t="n"/>
      <c r="L429" s="71" t="n"/>
      <c r="M429" s="71" t="n"/>
      <c r="N429" s="71" t="n"/>
      <c r="O429" s="71" t="n"/>
      <c r="P429" s="71" t="n"/>
      <c r="Q429" s="71" t="n"/>
      <c r="R429" s="71" t="n"/>
      <c r="S429" s="71" t="n"/>
      <c r="T429" s="71" t="n"/>
      <c r="U429" s="71" t="n"/>
      <c r="V429" s="71" t="n"/>
      <c r="W429" s="71" t="n"/>
      <c r="X429" s="71" t="n"/>
      <c r="Y429" s="71" t="n"/>
      <c r="Z429" s="71" t="n"/>
    </row>
    <row r="430" ht="15.75" customHeight="1">
      <c r="A430" s="71" t="n"/>
      <c r="B430" s="71" t="n"/>
      <c r="C430" s="71" t="n"/>
      <c r="D430" s="71" t="n"/>
      <c r="E430" s="71" t="n"/>
      <c r="F430" s="71" t="n"/>
      <c r="G430" s="71" t="n"/>
      <c r="H430" s="71" t="n"/>
      <c r="I430" s="71" t="n"/>
      <c r="J430" s="71" t="n"/>
      <c r="K430" s="71" t="n"/>
      <c r="L430" s="71" t="n"/>
      <c r="M430" s="71" t="n"/>
      <c r="N430" s="71" t="n"/>
      <c r="O430" s="71" t="n"/>
      <c r="P430" s="71" t="n"/>
      <c r="Q430" s="71" t="n"/>
      <c r="R430" s="71" t="n"/>
      <c r="S430" s="71" t="n"/>
      <c r="T430" s="71" t="n"/>
      <c r="U430" s="71" t="n"/>
      <c r="V430" s="71" t="n"/>
      <c r="W430" s="71" t="n"/>
      <c r="X430" s="71" t="n"/>
      <c r="Y430" s="71" t="n"/>
      <c r="Z430" s="71" t="n"/>
    </row>
    <row r="431" ht="15.75" customHeight="1">
      <c r="A431" s="71" t="n"/>
      <c r="B431" s="71" t="n"/>
      <c r="C431" s="71" t="n"/>
      <c r="D431" s="71" t="n"/>
      <c r="E431" s="71" t="n"/>
      <c r="F431" s="71" t="n"/>
      <c r="G431" s="71" t="n"/>
      <c r="H431" s="71" t="n"/>
      <c r="I431" s="71" t="n"/>
      <c r="J431" s="71" t="n"/>
      <c r="K431" s="71" t="n"/>
      <c r="L431" s="71" t="n"/>
      <c r="M431" s="71" t="n"/>
      <c r="N431" s="71" t="n"/>
      <c r="O431" s="71" t="n"/>
      <c r="P431" s="71" t="n"/>
      <c r="Q431" s="71" t="n"/>
      <c r="R431" s="71" t="n"/>
      <c r="S431" s="71" t="n"/>
      <c r="T431" s="71" t="n"/>
      <c r="U431" s="71" t="n"/>
      <c r="V431" s="71" t="n"/>
      <c r="W431" s="71" t="n"/>
      <c r="X431" s="71" t="n"/>
      <c r="Y431" s="71" t="n"/>
      <c r="Z431" s="71" t="n"/>
    </row>
    <row r="432" ht="15.75" customHeight="1">
      <c r="A432" s="71" t="n"/>
      <c r="B432" s="71" t="n"/>
      <c r="C432" s="71" t="n"/>
      <c r="D432" s="71" t="n"/>
      <c r="E432" s="71" t="n"/>
      <c r="F432" s="71" t="n"/>
      <c r="G432" s="71" t="n"/>
      <c r="H432" s="71" t="n"/>
      <c r="I432" s="71" t="n"/>
      <c r="J432" s="71" t="n"/>
      <c r="K432" s="71" t="n"/>
      <c r="L432" s="71" t="n"/>
      <c r="M432" s="71" t="n"/>
      <c r="N432" s="71" t="n"/>
      <c r="O432" s="71" t="n"/>
      <c r="P432" s="71" t="n"/>
      <c r="Q432" s="71" t="n"/>
      <c r="R432" s="71" t="n"/>
      <c r="S432" s="71" t="n"/>
      <c r="T432" s="71" t="n"/>
      <c r="U432" s="71" t="n"/>
      <c r="V432" s="71" t="n"/>
      <c r="W432" s="71" t="n"/>
      <c r="X432" s="71" t="n"/>
      <c r="Y432" s="71" t="n"/>
      <c r="Z432" s="71" t="n"/>
    </row>
    <row r="433" ht="15.75" customHeight="1">
      <c r="A433" s="71" t="n"/>
      <c r="B433" s="71" t="n"/>
      <c r="C433" s="71" t="n"/>
      <c r="D433" s="71" t="n"/>
      <c r="E433" s="71" t="n"/>
      <c r="F433" s="71" t="n"/>
      <c r="G433" s="71" t="n"/>
      <c r="H433" s="71" t="n"/>
      <c r="I433" s="71" t="n"/>
      <c r="J433" s="71" t="n"/>
      <c r="K433" s="71" t="n"/>
      <c r="L433" s="71" t="n"/>
      <c r="M433" s="71" t="n"/>
      <c r="N433" s="71" t="n"/>
      <c r="O433" s="71" t="n"/>
      <c r="P433" s="71" t="n"/>
      <c r="Q433" s="71" t="n"/>
      <c r="R433" s="71" t="n"/>
      <c r="S433" s="71" t="n"/>
      <c r="T433" s="71" t="n"/>
      <c r="U433" s="71" t="n"/>
      <c r="V433" s="71" t="n"/>
      <c r="W433" s="71" t="n"/>
      <c r="X433" s="71" t="n"/>
      <c r="Y433" s="71" t="n"/>
      <c r="Z433" s="71" t="n"/>
    </row>
    <row r="434" ht="15.75" customHeight="1">
      <c r="A434" s="71" t="n"/>
      <c r="B434" s="71" t="n"/>
      <c r="C434" s="71" t="n"/>
      <c r="D434" s="71" t="n"/>
      <c r="E434" s="71" t="n"/>
      <c r="F434" s="71" t="n"/>
      <c r="G434" s="71" t="n"/>
      <c r="H434" s="71" t="n"/>
      <c r="I434" s="71" t="n"/>
      <c r="J434" s="71" t="n"/>
      <c r="K434" s="71" t="n"/>
      <c r="L434" s="71" t="n"/>
      <c r="M434" s="71" t="n"/>
      <c r="N434" s="71" t="n"/>
      <c r="O434" s="71" t="n"/>
      <c r="P434" s="71" t="n"/>
      <c r="Q434" s="71" t="n"/>
      <c r="R434" s="71" t="n"/>
      <c r="S434" s="71" t="n"/>
      <c r="T434" s="71" t="n"/>
      <c r="U434" s="71" t="n"/>
      <c r="V434" s="71" t="n"/>
      <c r="W434" s="71" t="n"/>
      <c r="X434" s="71" t="n"/>
      <c r="Y434" s="71" t="n"/>
      <c r="Z434" s="71" t="n"/>
    </row>
    <row r="435" ht="15.75" customHeight="1">
      <c r="A435" s="71" t="n"/>
      <c r="B435" s="71" t="n"/>
      <c r="C435" s="71" t="n"/>
      <c r="D435" s="71" t="n"/>
      <c r="E435" s="71" t="n"/>
      <c r="F435" s="71" t="n"/>
      <c r="G435" s="71" t="n"/>
      <c r="H435" s="71" t="n"/>
      <c r="I435" s="71" t="n"/>
      <c r="J435" s="71" t="n"/>
      <c r="K435" s="71" t="n"/>
      <c r="L435" s="71" t="n"/>
      <c r="M435" s="71" t="n"/>
      <c r="N435" s="71" t="n"/>
      <c r="O435" s="71" t="n"/>
      <c r="P435" s="71" t="n"/>
      <c r="Q435" s="71" t="n"/>
      <c r="R435" s="71" t="n"/>
      <c r="S435" s="71" t="n"/>
      <c r="T435" s="71" t="n"/>
      <c r="U435" s="71" t="n"/>
      <c r="V435" s="71" t="n"/>
      <c r="W435" s="71" t="n"/>
      <c r="X435" s="71" t="n"/>
      <c r="Y435" s="71" t="n"/>
      <c r="Z435" s="71" t="n"/>
    </row>
    <row r="436" ht="15.75" customHeight="1">
      <c r="A436" s="71" t="n"/>
      <c r="B436" s="71" t="n"/>
      <c r="C436" s="71" t="n"/>
      <c r="D436" s="71" t="n"/>
      <c r="E436" s="71" t="n"/>
      <c r="F436" s="71" t="n"/>
      <c r="G436" s="71" t="n"/>
      <c r="H436" s="71" t="n"/>
      <c r="I436" s="71" t="n"/>
      <c r="J436" s="71" t="n"/>
      <c r="K436" s="71" t="n"/>
      <c r="L436" s="71" t="n"/>
      <c r="M436" s="71" t="n"/>
      <c r="N436" s="71" t="n"/>
      <c r="O436" s="71" t="n"/>
      <c r="P436" s="71" t="n"/>
      <c r="Q436" s="71" t="n"/>
      <c r="R436" s="71" t="n"/>
      <c r="S436" s="71" t="n"/>
      <c r="T436" s="71" t="n"/>
      <c r="U436" s="71" t="n"/>
      <c r="V436" s="71" t="n"/>
      <c r="W436" s="71" t="n"/>
      <c r="X436" s="71" t="n"/>
      <c r="Y436" s="71" t="n"/>
      <c r="Z436" s="71" t="n"/>
    </row>
    <row r="437" ht="15.75" customHeight="1">
      <c r="A437" s="71" t="n"/>
      <c r="B437" s="71" t="n"/>
      <c r="C437" s="71" t="n"/>
      <c r="D437" s="71" t="n"/>
      <c r="E437" s="71" t="n"/>
      <c r="F437" s="71" t="n"/>
      <c r="G437" s="71" t="n"/>
      <c r="H437" s="71" t="n"/>
      <c r="I437" s="71" t="n"/>
      <c r="J437" s="71" t="n"/>
      <c r="K437" s="71" t="n"/>
      <c r="L437" s="71" t="n"/>
      <c r="M437" s="71" t="n"/>
      <c r="N437" s="71" t="n"/>
      <c r="O437" s="71" t="n"/>
      <c r="P437" s="71" t="n"/>
      <c r="Q437" s="71" t="n"/>
      <c r="R437" s="71" t="n"/>
      <c r="S437" s="71" t="n"/>
      <c r="T437" s="71" t="n"/>
      <c r="U437" s="71" t="n"/>
      <c r="V437" s="71" t="n"/>
      <c r="W437" s="71" t="n"/>
      <c r="X437" s="71" t="n"/>
      <c r="Y437" s="71" t="n"/>
      <c r="Z437" s="71" t="n"/>
    </row>
    <row r="438" ht="15.75" customHeight="1">
      <c r="A438" s="71" t="n"/>
      <c r="B438" s="71" t="n"/>
      <c r="C438" s="71" t="n"/>
      <c r="D438" s="71" t="n"/>
      <c r="E438" s="71" t="n"/>
      <c r="F438" s="71" t="n"/>
      <c r="G438" s="71" t="n"/>
      <c r="H438" s="71" t="n"/>
      <c r="I438" s="71" t="n"/>
      <c r="J438" s="71" t="n"/>
      <c r="K438" s="71" t="n"/>
      <c r="L438" s="71" t="n"/>
      <c r="M438" s="71" t="n"/>
      <c r="N438" s="71" t="n"/>
      <c r="O438" s="71" t="n"/>
      <c r="P438" s="71" t="n"/>
      <c r="Q438" s="71" t="n"/>
      <c r="R438" s="71" t="n"/>
      <c r="S438" s="71" t="n"/>
      <c r="T438" s="71" t="n"/>
      <c r="U438" s="71" t="n"/>
      <c r="V438" s="71" t="n"/>
      <c r="W438" s="71" t="n"/>
      <c r="X438" s="71" t="n"/>
      <c r="Y438" s="71" t="n"/>
      <c r="Z438" s="71" t="n"/>
    </row>
    <row r="439" ht="15.75" customHeight="1">
      <c r="A439" s="71" t="n"/>
      <c r="B439" s="71" t="n"/>
      <c r="C439" s="71" t="n"/>
      <c r="D439" s="71" t="n"/>
      <c r="E439" s="71" t="n"/>
      <c r="F439" s="71" t="n"/>
      <c r="G439" s="71" t="n"/>
      <c r="H439" s="71" t="n"/>
      <c r="I439" s="71" t="n"/>
      <c r="J439" s="71" t="n"/>
      <c r="K439" s="71" t="n"/>
      <c r="L439" s="71" t="n"/>
      <c r="M439" s="71" t="n"/>
      <c r="N439" s="71" t="n"/>
      <c r="O439" s="71" t="n"/>
      <c r="P439" s="71" t="n"/>
      <c r="Q439" s="71" t="n"/>
      <c r="R439" s="71" t="n"/>
      <c r="S439" s="71" t="n"/>
      <c r="T439" s="71" t="n"/>
      <c r="U439" s="71" t="n"/>
      <c r="V439" s="71" t="n"/>
      <c r="W439" s="71" t="n"/>
      <c r="X439" s="71" t="n"/>
      <c r="Y439" s="71" t="n"/>
      <c r="Z439" s="71" t="n"/>
    </row>
    <row r="440" ht="15.75" customHeight="1">
      <c r="A440" s="71" t="n"/>
      <c r="B440" s="71" t="n"/>
      <c r="C440" s="71" t="n"/>
      <c r="D440" s="71" t="n"/>
      <c r="E440" s="71" t="n"/>
      <c r="F440" s="71" t="n"/>
      <c r="G440" s="71" t="n"/>
      <c r="H440" s="71" t="n"/>
      <c r="I440" s="71" t="n"/>
      <c r="J440" s="71" t="n"/>
      <c r="K440" s="71" t="n"/>
      <c r="L440" s="71" t="n"/>
      <c r="M440" s="71" t="n"/>
      <c r="N440" s="71" t="n"/>
      <c r="O440" s="71" t="n"/>
      <c r="P440" s="71" t="n"/>
      <c r="Q440" s="71" t="n"/>
      <c r="R440" s="71" t="n"/>
      <c r="S440" s="71" t="n"/>
      <c r="T440" s="71" t="n"/>
      <c r="U440" s="71" t="n"/>
      <c r="V440" s="71" t="n"/>
      <c r="W440" s="71" t="n"/>
      <c r="X440" s="71" t="n"/>
      <c r="Y440" s="71" t="n"/>
      <c r="Z440" s="71" t="n"/>
    </row>
    <row r="441" ht="15.75" customHeight="1">
      <c r="A441" s="71" t="n"/>
      <c r="B441" s="71" t="n"/>
      <c r="C441" s="71" t="n"/>
      <c r="D441" s="71" t="n"/>
      <c r="E441" s="71" t="n"/>
      <c r="F441" s="71" t="n"/>
      <c r="G441" s="71" t="n"/>
      <c r="H441" s="71" t="n"/>
      <c r="I441" s="71" t="n"/>
      <c r="J441" s="71" t="n"/>
      <c r="K441" s="71" t="n"/>
      <c r="L441" s="71" t="n"/>
      <c r="M441" s="71" t="n"/>
      <c r="N441" s="71" t="n"/>
      <c r="O441" s="71" t="n"/>
      <c r="P441" s="71" t="n"/>
      <c r="Q441" s="71" t="n"/>
      <c r="R441" s="71" t="n"/>
      <c r="S441" s="71" t="n"/>
      <c r="T441" s="71" t="n"/>
      <c r="U441" s="71" t="n"/>
      <c r="V441" s="71" t="n"/>
      <c r="W441" s="71" t="n"/>
      <c r="X441" s="71" t="n"/>
      <c r="Y441" s="71" t="n"/>
      <c r="Z441" s="71" t="n"/>
    </row>
    <row r="442" ht="15.75" customHeight="1">
      <c r="A442" s="71" t="n"/>
      <c r="B442" s="71" t="n"/>
      <c r="C442" s="71" t="n"/>
      <c r="D442" s="71" t="n"/>
      <c r="E442" s="71" t="n"/>
      <c r="F442" s="71" t="n"/>
      <c r="G442" s="71" t="n"/>
      <c r="H442" s="71" t="n"/>
      <c r="I442" s="71" t="n"/>
      <c r="J442" s="71" t="n"/>
      <c r="K442" s="71" t="n"/>
      <c r="L442" s="71" t="n"/>
      <c r="M442" s="71" t="n"/>
      <c r="N442" s="71" t="n"/>
      <c r="O442" s="71" t="n"/>
      <c r="P442" s="71" t="n"/>
      <c r="Q442" s="71" t="n"/>
      <c r="R442" s="71" t="n"/>
      <c r="S442" s="71" t="n"/>
      <c r="T442" s="71" t="n"/>
      <c r="U442" s="71" t="n"/>
      <c r="V442" s="71" t="n"/>
      <c r="W442" s="71" t="n"/>
      <c r="X442" s="71" t="n"/>
      <c r="Y442" s="71" t="n"/>
      <c r="Z442" s="71" t="n"/>
    </row>
    <row r="443" ht="15.75" customHeight="1">
      <c r="A443" s="71" t="n"/>
      <c r="B443" s="71" t="n"/>
      <c r="C443" s="71" t="n"/>
      <c r="D443" s="71" t="n"/>
      <c r="E443" s="71" t="n"/>
      <c r="F443" s="71" t="n"/>
      <c r="G443" s="71" t="n"/>
      <c r="H443" s="71" t="n"/>
      <c r="I443" s="71" t="n"/>
      <c r="J443" s="71" t="n"/>
      <c r="K443" s="71" t="n"/>
      <c r="L443" s="71" t="n"/>
      <c r="M443" s="71" t="n"/>
      <c r="N443" s="71" t="n"/>
      <c r="O443" s="71" t="n"/>
      <c r="P443" s="71" t="n"/>
      <c r="Q443" s="71" t="n"/>
      <c r="R443" s="71" t="n"/>
      <c r="S443" s="71" t="n"/>
      <c r="T443" s="71" t="n"/>
      <c r="U443" s="71" t="n"/>
      <c r="V443" s="71" t="n"/>
      <c r="W443" s="71" t="n"/>
      <c r="X443" s="71" t="n"/>
      <c r="Y443" s="71" t="n"/>
      <c r="Z443" s="71" t="n"/>
    </row>
    <row r="444" ht="15.75" customHeight="1">
      <c r="A444" s="71" t="n"/>
      <c r="B444" s="71" t="n"/>
      <c r="C444" s="71" t="n"/>
      <c r="D444" s="71" t="n"/>
      <c r="E444" s="71" t="n"/>
      <c r="F444" s="71" t="n"/>
      <c r="G444" s="71" t="n"/>
      <c r="H444" s="71" t="n"/>
      <c r="I444" s="71" t="n"/>
      <c r="J444" s="71" t="n"/>
      <c r="K444" s="71" t="n"/>
      <c r="L444" s="71" t="n"/>
      <c r="M444" s="71" t="n"/>
      <c r="N444" s="71" t="n"/>
      <c r="O444" s="71" t="n"/>
      <c r="P444" s="71" t="n"/>
      <c r="Q444" s="71" t="n"/>
      <c r="R444" s="71" t="n"/>
      <c r="S444" s="71" t="n"/>
      <c r="T444" s="71" t="n"/>
      <c r="U444" s="71" t="n"/>
      <c r="V444" s="71" t="n"/>
      <c r="W444" s="71" t="n"/>
      <c r="X444" s="71" t="n"/>
      <c r="Y444" s="71" t="n"/>
      <c r="Z444" s="71" t="n"/>
    </row>
    <row r="445" ht="15.75" customHeight="1">
      <c r="A445" s="71" t="n"/>
      <c r="B445" s="71" t="n"/>
      <c r="C445" s="71" t="n"/>
      <c r="D445" s="71" t="n"/>
      <c r="E445" s="71" t="n"/>
      <c r="F445" s="71" t="n"/>
      <c r="G445" s="71" t="n"/>
      <c r="H445" s="71" t="n"/>
      <c r="I445" s="71" t="n"/>
      <c r="J445" s="71" t="n"/>
      <c r="K445" s="71" t="n"/>
      <c r="L445" s="71" t="n"/>
      <c r="M445" s="71" t="n"/>
      <c r="N445" s="71" t="n"/>
      <c r="O445" s="71" t="n"/>
      <c r="P445" s="71" t="n"/>
      <c r="Q445" s="71" t="n"/>
      <c r="R445" s="71" t="n"/>
      <c r="S445" s="71" t="n"/>
      <c r="T445" s="71" t="n"/>
      <c r="U445" s="71" t="n"/>
      <c r="V445" s="71" t="n"/>
      <c r="W445" s="71" t="n"/>
      <c r="X445" s="71" t="n"/>
      <c r="Y445" s="71" t="n"/>
      <c r="Z445" s="71" t="n"/>
    </row>
    <row r="446" ht="15.75" customHeight="1">
      <c r="A446" s="71" t="n"/>
      <c r="B446" s="71" t="n"/>
      <c r="C446" s="71" t="n"/>
      <c r="D446" s="71" t="n"/>
      <c r="E446" s="71" t="n"/>
      <c r="F446" s="71" t="n"/>
      <c r="G446" s="71" t="n"/>
      <c r="H446" s="71" t="n"/>
      <c r="I446" s="71" t="n"/>
      <c r="J446" s="71" t="n"/>
      <c r="K446" s="71" t="n"/>
      <c r="L446" s="71" t="n"/>
      <c r="M446" s="71" t="n"/>
      <c r="N446" s="71" t="n"/>
      <c r="O446" s="71" t="n"/>
      <c r="P446" s="71" t="n"/>
      <c r="Q446" s="71" t="n"/>
      <c r="R446" s="71" t="n"/>
      <c r="S446" s="71" t="n"/>
      <c r="T446" s="71" t="n"/>
      <c r="U446" s="71" t="n"/>
      <c r="V446" s="71" t="n"/>
      <c r="W446" s="71" t="n"/>
      <c r="X446" s="71" t="n"/>
      <c r="Y446" s="71" t="n"/>
      <c r="Z446" s="71" t="n"/>
    </row>
    <row r="447" ht="15.75" customHeight="1">
      <c r="A447" s="71" t="n"/>
      <c r="B447" s="71" t="n"/>
      <c r="C447" s="71" t="n"/>
      <c r="D447" s="71" t="n"/>
      <c r="E447" s="71" t="n"/>
      <c r="F447" s="71" t="n"/>
      <c r="G447" s="71" t="n"/>
      <c r="H447" s="71" t="n"/>
      <c r="I447" s="71" t="n"/>
      <c r="J447" s="71" t="n"/>
      <c r="K447" s="71" t="n"/>
      <c r="L447" s="71" t="n"/>
      <c r="M447" s="71" t="n"/>
      <c r="N447" s="71" t="n"/>
      <c r="O447" s="71" t="n"/>
      <c r="P447" s="71" t="n"/>
      <c r="Q447" s="71" t="n"/>
      <c r="R447" s="71" t="n"/>
      <c r="S447" s="71" t="n"/>
      <c r="T447" s="71" t="n"/>
      <c r="U447" s="71" t="n"/>
      <c r="V447" s="71" t="n"/>
      <c r="W447" s="71" t="n"/>
      <c r="X447" s="71" t="n"/>
      <c r="Y447" s="71" t="n"/>
      <c r="Z447" s="71" t="n"/>
    </row>
    <row r="448" ht="15.75" customHeight="1">
      <c r="A448" s="71" t="n"/>
      <c r="B448" s="71" t="n"/>
      <c r="C448" s="71" t="n"/>
      <c r="D448" s="71" t="n"/>
      <c r="E448" s="71" t="n"/>
      <c r="F448" s="71" t="n"/>
      <c r="G448" s="71" t="n"/>
      <c r="H448" s="71" t="n"/>
      <c r="I448" s="71" t="n"/>
      <c r="J448" s="71" t="n"/>
      <c r="K448" s="71" t="n"/>
      <c r="L448" s="71" t="n"/>
      <c r="M448" s="71" t="n"/>
      <c r="N448" s="71" t="n"/>
      <c r="O448" s="71" t="n"/>
      <c r="P448" s="71" t="n"/>
      <c r="Q448" s="71" t="n"/>
      <c r="R448" s="71" t="n"/>
      <c r="S448" s="71" t="n"/>
      <c r="T448" s="71" t="n"/>
      <c r="U448" s="71" t="n"/>
      <c r="V448" s="71" t="n"/>
      <c r="W448" s="71" t="n"/>
      <c r="X448" s="71" t="n"/>
      <c r="Y448" s="71" t="n"/>
      <c r="Z448" s="71" t="n"/>
    </row>
    <row r="449" ht="15.75" customHeight="1">
      <c r="A449" s="71" t="n"/>
      <c r="B449" s="71" t="n"/>
      <c r="C449" s="71" t="n"/>
      <c r="D449" s="71" t="n"/>
      <c r="E449" s="71" t="n"/>
      <c r="F449" s="71" t="n"/>
      <c r="G449" s="71" t="n"/>
      <c r="H449" s="71" t="n"/>
      <c r="I449" s="71" t="n"/>
      <c r="J449" s="71" t="n"/>
      <c r="K449" s="71" t="n"/>
      <c r="L449" s="71" t="n"/>
      <c r="M449" s="71" t="n"/>
      <c r="N449" s="71" t="n"/>
      <c r="O449" s="71" t="n"/>
      <c r="P449" s="71" t="n"/>
      <c r="Q449" s="71" t="n"/>
      <c r="R449" s="71" t="n"/>
      <c r="S449" s="71" t="n"/>
      <c r="T449" s="71" t="n"/>
      <c r="U449" s="71" t="n"/>
      <c r="V449" s="71" t="n"/>
      <c r="W449" s="71" t="n"/>
      <c r="X449" s="71" t="n"/>
      <c r="Y449" s="71" t="n"/>
      <c r="Z449" s="71" t="n"/>
    </row>
    <row r="450" ht="15.75" customHeight="1">
      <c r="A450" s="71" t="n"/>
      <c r="B450" s="71" t="n"/>
      <c r="C450" s="71" t="n"/>
      <c r="D450" s="71" t="n"/>
      <c r="E450" s="71" t="n"/>
      <c r="F450" s="71" t="n"/>
      <c r="G450" s="71" t="n"/>
      <c r="H450" s="71" t="n"/>
      <c r="I450" s="71" t="n"/>
      <c r="J450" s="71" t="n"/>
      <c r="K450" s="71" t="n"/>
      <c r="L450" s="71" t="n"/>
      <c r="M450" s="71" t="n"/>
      <c r="N450" s="71" t="n"/>
      <c r="O450" s="71" t="n"/>
      <c r="P450" s="71" t="n"/>
      <c r="Q450" s="71" t="n"/>
      <c r="R450" s="71" t="n"/>
      <c r="S450" s="71" t="n"/>
      <c r="T450" s="71" t="n"/>
      <c r="U450" s="71" t="n"/>
      <c r="V450" s="71" t="n"/>
      <c r="W450" s="71" t="n"/>
      <c r="X450" s="71" t="n"/>
      <c r="Y450" s="71" t="n"/>
      <c r="Z450" s="71" t="n"/>
    </row>
    <row r="451" ht="15.75" customHeight="1">
      <c r="A451" s="71" t="n"/>
      <c r="B451" s="71" t="n"/>
      <c r="C451" s="71" t="n"/>
      <c r="D451" s="71" t="n"/>
      <c r="E451" s="71" t="n"/>
      <c r="F451" s="71" t="n"/>
      <c r="G451" s="71" t="n"/>
      <c r="H451" s="71" t="n"/>
      <c r="I451" s="71" t="n"/>
      <c r="J451" s="71" t="n"/>
      <c r="K451" s="71" t="n"/>
      <c r="L451" s="71" t="n"/>
      <c r="M451" s="71" t="n"/>
      <c r="N451" s="71" t="n"/>
      <c r="O451" s="71" t="n"/>
      <c r="P451" s="71" t="n"/>
      <c r="Q451" s="71" t="n"/>
      <c r="R451" s="71" t="n"/>
      <c r="S451" s="71" t="n"/>
      <c r="T451" s="71" t="n"/>
      <c r="U451" s="71" t="n"/>
      <c r="V451" s="71" t="n"/>
      <c r="W451" s="71" t="n"/>
      <c r="X451" s="71" t="n"/>
      <c r="Y451" s="71" t="n"/>
      <c r="Z451" s="71" t="n"/>
    </row>
    <row r="452" ht="15.75" customHeight="1">
      <c r="A452" s="71" t="n"/>
      <c r="B452" s="71" t="n"/>
      <c r="C452" s="71" t="n"/>
      <c r="D452" s="71" t="n"/>
      <c r="E452" s="71" t="n"/>
      <c r="F452" s="71" t="n"/>
      <c r="G452" s="71" t="n"/>
      <c r="H452" s="71" t="n"/>
      <c r="I452" s="71" t="n"/>
      <c r="J452" s="71" t="n"/>
      <c r="K452" s="71" t="n"/>
      <c r="L452" s="71" t="n"/>
      <c r="M452" s="71" t="n"/>
      <c r="N452" s="71" t="n"/>
      <c r="O452" s="71" t="n"/>
      <c r="P452" s="71" t="n"/>
      <c r="Q452" s="71" t="n"/>
      <c r="R452" s="71" t="n"/>
      <c r="S452" s="71" t="n"/>
      <c r="T452" s="71" t="n"/>
      <c r="U452" s="71" t="n"/>
      <c r="V452" s="71" t="n"/>
      <c r="W452" s="71" t="n"/>
      <c r="X452" s="71" t="n"/>
      <c r="Y452" s="71" t="n"/>
      <c r="Z452" s="71" t="n"/>
    </row>
    <row r="453" ht="15.75" customHeight="1">
      <c r="A453" s="71" t="n"/>
      <c r="B453" s="71" t="n"/>
      <c r="C453" s="71" t="n"/>
      <c r="D453" s="71" t="n"/>
      <c r="E453" s="71" t="n"/>
      <c r="F453" s="71" t="n"/>
      <c r="G453" s="71" t="n"/>
      <c r="H453" s="71" t="n"/>
      <c r="I453" s="71" t="n"/>
      <c r="J453" s="71" t="n"/>
      <c r="K453" s="71" t="n"/>
      <c r="L453" s="71" t="n"/>
      <c r="M453" s="71" t="n"/>
      <c r="N453" s="71" t="n"/>
      <c r="O453" s="71" t="n"/>
      <c r="P453" s="71" t="n"/>
      <c r="Q453" s="71" t="n"/>
      <c r="R453" s="71" t="n"/>
      <c r="S453" s="71" t="n"/>
      <c r="T453" s="71" t="n"/>
      <c r="U453" s="71" t="n"/>
      <c r="V453" s="71" t="n"/>
      <c r="W453" s="71" t="n"/>
      <c r="X453" s="71" t="n"/>
      <c r="Y453" s="71" t="n"/>
      <c r="Z453" s="71" t="n"/>
    </row>
    <row r="454" ht="15.75" customHeight="1">
      <c r="A454" s="71" t="n"/>
      <c r="B454" s="71" t="n"/>
      <c r="C454" s="71" t="n"/>
      <c r="D454" s="71" t="n"/>
      <c r="E454" s="71" t="n"/>
      <c r="F454" s="71" t="n"/>
      <c r="G454" s="71" t="n"/>
      <c r="H454" s="71" t="n"/>
      <c r="I454" s="71" t="n"/>
      <c r="J454" s="71" t="n"/>
      <c r="K454" s="71" t="n"/>
      <c r="L454" s="71" t="n"/>
      <c r="M454" s="71" t="n"/>
      <c r="N454" s="71" t="n"/>
      <c r="O454" s="71" t="n"/>
      <c r="P454" s="71" t="n"/>
      <c r="Q454" s="71" t="n"/>
      <c r="R454" s="71" t="n"/>
      <c r="S454" s="71" t="n"/>
      <c r="T454" s="71" t="n"/>
      <c r="U454" s="71" t="n"/>
      <c r="V454" s="71" t="n"/>
      <c r="W454" s="71" t="n"/>
      <c r="X454" s="71" t="n"/>
      <c r="Y454" s="71" t="n"/>
      <c r="Z454" s="71" t="n"/>
    </row>
    <row r="455" ht="15.75" customHeight="1">
      <c r="A455" s="71" t="n"/>
      <c r="B455" s="71" t="n"/>
      <c r="C455" s="71" t="n"/>
      <c r="D455" s="71" t="n"/>
      <c r="E455" s="71" t="n"/>
      <c r="F455" s="71" t="n"/>
      <c r="G455" s="71" t="n"/>
      <c r="H455" s="71" t="n"/>
      <c r="I455" s="71" t="n"/>
      <c r="J455" s="71" t="n"/>
      <c r="K455" s="71" t="n"/>
      <c r="L455" s="71" t="n"/>
      <c r="M455" s="71" t="n"/>
      <c r="N455" s="71" t="n"/>
      <c r="O455" s="71" t="n"/>
      <c r="P455" s="71" t="n"/>
      <c r="Q455" s="71" t="n"/>
      <c r="R455" s="71" t="n"/>
      <c r="S455" s="71" t="n"/>
      <c r="T455" s="71" t="n"/>
      <c r="U455" s="71" t="n"/>
      <c r="V455" s="71" t="n"/>
      <c r="W455" s="71" t="n"/>
      <c r="X455" s="71" t="n"/>
      <c r="Y455" s="71" t="n"/>
      <c r="Z455" s="71" t="n"/>
    </row>
    <row r="456" ht="15.75" customHeight="1">
      <c r="A456" s="71" t="n"/>
      <c r="B456" s="71" t="n"/>
      <c r="C456" s="71" t="n"/>
      <c r="D456" s="71" t="n"/>
      <c r="E456" s="71" t="n"/>
      <c r="F456" s="71" t="n"/>
      <c r="G456" s="71" t="n"/>
      <c r="H456" s="71" t="n"/>
      <c r="I456" s="71" t="n"/>
      <c r="J456" s="71" t="n"/>
      <c r="K456" s="71" t="n"/>
      <c r="L456" s="71" t="n"/>
      <c r="M456" s="71" t="n"/>
      <c r="N456" s="71" t="n"/>
      <c r="O456" s="71" t="n"/>
      <c r="P456" s="71" t="n"/>
      <c r="Q456" s="71" t="n"/>
      <c r="R456" s="71" t="n"/>
      <c r="S456" s="71" t="n"/>
      <c r="T456" s="71" t="n"/>
      <c r="U456" s="71" t="n"/>
      <c r="V456" s="71" t="n"/>
      <c r="W456" s="71" t="n"/>
      <c r="X456" s="71" t="n"/>
      <c r="Y456" s="71" t="n"/>
      <c r="Z456" s="71" t="n"/>
    </row>
    <row r="457" ht="15.75" customHeight="1">
      <c r="A457" s="71" t="n"/>
      <c r="B457" s="71" t="n"/>
      <c r="C457" s="71" t="n"/>
      <c r="D457" s="71" t="n"/>
      <c r="E457" s="71" t="n"/>
      <c r="F457" s="71" t="n"/>
      <c r="G457" s="71" t="n"/>
      <c r="H457" s="71" t="n"/>
      <c r="I457" s="71" t="n"/>
      <c r="J457" s="71" t="n"/>
      <c r="K457" s="71" t="n"/>
      <c r="L457" s="71" t="n"/>
      <c r="M457" s="71" t="n"/>
      <c r="N457" s="71" t="n"/>
      <c r="O457" s="71" t="n"/>
      <c r="P457" s="71" t="n"/>
      <c r="Q457" s="71" t="n"/>
      <c r="R457" s="71" t="n"/>
      <c r="S457" s="71" t="n"/>
      <c r="T457" s="71" t="n"/>
      <c r="U457" s="71" t="n"/>
      <c r="V457" s="71" t="n"/>
      <c r="W457" s="71" t="n"/>
      <c r="X457" s="71" t="n"/>
      <c r="Y457" s="71" t="n"/>
      <c r="Z457" s="71" t="n"/>
    </row>
    <row r="458" ht="15.75" customHeight="1">
      <c r="A458" s="71" t="n"/>
      <c r="B458" s="71" t="n"/>
      <c r="C458" s="71" t="n"/>
      <c r="D458" s="71" t="n"/>
      <c r="E458" s="71" t="n"/>
      <c r="F458" s="71" t="n"/>
      <c r="G458" s="71" t="n"/>
      <c r="H458" s="71" t="n"/>
      <c r="I458" s="71" t="n"/>
      <c r="J458" s="71" t="n"/>
      <c r="K458" s="71" t="n"/>
      <c r="L458" s="71" t="n"/>
      <c r="M458" s="71" t="n"/>
      <c r="N458" s="71" t="n"/>
      <c r="O458" s="71" t="n"/>
      <c r="P458" s="71" t="n"/>
      <c r="Q458" s="71" t="n"/>
      <c r="R458" s="71" t="n"/>
      <c r="S458" s="71" t="n"/>
      <c r="T458" s="71" t="n"/>
      <c r="U458" s="71" t="n"/>
      <c r="V458" s="71" t="n"/>
      <c r="W458" s="71" t="n"/>
      <c r="X458" s="71" t="n"/>
      <c r="Y458" s="71" t="n"/>
      <c r="Z458" s="71" t="n"/>
    </row>
    <row r="459" ht="15.75" customHeight="1">
      <c r="A459" s="71" t="n"/>
      <c r="B459" s="71" t="n"/>
      <c r="C459" s="71" t="n"/>
      <c r="D459" s="71" t="n"/>
      <c r="E459" s="71" t="n"/>
      <c r="F459" s="71" t="n"/>
      <c r="G459" s="71" t="n"/>
      <c r="H459" s="71" t="n"/>
      <c r="I459" s="71" t="n"/>
      <c r="J459" s="71" t="n"/>
      <c r="K459" s="71" t="n"/>
      <c r="L459" s="71" t="n"/>
      <c r="M459" s="71" t="n"/>
      <c r="N459" s="71" t="n"/>
      <c r="O459" s="71" t="n"/>
      <c r="P459" s="71" t="n"/>
      <c r="Q459" s="71" t="n"/>
      <c r="R459" s="71" t="n"/>
      <c r="S459" s="71" t="n"/>
      <c r="T459" s="71" t="n"/>
      <c r="U459" s="71" t="n"/>
      <c r="V459" s="71" t="n"/>
      <c r="W459" s="71" t="n"/>
      <c r="X459" s="71" t="n"/>
      <c r="Y459" s="71" t="n"/>
      <c r="Z459" s="71" t="n"/>
    </row>
    <row r="460" ht="15.75" customHeight="1">
      <c r="A460" s="71" t="n"/>
      <c r="B460" s="71" t="n"/>
      <c r="C460" s="71" t="n"/>
      <c r="D460" s="71" t="n"/>
      <c r="E460" s="71" t="n"/>
      <c r="F460" s="71" t="n"/>
      <c r="G460" s="71" t="n"/>
      <c r="H460" s="71" t="n"/>
      <c r="I460" s="71" t="n"/>
      <c r="J460" s="71" t="n"/>
      <c r="K460" s="71" t="n"/>
      <c r="L460" s="71" t="n"/>
      <c r="M460" s="71" t="n"/>
      <c r="N460" s="71" t="n"/>
      <c r="O460" s="71" t="n"/>
      <c r="P460" s="71" t="n"/>
      <c r="Q460" s="71" t="n"/>
      <c r="R460" s="71" t="n"/>
      <c r="S460" s="71" t="n"/>
      <c r="T460" s="71" t="n"/>
      <c r="U460" s="71" t="n"/>
      <c r="V460" s="71" t="n"/>
      <c r="W460" s="71" t="n"/>
      <c r="X460" s="71" t="n"/>
      <c r="Y460" s="71" t="n"/>
      <c r="Z460" s="71" t="n"/>
    </row>
    <row r="461" ht="15.75" customHeight="1">
      <c r="A461" s="71" t="n"/>
      <c r="B461" s="71" t="n"/>
      <c r="C461" s="71" t="n"/>
      <c r="D461" s="71" t="n"/>
      <c r="E461" s="71" t="n"/>
      <c r="F461" s="71" t="n"/>
      <c r="G461" s="71" t="n"/>
      <c r="H461" s="71" t="n"/>
      <c r="I461" s="71" t="n"/>
      <c r="J461" s="71" t="n"/>
      <c r="K461" s="71" t="n"/>
      <c r="L461" s="71" t="n"/>
      <c r="M461" s="71" t="n"/>
      <c r="N461" s="71" t="n"/>
      <c r="O461" s="71" t="n"/>
      <c r="P461" s="71" t="n"/>
      <c r="Q461" s="71" t="n"/>
      <c r="R461" s="71" t="n"/>
      <c r="S461" s="71" t="n"/>
      <c r="T461" s="71" t="n"/>
      <c r="U461" s="71" t="n"/>
      <c r="V461" s="71" t="n"/>
      <c r="W461" s="71" t="n"/>
      <c r="X461" s="71" t="n"/>
      <c r="Y461" s="71" t="n"/>
      <c r="Z461" s="71" t="n"/>
    </row>
    <row r="462" ht="15.75" customHeight="1">
      <c r="A462" s="71" t="n"/>
      <c r="B462" s="71" t="n"/>
      <c r="C462" s="71" t="n"/>
      <c r="D462" s="71" t="n"/>
      <c r="E462" s="71" t="n"/>
      <c r="F462" s="71" t="n"/>
      <c r="G462" s="71" t="n"/>
      <c r="H462" s="71" t="n"/>
      <c r="I462" s="71" t="n"/>
      <c r="J462" s="71" t="n"/>
      <c r="K462" s="71" t="n"/>
      <c r="L462" s="71" t="n"/>
      <c r="M462" s="71" t="n"/>
      <c r="N462" s="71" t="n"/>
      <c r="O462" s="71" t="n"/>
      <c r="P462" s="71" t="n"/>
      <c r="Q462" s="71" t="n"/>
      <c r="R462" s="71" t="n"/>
      <c r="S462" s="71" t="n"/>
      <c r="T462" s="71" t="n"/>
      <c r="U462" s="71" t="n"/>
      <c r="V462" s="71" t="n"/>
      <c r="W462" s="71" t="n"/>
      <c r="X462" s="71" t="n"/>
      <c r="Y462" s="71" t="n"/>
      <c r="Z462" s="71" t="n"/>
    </row>
    <row r="463" ht="15.75" customHeight="1">
      <c r="A463" s="71" t="n"/>
      <c r="B463" s="71" t="n"/>
      <c r="C463" s="71" t="n"/>
      <c r="D463" s="71" t="n"/>
      <c r="E463" s="71" t="n"/>
      <c r="F463" s="71" t="n"/>
      <c r="G463" s="71" t="n"/>
      <c r="H463" s="71" t="n"/>
      <c r="I463" s="71" t="n"/>
      <c r="J463" s="71" t="n"/>
      <c r="K463" s="71" t="n"/>
      <c r="L463" s="71" t="n"/>
      <c r="M463" s="71" t="n"/>
      <c r="N463" s="71" t="n"/>
      <c r="O463" s="71" t="n"/>
      <c r="P463" s="71" t="n"/>
      <c r="Q463" s="71" t="n"/>
      <c r="R463" s="71" t="n"/>
      <c r="S463" s="71" t="n"/>
      <c r="T463" s="71" t="n"/>
      <c r="U463" s="71" t="n"/>
      <c r="V463" s="71" t="n"/>
      <c r="W463" s="71" t="n"/>
      <c r="X463" s="71" t="n"/>
      <c r="Y463" s="71" t="n"/>
      <c r="Z463" s="71" t="n"/>
    </row>
    <row r="464" ht="15.75" customHeight="1">
      <c r="A464" s="71" t="n"/>
      <c r="B464" s="71" t="n"/>
      <c r="C464" s="71" t="n"/>
      <c r="D464" s="71" t="n"/>
      <c r="E464" s="71" t="n"/>
      <c r="F464" s="71" t="n"/>
      <c r="G464" s="71" t="n"/>
      <c r="H464" s="71" t="n"/>
      <c r="I464" s="71" t="n"/>
      <c r="J464" s="71" t="n"/>
      <c r="K464" s="71" t="n"/>
      <c r="L464" s="71" t="n"/>
      <c r="M464" s="71" t="n"/>
      <c r="N464" s="71" t="n"/>
      <c r="O464" s="71" t="n"/>
      <c r="P464" s="71" t="n"/>
      <c r="Q464" s="71" t="n"/>
      <c r="R464" s="71" t="n"/>
      <c r="S464" s="71" t="n"/>
      <c r="T464" s="71" t="n"/>
      <c r="U464" s="71" t="n"/>
      <c r="V464" s="71" t="n"/>
      <c r="W464" s="71" t="n"/>
      <c r="X464" s="71" t="n"/>
      <c r="Y464" s="71" t="n"/>
      <c r="Z464" s="71" t="n"/>
    </row>
    <row r="465" ht="15.75" customHeight="1">
      <c r="A465" s="71" t="n"/>
      <c r="B465" s="71" t="n"/>
      <c r="C465" s="71" t="n"/>
      <c r="D465" s="71" t="n"/>
      <c r="E465" s="71" t="n"/>
      <c r="F465" s="71" t="n"/>
      <c r="G465" s="71" t="n"/>
      <c r="H465" s="71" t="n"/>
      <c r="I465" s="71" t="n"/>
      <c r="J465" s="71" t="n"/>
      <c r="K465" s="71" t="n"/>
      <c r="L465" s="71" t="n"/>
      <c r="M465" s="71" t="n"/>
      <c r="N465" s="71" t="n"/>
      <c r="O465" s="71" t="n"/>
      <c r="P465" s="71" t="n"/>
      <c r="Q465" s="71" t="n"/>
      <c r="R465" s="71" t="n"/>
      <c r="S465" s="71" t="n"/>
      <c r="T465" s="71" t="n"/>
      <c r="U465" s="71" t="n"/>
      <c r="V465" s="71" t="n"/>
      <c r="W465" s="71" t="n"/>
      <c r="X465" s="71" t="n"/>
      <c r="Y465" s="71" t="n"/>
      <c r="Z465" s="71" t="n"/>
    </row>
    <row r="466" ht="15.75" customHeight="1">
      <c r="A466" s="71" t="n"/>
      <c r="B466" s="71" t="n"/>
      <c r="C466" s="71" t="n"/>
      <c r="D466" s="71" t="n"/>
      <c r="E466" s="71" t="n"/>
      <c r="F466" s="71" t="n"/>
      <c r="G466" s="71" t="n"/>
      <c r="H466" s="71" t="n"/>
      <c r="I466" s="71" t="n"/>
      <c r="J466" s="71" t="n"/>
      <c r="K466" s="71" t="n"/>
      <c r="L466" s="71" t="n"/>
      <c r="M466" s="71" t="n"/>
      <c r="N466" s="71" t="n"/>
      <c r="O466" s="71" t="n"/>
      <c r="P466" s="71" t="n"/>
      <c r="Q466" s="71" t="n"/>
      <c r="R466" s="71" t="n"/>
      <c r="S466" s="71" t="n"/>
      <c r="T466" s="71" t="n"/>
      <c r="U466" s="71" t="n"/>
      <c r="V466" s="71" t="n"/>
      <c r="W466" s="71" t="n"/>
      <c r="X466" s="71" t="n"/>
      <c r="Y466" s="71" t="n"/>
      <c r="Z466" s="71" t="n"/>
    </row>
    <row r="467" ht="15.75" customHeight="1">
      <c r="A467" s="71" t="n"/>
      <c r="B467" s="71" t="n"/>
      <c r="C467" s="71" t="n"/>
      <c r="D467" s="71" t="n"/>
      <c r="E467" s="71" t="n"/>
      <c r="F467" s="71" t="n"/>
      <c r="G467" s="71" t="n"/>
      <c r="H467" s="71" t="n"/>
      <c r="I467" s="71" t="n"/>
      <c r="J467" s="71" t="n"/>
      <c r="K467" s="71" t="n"/>
      <c r="L467" s="71" t="n"/>
      <c r="M467" s="71" t="n"/>
      <c r="N467" s="71" t="n"/>
      <c r="O467" s="71" t="n"/>
      <c r="P467" s="71" t="n"/>
      <c r="Q467" s="71" t="n"/>
      <c r="R467" s="71" t="n"/>
      <c r="S467" s="71" t="n"/>
      <c r="T467" s="71" t="n"/>
      <c r="U467" s="71" t="n"/>
      <c r="V467" s="71" t="n"/>
      <c r="W467" s="71" t="n"/>
      <c r="X467" s="71" t="n"/>
      <c r="Y467" s="71" t="n"/>
      <c r="Z467" s="71" t="n"/>
    </row>
    <row r="468" ht="15.75" customHeight="1">
      <c r="A468" s="71" t="n"/>
      <c r="B468" s="71" t="n"/>
      <c r="C468" s="71" t="n"/>
      <c r="D468" s="71" t="n"/>
      <c r="E468" s="71" t="n"/>
      <c r="F468" s="71" t="n"/>
      <c r="G468" s="71" t="n"/>
      <c r="H468" s="71" t="n"/>
      <c r="I468" s="71" t="n"/>
      <c r="J468" s="71" t="n"/>
      <c r="K468" s="71" t="n"/>
      <c r="L468" s="71" t="n"/>
      <c r="M468" s="71" t="n"/>
      <c r="N468" s="71" t="n"/>
      <c r="O468" s="71" t="n"/>
      <c r="P468" s="71" t="n"/>
      <c r="Q468" s="71" t="n"/>
      <c r="R468" s="71" t="n"/>
      <c r="S468" s="71" t="n"/>
      <c r="T468" s="71" t="n"/>
      <c r="U468" s="71" t="n"/>
      <c r="V468" s="71" t="n"/>
      <c r="W468" s="71" t="n"/>
      <c r="X468" s="71" t="n"/>
      <c r="Y468" s="71" t="n"/>
      <c r="Z468" s="71" t="n"/>
    </row>
    <row r="469" ht="15.75" customHeight="1">
      <c r="A469" s="71" t="n"/>
      <c r="B469" s="71" t="n"/>
      <c r="C469" s="71" t="n"/>
      <c r="D469" s="71" t="n"/>
      <c r="E469" s="71" t="n"/>
      <c r="F469" s="71" t="n"/>
      <c r="G469" s="71" t="n"/>
      <c r="H469" s="71" t="n"/>
      <c r="I469" s="71" t="n"/>
      <c r="J469" s="71" t="n"/>
      <c r="K469" s="71" t="n"/>
      <c r="L469" s="71" t="n"/>
      <c r="M469" s="71" t="n"/>
      <c r="N469" s="71" t="n"/>
      <c r="O469" s="71" t="n"/>
      <c r="P469" s="71" t="n"/>
      <c r="Q469" s="71" t="n"/>
      <c r="R469" s="71" t="n"/>
      <c r="S469" s="71" t="n"/>
      <c r="T469" s="71" t="n"/>
      <c r="U469" s="71" t="n"/>
      <c r="V469" s="71" t="n"/>
      <c r="W469" s="71" t="n"/>
      <c r="X469" s="71" t="n"/>
      <c r="Y469" s="71" t="n"/>
      <c r="Z469" s="71" t="n"/>
    </row>
    <row r="470" ht="15.75" customHeight="1">
      <c r="A470" s="71" t="n"/>
      <c r="B470" s="71" t="n"/>
      <c r="C470" s="71" t="n"/>
      <c r="D470" s="71" t="n"/>
      <c r="E470" s="71" t="n"/>
      <c r="F470" s="71" t="n"/>
      <c r="G470" s="71" t="n"/>
      <c r="H470" s="71" t="n"/>
      <c r="I470" s="71" t="n"/>
      <c r="J470" s="71" t="n"/>
      <c r="K470" s="71" t="n"/>
      <c r="L470" s="71" t="n"/>
      <c r="M470" s="71" t="n"/>
      <c r="N470" s="71" t="n"/>
      <c r="O470" s="71" t="n"/>
      <c r="P470" s="71" t="n"/>
      <c r="Q470" s="71" t="n"/>
      <c r="R470" s="71" t="n"/>
      <c r="S470" s="71" t="n"/>
      <c r="T470" s="71" t="n"/>
      <c r="U470" s="71" t="n"/>
      <c r="V470" s="71" t="n"/>
      <c r="W470" s="71" t="n"/>
      <c r="X470" s="71" t="n"/>
      <c r="Y470" s="71" t="n"/>
      <c r="Z470" s="71" t="n"/>
    </row>
    <row r="471" ht="15.75" customHeight="1">
      <c r="A471" s="71" t="n"/>
      <c r="B471" s="71" t="n"/>
      <c r="C471" s="71" t="n"/>
      <c r="D471" s="71" t="n"/>
      <c r="E471" s="71" t="n"/>
      <c r="F471" s="71" t="n"/>
      <c r="G471" s="71" t="n"/>
      <c r="H471" s="71" t="n"/>
      <c r="I471" s="71" t="n"/>
      <c r="J471" s="71" t="n"/>
      <c r="K471" s="71" t="n"/>
      <c r="L471" s="71" t="n"/>
      <c r="M471" s="71" t="n"/>
      <c r="N471" s="71" t="n"/>
      <c r="O471" s="71" t="n"/>
      <c r="P471" s="71" t="n"/>
      <c r="Q471" s="71" t="n"/>
      <c r="R471" s="71" t="n"/>
      <c r="S471" s="71" t="n"/>
      <c r="T471" s="71" t="n"/>
      <c r="U471" s="71" t="n"/>
      <c r="V471" s="71" t="n"/>
      <c r="W471" s="71" t="n"/>
      <c r="X471" s="71" t="n"/>
      <c r="Y471" s="71" t="n"/>
      <c r="Z471" s="71" t="n"/>
    </row>
    <row r="472" ht="15.75" customHeight="1">
      <c r="A472" s="71" t="n"/>
      <c r="B472" s="71" t="n"/>
      <c r="C472" s="71" t="n"/>
      <c r="D472" s="71" t="n"/>
      <c r="E472" s="71" t="n"/>
      <c r="F472" s="71" t="n"/>
      <c r="G472" s="71" t="n"/>
      <c r="H472" s="71" t="n"/>
      <c r="I472" s="71" t="n"/>
      <c r="J472" s="71" t="n"/>
      <c r="K472" s="71" t="n"/>
      <c r="L472" s="71" t="n"/>
      <c r="M472" s="71" t="n"/>
      <c r="N472" s="71" t="n"/>
      <c r="O472" s="71" t="n"/>
      <c r="P472" s="71" t="n"/>
      <c r="Q472" s="71" t="n"/>
      <c r="R472" s="71" t="n"/>
      <c r="S472" s="71" t="n"/>
      <c r="T472" s="71" t="n"/>
      <c r="U472" s="71" t="n"/>
      <c r="V472" s="71" t="n"/>
      <c r="W472" s="71" t="n"/>
      <c r="X472" s="71" t="n"/>
      <c r="Y472" s="71" t="n"/>
      <c r="Z472" s="71" t="n"/>
    </row>
    <row r="473" ht="15.75" customHeight="1">
      <c r="A473" s="71" t="n"/>
      <c r="B473" s="71" t="n"/>
      <c r="C473" s="71" t="n"/>
      <c r="D473" s="71" t="n"/>
      <c r="E473" s="71" t="n"/>
      <c r="F473" s="71" t="n"/>
      <c r="G473" s="71" t="n"/>
      <c r="H473" s="71" t="n"/>
      <c r="I473" s="71" t="n"/>
      <c r="J473" s="71" t="n"/>
      <c r="K473" s="71" t="n"/>
      <c r="L473" s="71" t="n"/>
      <c r="M473" s="71" t="n"/>
      <c r="N473" s="71" t="n"/>
      <c r="O473" s="71" t="n"/>
      <c r="P473" s="71" t="n"/>
      <c r="Q473" s="71" t="n"/>
      <c r="R473" s="71" t="n"/>
      <c r="S473" s="71" t="n"/>
      <c r="T473" s="71" t="n"/>
      <c r="U473" s="71" t="n"/>
      <c r="V473" s="71" t="n"/>
      <c r="W473" s="71" t="n"/>
      <c r="X473" s="71" t="n"/>
      <c r="Y473" s="71" t="n"/>
      <c r="Z473" s="71" t="n"/>
    </row>
    <row r="474" ht="15.75" customHeight="1">
      <c r="A474" s="71" t="n"/>
      <c r="B474" s="71" t="n"/>
      <c r="C474" s="71" t="n"/>
      <c r="D474" s="71" t="n"/>
      <c r="E474" s="71" t="n"/>
      <c r="F474" s="71" t="n"/>
      <c r="G474" s="71" t="n"/>
      <c r="H474" s="71" t="n"/>
      <c r="I474" s="71" t="n"/>
      <c r="J474" s="71" t="n"/>
      <c r="K474" s="71" t="n"/>
      <c r="L474" s="71" t="n"/>
      <c r="M474" s="71" t="n"/>
      <c r="N474" s="71" t="n"/>
      <c r="O474" s="71" t="n"/>
      <c r="P474" s="71" t="n"/>
      <c r="Q474" s="71" t="n"/>
      <c r="R474" s="71" t="n"/>
      <c r="S474" s="71" t="n"/>
      <c r="T474" s="71" t="n"/>
      <c r="U474" s="71" t="n"/>
      <c r="V474" s="71" t="n"/>
      <c r="W474" s="71" t="n"/>
      <c r="X474" s="71" t="n"/>
      <c r="Y474" s="71" t="n"/>
      <c r="Z474" s="71" t="n"/>
    </row>
    <row r="475" ht="15.75" customHeight="1">
      <c r="A475" s="71" t="n"/>
      <c r="B475" s="71" t="n"/>
      <c r="C475" s="71" t="n"/>
      <c r="D475" s="71" t="n"/>
      <c r="E475" s="71" t="n"/>
      <c r="F475" s="71" t="n"/>
      <c r="G475" s="71" t="n"/>
      <c r="H475" s="71" t="n"/>
      <c r="I475" s="71" t="n"/>
      <c r="J475" s="71" t="n"/>
      <c r="K475" s="71" t="n"/>
      <c r="L475" s="71" t="n"/>
      <c r="M475" s="71" t="n"/>
      <c r="N475" s="71" t="n"/>
      <c r="O475" s="71" t="n"/>
      <c r="P475" s="71" t="n"/>
      <c r="Q475" s="71" t="n"/>
      <c r="R475" s="71" t="n"/>
      <c r="S475" s="71" t="n"/>
      <c r="T475" s="71" t="n"/>
      <c r="U475" s="71" t="n"/>
      <c r="V475" s="71" t="n"/>
      <c r="W475" s="71" t="n"/>
      <c r="X475" s="71" t="n"/>
      <c r="Y475" s="71" t="n"/>
      <c r="Z475" s="71" t="n"/>
    </row>
    <row r="476" ht="15.75" customHeight="1">
      <c r="A476" s="71" t="n"/>
      <c r="B476" s="71" t="n"/>
      <c r="C476" s="71" t="n"/>
      <c r="D476" s="71" t="n"/>
      <c r="E476" s="71" t="n"/>
      <c r="F476" s="71" t="n"/>
      <c r="G476" s="71" t="n"/>
      <c r="H476" s="71" t="n"/>
      <c r="I476" s="71" t="n"/>
      <c r="J476" s="71" t="n"/>
      <c r="K476" s="71" t="n"/>
      <c r="L476" s="71" t="n"/>
      <c r="M476" s="71" t="n"/>
      <c r="N476" s="71" t="n"/>
      <c r="O476" s="71" t="n"/>
      <c r="P476" s="71" t="n"/>
      <c r="Q476" s="71" t="n"/>
      <c r="R476" s="71" t="n"/>
      <c r="S476" s="71" t="n"/>
      <c r="T476" s="71" t="n"/>
      <c r="U476" s="71" t="n"/>
      <c r="V476" s="71" t="n"/>
      <c r="W476" s="71" t="n"/>
      <c r="X476" s="71" t="n"/>
      <c r="Y476" s="71" t="n"/>
      <c r="Z476" s="71" t="n"/>
    </row>
    <row r="477" ht="15.75" customHeight="1">
      <c r="A477" s="71" t="n"/>
      <c r="B477" s="71" t="n"/>
      <c r="C477" s="71" t="n"/>
      <c r="D477" s="71" t="n"/>
      <c r="E477" s="71" t="n"/>
      <c r="F477" s="71" t="n"/>
      <c r="G477" s="71" t="n"/>
      <c r="H477" s="71" t="n"/>
      <c r="I477" s="71" t="n"/>
      <c r="J477" s="71" t="n"/>
      <c r="K477" s="71" t="n"/>
      <c r="L477" s="71" t="n"/>
      <c r="M477" s="71" t="n"/>
      <c r="N477" s="71" t="n"/>
      <c r="O477" s="71" t="n"/>
      <c r="P477" s="71" t="n"/>
      <c r="Q477" s="71" t="n"/>
      <c r="R477" s="71" t="n"/>
      <c r="S477" s="71" t="n"/>
      <c r="T477" s="71" t="n"/>
      <c r="U477" s="71" t="n"/>
      <c r="V477" s="71" t="n"/>
      <c r="W477" s="71" t="n"/>
      <c r="X477" s="71" t="n"/>
      <c r="Y477" s="71" t="n"/>
      <c r="Z477" s="71" t="n"/>
    </row>
    <row r="478" ht="15.75" customHeight="1">
      <c r="A478" s="71" t="n"/>
      <c r="B478" s="71" t="n"/>
      <c r="C478" s="71" t="n"/>
      <c r="D478" s="71" t="n"/>
      <c r="E478" s="71" t="n"/>
      <c r="F478" s="71" t="n"/>
      <c r="G478" s="71" t="n"/>
      <c r="H478" s="71" t="n"/>
      <c r="I478" s="71" t="n"/>
      <c r="J478" s="71" t="n"/>
      <c r="K478" s="71" t="n"/>
      <c r="L478" s="71" t="n"/>
      <c r="M478" s="71" t="n"/>
      <c r="N478" s="71" t="n"/>
      <c r="O478" s="71" t="n"/>
      <c r="P478" s="71" t="n"/>
      <c r="Q478" s="71" t="n"/>
      <c r="R478" s="71" t="n"/>
      <c r="S478" s="71" t="n"/>
      <c r="T478" s="71" t="n"/>
      <c r="U478" s="71" t="n"/>
      <c r="V478" s="71" t="n"/>
      <c r="W478" s="71" t="n"/>
      <c r="X478" s="71" t="n"/>
      <c r="Y478" s="71" t="n"/>
      <c r="Z478" s="71" t="n"/>
    </row>
    <row r="479" ht="15.75" customHeight="1">
      <c r="A479" s="71" t="n"/>
      <c r="B479" s="71" t="n"/>
      <c r="C479" s="71" t="n"/>
      <c r="D479" s="71" t="n"/>
      <c r="E479" s="71" t="n"/>
      <c r="F479" s="71" t="n"/>
      <c r="G479" s="71" t="n"/>
      <c r="H479" s="71" t="n"/>
      <c r="I479" s="71" t="n"/>
      <c r="J479" s="71" t="n"/>
      <c r="K479" s="71" t="n"/>
      <c r="L479" s="71" t="n"/>
      <c r="M479" s="71" t="n"/>
      <c r="N479" s="71" t="n"/>
      <c r="O479" s="71" t="n"/>
      <c r="P479" s="71" t="n"/>
      <c r="Q479" s="71" t="n"/>
      <c r="R479" s="71" t="n"/>
      <c r="S479" s="71" t="n"/>
      <c r="T479" s="71" t="n"/>
      <c r="U479" s="71" t="n"/>
      <c r="V479" s="71" t="n"/>
      <c r="W479" s="71" t="n"/>
      <c r="X479" s="71" t="n"/>
      <c r="Y479" s="71" t="n"/>
      <c r="Z479" s="71" t="n"/>
    </row>
    <row r="480" ht="15.75" customHeight="1">
      <c r="A480" s="71" t="n"/>
      <c r="B480" s="71" t="n"/>
      <c r="C480" s="71" t="n"/>
      <c r="D480" s="71" t="n"/>
      <c r="E480" s="71" t="n"/>
      <c r="F480" s="71" t="n"/>
      <c r="G480" s="71" t="n"/>
      <c r="H480" s="71" t="n"/>
      <c r="I480" s="71" t="n"/>
      <c r="J480" s="71" t="n"/>
      <c r="K480" s="71" t="n"/>
      <c r="L480" s="71" t="n"/>
      <c r="M480" s="71" t="n"/>
      <c r="N480" s="71" t="n"/>
      <c r="O480" s="71" t="n"/>
      <c r="P480" s="71" t="n"/>
      <c r="Q480" s="71" t="n"/>
      <c r="R480" s="71" t="n"/>
      <c r="S480" s="71" t="n"/>
      <c r="T480" s="71" t="n"/>
      <c r="U480" s="71" t="n"/>
      <c r="V480" s="71" t="n"/>
      <c r="W480" s="71" t="n"/>
      <c r="X480" s="71" t="n"/>
      <c r="Y480" s="71" t="n"/>
      <c r="Z480" s="71" t="n"/>
    </row>
    <row r="481" ht="15.75" customHeight="1">
      <c r="A481" s="71" t="n"/>
      <c r="B481" s="71" t="n"/>
      <c r="C481" s="71" t="n"/>
      <c r="D481" s="71" t="n"/>
      <c r="E481" s="71" t="n"/>
      <c r="F481" s="71" t="n"/>
      <c r="G481" s="71" t="n"/>
      <c r="H481" s="71" t="n"/>
      <c r="I481" s="71" t="n"/>
      <c r="J481" s="71" t="n"/>
      <c r="K481" s="71" t="n"/>
      <c r="L481" s="71" t="n"/>
      <c r="M481" s="71" t="n"/>
      <c r="N481" s="71" t="n"/>
      <c r="O481" s="71" t="n"/>
      <c r="P481" s="71" t="n"/>
      <c r="Q481" s="71" t="n"/>
      <c r="R481" s="71" t="n"/>
      <c r="S481" s="71" t="n"/>
      <c r="T481" s="71" t="n"/>
      <c r="U481" s="71" t="n"/>
      <c r="V481" s="71" t="n"/>
      <c r="W481" s="71" t="n"/>
      <c r="X481" s="71" t="n"/>
      <c r="Y481" s="71" t="n"/>
      <c r="Z481" s="71" t="n"/>
    </row>
    <row r="482" ht="15.75" customHeight="1">
      <c r="A482" s="71" t="n"/>
      <c r="B482" s="71" t="n"/>
      <c r="C482" s="71" t="n"/>
      <c r="D482" s="71" t="n"/>
      <c r="E482" s="71" t="n"/>
      <c r="F482" s="71" t="n"/>
      <c r="G482" s="71" t="n"/>
      <c r="H482" s="71" t="n"/>
      <c r="I482" s="71" t="n"/>
      <c r="J482" s="71" t="n"/>
      <c r="K482" s="71" t="n"/>
      <c r="L482" s="71" t="n"/>
      <c r="M482" s="71" t="n"/>
      <c r="N482" s="71" t="n"/>
      <c r="O482" s="71" t="n"/>
      <c r="P482" s="71" t="n"/>
      <c r="Q482" s="71" t="n"/>
      <c r="R482" s="71" t="n"/>
      <c r="S482" s="71" t="n"/>
      <c r="T482" s="71" t="n"/>
      <c r="U482" s="71" t="n"/>
      <c r="V482" s="71" t="n"/>
      <c r="W482" s="71" t="n"/>
      <c r="X482" s="71" t="n"/>
      <c r="Y482" s="71" t="n"/>
      <c r="Z482" s="71" t="n"/>
    </row>
    <row r="483" ht="15.75" customHeight="1">
      <c r="A483" s="71" t="n"/>
      <c r="B483" s="71" t="n"/>
      <c r="C483" s="71" t="n"/>
      <c r="D483" s="71" t="n"/>
      <c r="E483" s="71" t="n"/>
      <c r="F483" s="71" t="n"/>
      <c r="G483" s="71" t="n"/>
      <c r="H483" s="71" t="n"/>
      <c r="I483" s="71" t="n"/>
      <c r="J483" s="71" t="n"/>
      <c r="K483" s="71" t="n"/>
      <c r="L483" s="71" t="n"/>
      <c r="M483" s="71" t="n"/>
      <c r="N483" s="71" t="n"/>
      <c r="O483" s="71" t="n"/>
      <c r="P483" s="71" t="n"/>
      <c r="Q483" s="71" t="n"/>
      <c r="R483" s="71" t="n"/>
      <c r="S483" s="71" t="n"/>
      <c r="T483" s="71" t="n"/>
      <c r="U483" s="71" t="n"/>
      <c r="V483" s="71" t="n"/>
      <c r="W483" s="71" t="n"/>
      <c r="X483" s="71" t="n"/>
      <c r="Y483" s="71" t="n"/>
      <c r="Z483" s="71" t="n"/>
    </row>
    <row r="484" ht="15.75" customHeight="1">
      <c r="A484" s="71" t="n"/>
      <c r="B484" s="71" t="n"/>
      <c r="C484" s="71" t="n"/>
      <c r="D484" s="71" t="n"/>
      <c r="E484" s="71" t="n"/>
      <c r="F484" s="71" t="n"/>
      <c r="G484" s="71" t="n"/>
      <c r="H484" s="71" t="n"/>
      <c r="I484" s="71" t="n"/>
      <c r="J484" s="71" t="n"/>
      <c r="K484" s="71" t="n"/>
      <c r="L484" s="71" t="n"/>
      <c r="M484" s="71" t="n"/>
      <c r="N484" s="71" t="n"/>
      <c r="O484" s="71" t="n"/>
      <c r="P484" s="71" t="n"/>
      <c r="Q484" s="71" t="n"/>
      <c r="R484" s="71" t="n"/>
      <c r="S484" s="71" t="n"/>
      <c r="T484" s="71" t="n"/>
      <c r="U484" s="71" t="n"/>
      <c r="V484" s="71" t="n"/>
      <c r="W484" s="71" t="n"/>
      <c r="X484" s="71" t="n"/>
      <c r="Y484" s="71" t="n"/>
      <c r="Z484" s="71" t="n"/>
    </row>
    <row r="485" ht="15.75" customHeight="1">
      <c r="A485" s="71" t="n"/>
      <c r="B485" s="71" t="n"/>
      <c r="C485" s="71" t="n"/>
      <c r="D485" s="71" t="n"/>
      <c r="E485" s="71" t="n"/>
      <c r="F485" s="71" t="n"/>
      <c r="G485" s="71" t="n"/>
      <c r="H485" s="71" t="n"/>
      <c r="I485" s="71" t="n"/>
      <c r="J485" s="71" t="n"/>
      <c r="K485" s="71" t="n"/>
      <c r="L485" s="71" t="n"/>
      <c r="M485" s="71" t="n"/>
      <c r="N485" s="71" t="n"/>
      <c r="O485" s="71" t="n"/>
      <c r="P485" s="71" t="n"/>
      <c r="Q485" s="71" t="n"/>
      <c r="R485" s="71" t="n"/>
      <c r="S485" s="71" t="n"/>
      <c r="T485" s="71" t="n"/>
      <c r="U485" s="71" t="n"/>
      <c r="V485" s="71" t="n"/>
      <c r="W485" s="71" t="n"/>
      <c r="X485" s="71" t="n"/>
      <c r="Y485" s="71" t="n"/>
      <c r="Z485" s="71" t="n"/>
    </row>
    <row r="486" ht="15.75" customHeight="1">
      <c r="A486" s="71" t="n"/>
      <c r="B486" s="71" t="n"/>
      <c r="C486" s="71" t="n"/>
      <c r="D486" s="71" t="n"/>
      <c r="E486" s="71" t="n"/>
      <c r="F486" s="71" t="n"/>
      <c r="G486" s="71" t="n"/>
      <c r="H486" s="71" t="n"/>
      <c r="I486" s="71" t="n"/>
      <c r="J486" s="71" t="n"/>
      <c r="K486" s="71" t="n"/>
      <c r="L486" s="71" t="n"/>
      <c r="M486" s="71" t="n"/>
      <c r="N486" s="71" t="n"/>
      <c r="O486" s="71" t="n"/>
      <c r="P486" s="71" t="n"/>
      <c r="Q486" s="71" t="n"/>
      <c r="R486" s="71" t="n"/>
      <c r="S486" s="71" t="n"/>
      <c r="T486" s="71" t="n"/>
      <c r="U486" s="71" t="n"/>
      <c r="V486" s="71" t="n"/>
      <c r="W486" s="71" t="n"/>
      <c r="X486" s="71" t="n"/>
      <c r="Y486" s="71" t="n"/>
      <c r="Z486" s="71" t="n"/>
    </row>
    <row r="487" ht="15.75" customHeight="1">
      <c r="A487" s="71" t="n"/>
      <c r="B487" s="71" t="n"/>
      <c r="C487" s="71" t="n"/>
      <c r="D487" s="71" t="n"/>
      <c r="E487" s="71" t="n"/>
      <c r="F487" s="71" t="n"/>
      <c r="G487" s="71" t="n"/>
      <c r="H487" s="71" t="n"/>
      <c r="I487" s="71" t="n"/>
      <c r="J487" s="71" t="n"/>
      <c r="K487" s="71" t="n"/>
      <c r="L487" s="71" t="n"/>
      <c r="M487" s="71" t="n"/>
      <c r="N487" s="71" t="n"/>
      <c r="O487" s="71" t="n"/>
      <c r="P487" s="71" t="n"/>
      <c r="Q487" s="71" t="n"/>
      <c r="R487" s="71" t="n"/>
      <c r="S487" s="71" t="n"/>
      <c r="T487" s="71" t="n"/>
      <c r="U487" s="71" t="n"/>
      <c r="V487" s="71" t="n"/>
      <c r="W487" s="71" t="n"/>
      <c r="X487" s="71" t="n"/>
      <c r="Y487" s="71" t="n"/>
      <c r="Z487" s="71" t="n"/>
    </row>
    <row r="488" ht="15.75" customHeight="1">
      <c r="A488" s="71" t="n"/>
      <c r="B488" s="71" t="n"/>
      <c r="C488" s="71" t="n"/>
      <c r="D488" s="71" t="n"/>
      <c r="E488" s="71" t="n"/>
      <c r="F488" s="71" t="n"/>
      <c r="G488" s="71" t="n"/>
      <c r="H488" s="71" t="n"/>
      <c r="I488" s="71" t="n"/>
      <c r="J488" s="71" t="n"/>
      <c r="K488" s="71" t="n"/>
      <c r="L488" s="71" t="n"/>
      <c r="M488" s="71" t="n"/>
      <c r="N488" s="71" t="n"/>
      <c r="O488" s="71" t="n"/>
      <c r="P488" s="71" t="n"/>
      <c r="Q488" s="71" t="n"/>
      <c r="R488" s="71" t="n"/>
      <c r="S488" s="71" t="n"/>
      <c r="T488" s="71" t="n"/>
      <c r="U488" s="71" t="n"/>
      <c r="V488" s="71" t="n"/>
      <c r="W488" s="71" t="n"/>
      <c r="X488" s="71" t="n"/>
      <c r="Y488" s="71" t="n"/>
      <c r="Z488" s="71" t="n"/>
    </row>
    <row r="489" ht="15.75" customHeight="1">
      <c r="A489" s="71" t="n"/>
      <c r="B489" s="71" t="n"/>
      <c r="C489" s="71" t="n"/>
      <c r="D489" s="71" t="n"/>
      <c r="E489" s="71" t="n"/>
      <c r="F489" s="71" t="n"/>
      <c r="G489" s="71" t="n"/>
      <c r="H489" s="71" t="n"/>
      <c r="I489" s="71" t="n"/>
      <c r="J489" s="71" t="n"/>
      <c r="K489" s="71" t="n"/>
      <c r="L489" s="71" t="n"/>
      <c r="M489" s="71" t="n"/>
      <c r="N489" s="71" t="n"/>
      <c r="O489" s="71" t="n"/>
      <c r="P489" s="71" t="n"/>
      <c r="Q489" s="71" t="n"/>
      <c r="R489" s="71" t="n"/>
      <c r="S489" s="71" t="n"/>
      <c r="T489" s="71" t="n"/>
      <c r="U489" s="71" t="n"/>
      <c r="V489" s="71" t="n"/>
      <c r="W489" s="71" t="n"/>
      <c r="X489" s="71" t="n"/>
      <c r="Y489" s="71" t="n"/>
      <c r="Z489" s="71" t="n"/>
    </row>
    <row r="490" ht="15.75" customHeight="1">
      <c r="A490" s="71" t="n"/>
      <c r="B490" s="71" t="n"/>
      <c r="C490" s="71" t="n"/>
      <c r="D490" s="71" t="n"/>
      <c r="E490" s="71" t="n"/>
      <c r="F490" s="71" t="n"/>
      <c r="G490" s="71" t="n"/>
      <c r="H490" s="71" t="n"/>
      <c r="I490" s="71" t="n"/>
      <c r="J490" s="71" t="n"/>
      <c r="K490" s="71" t="n"/>
      <c r="L490" s="71" t="n"/>
      <c r="M490" s="71" t="n"/>
      <c r="N490" s="71" t="n"/>
      <c r="O490" s="71" t="n"/>
      <c r="P490" s="71" t="n"/>
      <c r="Q490" s="71" t="n"/>
      <c r="R490" s="71" t="n"/>
      <c r="S490" s="71" t="n"/>
      <c r="T490" s="71" t="n"/>
      <c r="U490" s="71" t="n"/>
      <c r="V490" s="71" t="n"/>
      <c r="W490" s="71" t="n"/>
      <c r="X490" s="71" t="n"/>
      <c r="Y490" s="71" t="n"/>
      <c r="Z490" s="71" t="n"/>
    </row>
    <row r="491" ht="15.75" customHeight="1">
      <c r="A491" s="71" t="n"/>
      <c r="B491" s="71" t="n"/>
      <c r="C491" s="71" t="n"/>
      <c r="D491" s="71" t="n"/>
      <c r="E491" s="71" t="n"/>
      <c r="F491" s="71" t="n"/>
      <c r="G491" s="71" t="n"/>
      <c r="H491" s="71" t="n"/>
      <c r="I491" s="71" t="n"/>
      <c r="J491" s="71" t="n"/>
      <c r="K491" s="71" t="n"/>
      <c r="L491" s="71" t="n"/>
      <c r="M491" s="71" t="n"/>
      <c r="N491" s="71" t="n"/>
      <c r="O491" s="71" t="n"/>
      <c r="P491" s="71" t="n"/>
      <c r="Q491" s="71" t="n"/>
      <c r="R491" s="71" t="n"/>
      <c r="S491" s="71" t="n"/>
      <c r="T491" s="71" t="n"/>
      <c r="U491" s="71" t="n"/>
      <c r="V491" s="71" t="n"/>
      <c r="W491" s="71" t="n"/>
      <c r="X491" s="71" t="n"/>
      <c r="Y491" s="71" t="n"/>
      <c r="Z491" s="71" t="n"/>
    </row>
    <row r="492" ht="15.75" customHeight="1">
      <c r="A492" s="71" t="n"/>
      <c r="B492" s="71" t="n"/>
      <c r="C492" s="71" t="n"/>
      <c r="D492" s="71" t="n"/>
      <c r="E492" s="71" t="n"/>
      <c r="F492" s="71" t="n"/>
      <c r="G492" s="71" t="n"/>
      <c r="H492" s="71" t="n"/>
      <c r="I492" s="71" t="n"/>
      <c r="J492" s="71" t="n"/>
      <c r="K492" s="71" t="n"/>
      <c r="L492" s="71" t="n"/>
      <c r="M492" s="71" t="n"/>
      <c r="N492" s="71" t="n"/>
      <c r="O492" s="71" t="n"/>
      <c r="P492" s="71" t="n"/>
      <c r="Q492" s="71" t="n"/>
      <c r="R492" s="71" t="n"/>
      <c r="S492" s="71" t="n"/>
      <c r="T492" s="71" t="n"/>
      <c r="U492" s="71" t="n"/>
      <c r="V492" s="71" t="n"/>
      <c r="W492" s="71" t="n"/>
      <c r="X492" s="71" t="n"/>
      <c r="Y492" s="71" t="n"/>
      <c r="Z492" s="71" t="n"/>
    </row>
    <row r="493" ht="15.75" customHeight="1">
      <c r="A493" s="71" t="n"/>
      <c r="B493" s="71" t="n"/>
      <c r="C493" s="71" t="n"/>
      <c r="D493" s="71" t="n"/>
      <c r="E493" s="71" t="n"/>
      <c r="F493" s="71" t="n"/>
      <c r="G493" s="71" t="n"/>
      <c r="H493" s="71" t="n"/>
      <c r="I493" s="71" t="n"/>
      <c r="J493" s="71" t="n"/>
      <c r="K493" s="71" t="n"/>
      <c r="L493" s="71" t="n"/>
      <c r="M493" s="71" t="n"/>
      <c r="N493" s="71" t="n"/>
      <c r="O493" s="71" t="n"/>
      <c r="P493" s="71" t="n"/>
      <c r="Q493" s="71" t="n"/>
      <c r="R493" s="71" t="n"/>
      <c r="S493" s="71" t="n"/>
      <c r="T493" s="71" t="n"/>
      <c r="U493" s="71" t="n"/>
      <c r="V493" s="71" t="n"/>
      <c r="W493" s="71" t="n"/>
      <c r="X493" s="71" t="n"/>
      <c r="Y493" s="71" t="n"/>
      <c r="Z493" s="71" t="n"/>
    </row>
    <row r="494" ht="15.75" customHeight="1">
      <c r="A494" s="71" t="n"/>
      <c r="B494" s="71" t="n"/>
      <c r="C494" s="71" t="n"/>
      <c r="D494" s="71" t="n"/>
      <c r="E494" s="71" t="n"/>
      <c r="F494" s="71" t="n"/>
      <c r="G494" s="71" t="n"/>
      <c r="H494" s="71" t="n"/>
      <c r="I494" s="71" t="n"/>
      <c r="J494" s="71" t="n"/>
      <c r="K494" s="71" t="n"/>
      <c r="L494" s="71" t="n"/>
      <c r="M494" s="71" t="n"/>
      <c r="N494" s="71" t="n"/>
      <c r="O494" s="71" t="n"/>
      <c r="P494" s="71" t="n"/>
      <c r="Q494" s="71" t="n"/>
      <c r="R494" s="71" t="n"/>
      <c r="S494" s="71" t="n"/>
      <c r="T494" s="71" t="n"/>
      <c r="U494" s="71" t="n"/>
      <c r="V494" s="71" t="n"/>
      <c r="W494" s="71" t="n"/>
      <c r="X494" s="71" t="n"/>
      <c r="Y494" s="71" t="n"/>
      <c r="Z494" s="71" t="n"/>
    </row>
    <row r="495" ht="15.75" customHeight="1">
      <c r="A495" s="71" t="n"/>
      <c r="B495" s="71" t="n"/>
      <c r="C495" s="71" t="n"/>
      <c r="D495" s="71" t="n"/>
      <c r="E495" s="71" t="n"/>
      <c r="F495" s="71" t="n"/>
      <c r="G495" s="71" t="n"/>
      <c r="H495" s="71" t="n"/>
      <c r="I495" s="71" t="n"/>
      <c r="J495" s="71" t="n"/>
      <c r="K495" s="71" t="n"/>
      <c r="L495" s="71" t="n"/>
      <c r="M495" s="71" t="n"/>
      <c r="N495" s="71" t="n"/>
      <c r="O495" s="71" t="n"/>
      <c r="P495" s="71" t="n"/>
      <c r="Q495" s="71" t="n"/>
      <c r="R495" s="71" t="n"/>
      <c r="S495" s="71" t="n"/>
      <c r="T495" s="71" t="n"/>
      <c r="U495" s="71" t="n"/>
      <c r="V495" s="71" t="n"/>
      <c r="W495" s="71" t="n"/>
      <c r="X495" s="71" t="n"/>
      <c r="Y495" s="71" t="n"/>
      <c r="Z495" s="71" t="n"/>
    </row>
    <row r="496" ht="15.75" customHeight="1">
      <c r="A496" s="71" t="n"/>
      <c r="B496" s="71" t="n"/>
      <c r="C496" s="71" t="n"/>
      <c r="D496" s="71" t="n"/>
      <c r="E496" s="71" t="n"/>
      <c r="F496" s="71" t="n"/>
      <c r="G496" s="71" t="n"/>
      <c r="H496" s="71" t="n"/>
      <c r="I496" s="71" t="n"/>
      <c r="J496" s="71" t="n"/>
      <c r="K496" s="71" t="n"/>
      <c r="L496" s="71" t="n"/>
      <c r="M496" s="71" t="n"/>
      <c r="N496" s="71" t="n"/>
      <c r="O496" s="71" t="n"/>
      <c r="P496" s="71" t="n"/>
      <c r="Q496" s="71" t="n"/>
      <c r="R496" s="71" t="n"/>
      <c r="S496" s="71" t="n"/>
      <c r="T496" s="71" t="n"/>
      <c r="U496" s="71" t="n"/>
      <c r="V496" s="71" t="n"/>
      <c r="W496" s="71" t="n"/>
      <c r="X496" s="71" t="n"/>
      <c r="Y496" s="71" t="n"/>
      <c r="Z496" s="71" t="n"/>
    </row>
    <row r="497" ht="15.75" customHeight="1">
      <c r="A497" s="71" t="n"/>
      <c r="B497" s="71" t="n"/>
      <c r="C497" s="71" t="n"/>
      <c r="D497" s="71" t="n"/>
      <c r="E497" s="71" t="n"/>
      <c r="F497" s="71" t="n"/>
      <c r="G497" s="71" t="n"/>
      <c r="H497" s="71" t="n"/>
      <c r="I497" s="71" t="n"/>
      <c r="J497" s="71" t="n"/>
      <c r="K497" s="71" t="n"/>
      <c r="L497" s="71" t="n"/>
      <c r="M497" s="71" t="n"/>
      <c r="N497" s="71" t="n"/>
      <c r="O497" s="71" t="n"/>
      <c r="P497" s="71" t="n"/>
      <c r="Q497" s="71" t="n"/>
      <c r="R497" s="71" t="n"/>
      <c r="S497" s="71" t="n"/>
      <c r="T497" s="71" t="n"/>
      <c r="U497" s="71" t="n"/>
      <c r="V497" s="71" t="n"/>
      <c r="W497" s="71" t="n"/>
      <c r="X497" s="71" t="n"/>
      <c r="Y497" s="71" t="n"/>
      <c r="Z497" s="71" t="n"/>
    </row>
    <row r="498" ht="15.75" customHeight="1">
      <c r="A498" s="71" t="n"/>
      <c r="B498" s="71" t="n"/>
      <c r="C498" s="71" t="n"/>
      <c r="D498" s="71" t="n"/>
      <c r="E498" s="71" t="n"/>
      <c r="F498" s="71" t="n"/>
      <c r="G498" s="71" t="n"/>
      <c r="H498" s="71" t="n"/>
      <c r="I498" s="71" t="n"/>
      <c r="J498" s="71" t="n"/>
      <c r="K498" s="71" t="n"/>
      <c r="L498" s="71" t="n"/>
      <c r="M498" s="71" t="n"/>
      <c r="N498" s="71" t="n"/>
      <c r="O498" s="71" t="n"/>
      <c r="P498" s="71" t="n"/>
      <c r="Q498" s="71" t="n"/>
      <c r="R498" s="71" t="n"/>
      <c r="S498" s="71" t="n"/>
      <c r="T498" s="71" t="n"/>
      <c r="U498" s="71" t="n"/>
      <c r="V498" s="71" t="n"/>
      <c r="W498" s="71" t="n"/>
      <c r="X498" s="71" t="n"/>
      <c r="Y498" s="71" t="n"/>
      <c r="Z498" s="71" t="n"/>
    </row>
    <row r="499" ht="15.75" customHeight="1">
      <c r="A499" s="71" t="n"/>
      <c r="B499" s="71" t="n"/>
      <c r="C499" s="71" t="n"/>
      <c r="D499" s="71" t="n"/>
      <c r="E499" s="71" t="n"/>
      <c r="F499" s="71" t="n"/>
      <c r="G499" s="71" t="n"/>
      <c r="H499" s="71" t="n"/>
      <c r="I499" s="71" t="n"/>
      <c r="J499" s="71" t="n"/>
      <c r="K499" s="71" t="n"/>
      <c r="L499" s="71" t="n"/>
      <c r="M499" s="71" t="n"/>
      <c r="N499" s="71" t="n"/>
      <c r="O499" s="71" t="n"/>
      <c r="P499" s="71" t="n"/>
      <c r="Q499" s="71" t="n"/>
      <c r="R499" s="71" t="n"/>
      <c r="S499" s="71" t="n"/>
      <c r="T499" s="71" t="n"/>
      <c r="U499" s="71" t="n"/>
      <c r="V499" s="71" t="n"/>
      <c r="W499" s="71" t="n"/>
      <c r="X499" s="71" t="n"/>
      <c r="Y499" s="71" t="n"/>
      <c r="Z499" s="71" t="n"/>
    </row>
    <row r="500" ht="15.75" customHeight="1">
      <c r="A500" s="71" t="n"/>
      <c r="B500" s="71" t="n"/>
      <c r="C500" s="71" t="n"/>
      <c r="D500" s="71" t="n"/>
      <c r="E500" s="71" t="n"/>
      <c r="F500" s="71" t="n"/>
      <c r="G500" s="71" t="n"/>
      <c r="H500" s="71" t="n"/>
      <c r="I500" s="71" t="n"/>
      <c r="J500" s="71" t="n"/>
      <c r="K500" s="71" t="n"/>
      <c r="L500" s="71" t="n"/>
      <c r="M500" s="71" t="n"/>
      <c r="N500" s="71" t="n"/>
      <c r="O500" s="71" t="n"/>
      <c r="P500" s="71" t="n"/>
      <c r="Q500" s="71" t="n"/>
      <c r="R500" s="71" t="n"/>
      <c r="S500" s="71" t="n"/>
      <c r="T500" s="71" t="n"/>
      <c r="U500" s="71" t="n"/>
      <c r="V500" s="71" t="n"/>
      <c r="W500" s="71" t="n"/>
      <c r="X500" s="71" t="n"/>
      <c r="Y500" s="71" t="n"/>
      <c r="Z500" s="71" t="n"/>
    </row>
    <row r="501" ht="15.75" customHeight="1">
      <c r="A501" s="71" t="n"/>
      <c r="B501" s="71" t="n"/>
      <c r="C501" s="71" t="n"/>
      <c r="D501" s="71" t="n"/>
      <c r="E501" s="71" t="n"/>
      <c r="F501" s="71" t="n"/>
      <c r="G501" s="71" t="n"/>
      <c r="H501" s="71" t="n"/>
      <c r="I501" s="71" t="n"/>
      <c r="J501" s="71" t="n"/>
      <c r="K501" s="71" t="n"/>
      <c r="L501" s="71" t="n"/>
      <c r="M501" s="71" t="n"/>
      <c r="N501" s="71" t="n"/>
      <c r="O501" s="71" t="n"/>
      <c r="P501" s="71" t="n"/>
      <c r="Q501" s="71" t="n"/>
      <c r="R501" s="71" t="n"/>
      <c r="S501" s="71" t="n"/>
      <c r="T501" s="71" t="n"/>
      <c r="U501" s="71" t="n"/>
      <c r="V501" s="71" t="n"/>
      <c r="W501" s="71" t="n"/>
      <c r="X501" s="71" t="n"/>
      <c r="Y501" s="71" t="n"/>
      <c r="Z501" s="71" t="n"/>
    </row>
    <row r="502" ht="15.75" customHeight="1">
      <c r="A502" s="71" t="n"/>
      <c r="B502" s="71" t="n"/>
      <c r="C502" s="71" t="n"/>
      <c r="D502" s="71" t="n"/>
      <c r="E502" s="71" t="n"/>
      <c r="F502" s="71" t="n"/>
      <c r="G502" s="71" t="n"/>
      <c r="H502" s="71" t="n"/>
      <c r="I502" s="71" t="n"/>
      <c r="J502" s="71" t="n"/>
      <c r="K502" s="71" t="n"/>
      <c r="L502" s="71" t="n"/>
      <c r="M502" s="71" t="n"/>
      <c r="N502" s="71" t="n"/>
      <c r="O502" s="71" t="n"/>
      <c r="P502" s="71" t="n"/>
      <c r="Q502" s="71" t="n"/>
      <c r="R502" s="71" t="n"/>
      <c r="S502" s="71" t="n"/>
      <c r="T502" s="71" t="n"/>
      <c r="U502" s="71" t="n"/>
      <c r="V502" s="71" t="n"/>
      <c r="W502" s="71" t="n"/>
      <c r="X502" s="71" t="n"/>
      <c r="Y502" s="71" t="n"/>
      <c r="Z502" s="71" t="n"/>
    </row>
    <row r="503" ht="15.75" customHeight="1">
      <c r="A503" s="71" t="n"/>
      <c r="B503" s="71" t="n"/>
      <c r="C503" s="71" t="n"/>
      <c r="D503" s="71" t="n"/>
      <c r="E503" s="71" t="n"/>
      <c r="F503" s="71" t="n"/>
      <c r="G503" s="71" t="n"/>
      <c r="H503" s="71" t="n"/>
      <c r="I503" s="71" t="n"/>
      <c r="J503" s="71" t="n"/>
      <c r="K503" s="71" t="n"/>
      <c r="L503" s="71" t="n"/>
      <c r="M503" s="71" t="n"/>
      <c r="N503" s="71" t="n"/>
      <c r="O503" s="71" t="n"/>
      <c r="P503" s="71" t="n"/>
      <c r="Q503" s="71" t="n"/>
      <c r="R503" s="71" t="n"/>
      <c r="S503" s="71" t="n"/>
      <c r="T503" s="71" t="n"/>
      <c r="U503" s="71" t="n"/>
      <c r="V503" s="71" t="n"/>
      <c r="W503" s="71" t="n"/>
      <c r="X503" s="71" t="n"/>
      <c r="Y503" s="71" t="n"/>
      <c r="Z503" s="71" t="n"/>
    </row>
    <row r="504" ht="15.75" customHeight="1">
      <c r="A504" s="71" t="n"/>
      <c r="B504" s="71" t="n"/>
      <c r="C504" s="71" t="n"/>
      <c r="D504" s="71" t="n"/>
      <c r="E504" s="71" t="n"/>
      <c r="F504" s="71" t="n"/>
      <c r="G504" s="71" t="n"/>
      <c r="H504" s="71" t="n"/>
      <c r="I504" s="71" t="n"/>
      <c r="J504" s="71" t="n"/>
      <c r="K504" s="71" t="n"/>
      <c r="L504" s="71" t="n"/>
      <c r="M504" s="71" t="n"/>
      <c r="N504" s="71" t="n"/>
      <c r="O504" s="71" t="n"/>
      <c r="P504" s="71" t="n"/>
      <c r="Q504" s="71" t="n"/>
      <c r="R504" s="71" t="n"/>
      <c r="S504" s="71" t="n"/>
      <c r="T504" s="71" t="n"/>
      <c r="U504" s="71" t="n"/>
      <c r="V504" s="71" t="n"/>
      <c r="W504" s="71" t="n"/>
      <c r="X504" s="71" t="n"/>
      <c r="Y504" s="71" t="n"/>
      <c r="Z504" s="71" t="n"/>
    </row>
    <row r="505" ht="15.75" customHeight="1">
      <c r="A505" s="71" t="n"/>
      <c r="B505" s="71" t="n"/>
      <c r="C505" s="71" t="n"/>
      <c r="D505" s="71" t="n"/>
      <c r="E505" s="71" t="n"/>
      <c r="F505" s="71" t="n"/>
      <c r="G505" s="71" t="n"/>
      <c r="H505" s="71" t="n"/>
      <c r="I505" s="71" t="n"/>
      <c r="J505" s="71" t="n"/>
      <c r="K505" s="71" t="n"/>
      <c r="L505" s="71" t="n"/>
      <c r="M505" s="71" t="n"/>
      <c r="N505" s="71" t="n"/>
      <c r="O505" s="71" t="n"/>
      <c r="P505" s="71" t="n"/>
      <c r="Q505" s="71" t="n"/>
      <c r="R505" s="71" t="n"/>
      <c r="S505" s="71" t="n"/>
      <c r="T505" s="71" t="n"/>
      <c r="U505" s="71" t="n"/>
      <c r="V505" s="71" t="n"/>
      <c r="W505" s="71" t="n"/>
      <c r="X505" s="71" t="n"/>
      <c r="Y505" s="71" t="n"/>
      <c r="Z505" s="71" t="n"/>
    </row>
    <row r="506" ht="15.75" customHeight="1">
      <c r="A506" s="71" t="n"/>
      <c r="B506" s="71" t="n"/>
      <c r="C506" s="71" t="n"/>
      <c r="D506" s="71" t="n"/>
      <c r="E506" s="71" t="n"/>
      <c r="F506" s="71" t="n"/>
      <c r="G506" s="71" t="n"/>
      <c r="H506" s="71" t="n"/>
      <c r="I506" s="71" t="n"/>
      <c r="J506" s="71" t="n"/>
      <c r="K506" s="71" t="n"/>
      <c r="L506" s="71" t="n"/>
      <c r="M506" s="71" t="n"/>
      <c r="N506" s="71" t="n"/>
      <c r="O506" s="71" t="n"/>
      <c r="P506" s="71" t="n"/>
      <c r="Q506" s="71" t="n"/>
      <c r="R506" s="71" t="n"/>
      <c r="S506" s="71" t="n"/>
      <c r="T506" s="71" t="n"/>
      <c r="U506" s="71" t="n"/>
      <c r="V506" s="71" t="n"/>
      <c r="W506" s="71" t="n"/>
      <c r="X506" s="71" t="n"/>
      <c r="Y506" s="71" t="n"/>
      <c r="Z506" s="71" t="n"/>
    </row>
    <row r="507" ht="15.75" customHeight="1">
      <c r="A507" s="71" t="n"/>
      <c r="B507" s="71" t="n"/>
      <c r="C507" s="71" t="n"/>
      <c r="D507" s="71" t="n"/>
      <c r="E507" s="71" t="n"/>
      <c r="F507" s="71" t="n"/>
      <c r="G507" s="71" t="n"/>
      <c r="H507" s="71" t="n"/>
      <c r="I507" s="71" t="n"/>
      <c r="J507" s="71" t="n"/>
      <c r="K507" s="71" t="n"/>
      <c r="L507" s="71" t="n"/>
      <c r="M507" s="71" t="n"/>
      <c r="N507" s="71" t="n"/>
      <c r="O507" s="71" t="n"/>
      <c r="P507" s="71" t="n"/>
      <c r="Q507" s="71" t="n"/>
      <c r="R507" s="71" t="n"/>
      <c r="S507" s="71" t="n"/>
      <c r="T507" s="71" t="n"/>
      <c r="U507" s="71" t="n"/>
      <c r="V507" s="71" t="n"/>
      <c r="W507" s="71" t="n"/>
      <c r="X507" s="71" t="n"/>
      <c r="Y507" s="71" t="n"/>
      <c r="Z507" s="71" t="n"/>
    </row>
    <row r="508" ht="15.75" customHeight="1">
      <c r="A508" s="71" t="n"/>
      <c r="B508" s="71" t="n"/>
      <c r="C508" s="71" t="n"/>
      <c r="D508" s="71" t="n"/>
      <c r="E508" s="71" t="n"/>
      <c r="F508" s="71" t="n"/>
      <c r="G508" s="71" t="n"/>
      <c r="H508" s="71" t="n"/>
      <c r="I508" s="71" t="n"/>
      <c r="J508" s="71" t="n"/>
      <c r="K508" s="71" t="n"/>
      <c r="L508" s="71" t="n"/>
      <c r="M508" s="71" t="n"/>
      <c r="N508" s="71" t="n"/>
      <c r="O508" s="71" t="n"/>
      <c r="P508" s="71" t="n"/>
      <c r="Q508" s="71" t="n"/>
      <c r="R508" s="71" t="n"/>
      <c r="S508" s="71" t="n"/>
      <c r="T508" s="71" t="n"/>
      <c r="U508" s="71" t="n"/>
      <c r="V508" s="71" t="n"/>
      <c r="W508" s="71" t="n"/>
      <c r="X508" s="71" t="n"/>
      <c r="Y508" s="71" t="n"/>
      <c r="Z508" s="71" t="n"/>
    </row>
    <row r="509" ht="15.75" customHeight="1">
      <c r="A509" s="71" t="n"/>
      <c r="B509" s="71" t="n"/>
      <c r="C509" s="71" t="n"/>
      <c r="D509" s="71" t="n"/>
      <c r="E509" s="71" t="n"/>
      <c r="F509" s="71" t="n"/>
      <c r="G509" s="71" t="n"/>
      <c r="H509" s="71" t="n"/>
      <c r="I509" s="71" t="n"/>
      <c r="J509" s="71" t="n"/>
      <c r="K509" s="71" t="n"/>
      <c r="L509" s="71" t="n"/>
      <c r="M509" s="71" t="n"/>
      <c r="N509" s="71" t="n"/>
      <c r="O509" s="71" t="n"/>
      <c r="P509" s="71" t="n"/>
      <c r="Q509" s="71" t="n"/>
      <c r="R509" s="71" t="n"/>
      <c r="S509" s="71" t="n"/>
      <c r="T509" s="71" t="n"/>
      <c r="U509" s="71" t="n"/>
      <c r="V509" s="71" t="n"/>
      <c r="W509" s="71" t="n"/>
      <c r="X509" s="71" t="n"/>
      <c r="Y509" s="71" t="n"/>
      <c r="Z509" s="71" t="n"/>
    </row>
    <row r="510" ht="15.75" customHeight="1">
      <c r="A510" s="71" t="n"/>
      <c r="B510" s="71" t="n"/>
      <c r="C510" s="71" t="n"/>
      <c r="D510" s="71" t="n"/>
      <c r="E510" s="71" t="n"/>
      <c r="F510" s="71" t="n"/>
      <c r="G510" s="71" t="n"/>
      <c r="H510" s="71" t="n"/>
      <c r="I510" s="71" t="n"/>
      <c r="J510" s="71" t="n"/>
      <c r="K510" s="71" t="n"/>
      <c r="L510" s="71" t="n"/>
      <c r="M510" s="71" t="n"/>
      <c r="N510" s="71" t="n"/>
      <c r="O510" s="71" t="n"/>
      <c r="P510" s="71" t="n"/>
      <c r="Q510" s="71" t="n"/>
      <c r="R510" s="71" t="n"/>
      <c r="S510" s="71" t="n"/>
      <c r="T510" s="71" t="n"/>
      <c r="U510" s="71" t="n"/>
      <c r="V510" s="71" t="n"/>
      <c r="W510" s="71" t="n"/>
      <c r="X510" s="71" t="n"/>
      <c r="Y510" s="71" t="n"/>
      <c r="Z510" s="71" t="n"/>
    </row>
    <row r="511" ht="15.75" customHeight="1">
      <c r="A511" s="71" t="n"/>
      <c r="B511" s="71" t="n"/>
      <c r="C511" s="71" t="n"/>
      <c r="D511" s="71" t="n"/>
      <c r="E511" s="71" t="n"/>
      <c r="F511" s="71" t="n"/>
      <c r="G511" s="71" t="n"/>
      <c r="H511" s="71" t="n"/>
      <c r="I511" s="71" t="n"/>
      <c r="J511" s="71" t="n"/>
      <c r="K511" s="71" t="n"/>
      <c r="L511" s="71" t="n"/>
      <c r="M511" s="71" t="n"/>
      <c r="N511" s="71" t="n"/>
      <c r="O511" s="71" t="n"/>
      <c r="P511" s="71" t="n"/>
      <c r="Q511" s="71" t="n"/>
      <c r="R511" s="71" t="n"/>
      <c r="S511" s="71" t="n"/>
      <c r="T511" s="71" t="n"/>
      <c r="U511" s="71" t="n"/>
      <c r="V511" s="71" t="n"/>
      <c r="W511" s="71" t="n"/>
      <c r="X511" s="71" t="n"/>
      <c r="Y511" s="71" t="n"/>
      <c r="Z511" s="71" t="n"/>
    </row>
    <row r="512" ht="15.75" customHeight="1">
      <c r="A512" s="71" t="n"/>
      <c r="B512" s="71" t="n"/>
      <c r="C512" s="71" t="n"/>
      <c r="D512" s="71" t="n"/>
      <c r="E512" s="71" t="n"/>
      <c r="F512" s="71" t="n"/>
      <c r="G512" s="71" t="n"/>
      <c r="H512" s="71" t="n"/>
      <c r="I512" s="71" t="n"/>
      <c r="J512" s="71" t="n"/>
      <c r="K512" s="71" t="n"/>
      <c r="L512" s="71" t="n"/>
      <c r="M512" s="71" t="n"/>
      <c r="N512" s="71" t="n"/>
      <c r="O512" s="71" t="n"/>
      <c r="P512" s="71" t="n"/>
      <c r="Q512" s="71" t="n"/>
      <c r="R512" s="71" t="n"/>
      <c r="S512" s="71" t="n"/>
      <c r="T512" s="71" t="n"/>
      <c r="U512" s="71" t="n"/>
      <c r="V512" s="71" t="n"/>
      <c r="W512" s="71" t="n"/>
      <c r="X512" s="71" t="n"/>
      <c r="Y512" s="71" t="n"/>
      <c r="Z512" s="71" t="n"/>
    </row>
    <row r="513" ht="15.75" customHeight="1">
      <c r="A513" s="71" t="n"/>
      <c r="B513" s="71" t="n"/>
      <c r="C513" s="71" t="n"/>
      <c r="D513" s="71" t="n"/>
      <c r="E513" s="71" t="n"/>
      <c r="F513" s="71" t="n"/>
      <c r="G513" s="71" t="n"/>
      <c r="H513" s="71" t="n"/>
      <c r="I513" s="71" t="n"/>
      <c r="J513" s="71" t="n"/>
      <c r="K513" s="71" t="n"/>
      <c r="L513" s="71" t="n"/>
      <c r="M513" s="71" t="n"/>
      <c r="N513" s="71" t="n"/>
      <c r="O513" s="71" t="n"/>
      <c r="P513" s="71" t="n"/>
      <c r="Q513" s="71" t="n"/>
      <c r="R513" s="71" t="n"/>
      <c r="S513" s="71" t="n"/>
      <c r="T513" s="71" t="n"/>
      <c r="U513" s="71" t="n"/>
      <c r="V513" s="71" t="n"/>
      <c r="W513" s="71" t="n"/>
      <c r="X513" s="71" t="n"/>
      <c r="Y513" s="71" t="n"/>
      <c r="Z513" s="71" t="n"/>
    </row>
    <row r="514" ht="15.75" customHeight="1">
      <c r="A514" s="71" t="n"/>
      <c r="B514" s="71" t="n"/>
      <c r="C514" s="71" t="n"/>
      <c r="D514" s="71" t="n"/>
      <c r="E514" s="71" t="n"/>
      <c r="F514" s="71" t="n"/>
      <c r="G514" s="71" t="n"/>
      <c r="H514" s="71" t="n"/>
      <c r="I514" s="71" t="n"/>
      <c r="J514" s="71" t="n"/>
      <c r="K514" s="71" t="n"/>
      <c r="L514" s="71" t="n"/>
      <c r="M514" s="71" t="n"/>
      <c r="N514" s="71" t="n"/>
      <c r="O514" s="71" t="n"/>
      <c r="P514" s="71" t="n"/>
      <c r="Q514" s="71" t="n"/>
      <c r="R514" s="71" t="n"/>
      <c r="S514" s="71" t="n"/>
      <c r="T514" s="71" t="n"/>
      <c r="U514" s="71" t="n"/>
      <c r="V514" s="71" t="n"/>
      <c r="W514" s="71" t="n"/>
      <c r="X514" s="71" t="n"/>
      <c r="Y514" s="71" t="n"/>
      <c r="Z514" s="71" t="n"/>
    </row>
    <row r="515" ht="15.75" customHeight="1">
      <c r="A515" s="71" t="n"/>
      <c r="B515" s="71" t="n"/>
      <c r="C515" s="71" t="n"/>
      <c r="D515" s="71" t="n"/>
      <c r="E515" s="71" t="n"/>
      <c r="F515" s="71" t="n"/>
      <c r="G515" s="71" t="n"/>
      <c r="H515" s="71" t="n"/>
      <c r="I515" s="71" t="n"/>
      <c r="J515" s="71" t="n"/>
      <c r="K515" s="71" t="n"/>
      <c r="L515" s="71" t="n"/>
      <c r="M515" s="71" t="n"/>
      <c r="N515" s="71" t="n"/>
      <c r="O515" s="71" t="n"/>
      <c r="P515" s="71" t="n"/>
      <c r="Q515" s="71" t="n"/>
      <c r="R515" s="71" t="n"/>
      <c r="S515" s="71" t="n"/>
      <c r="T515" s="71" t="n"/>
      <c r="U515" s="71" t="n"/>
      <c r="V515" s="71" t="n"/>
      <c r="W515" s="71" t="n"/>
      <c r="X515" s="71" t="n"/>
      <c r="Y515" s="71" t="n"/>
      <c r="Z515" s="71" t="n"/>
    </row>
    <row r="516" ht="15.75" customHeight="1">
      <c r="A516" s="71" t="n"/>
      <c r="B516" s="71" t="n"/>
      <c r="C516" s="71" t="n"/>
      <c r="D516" s="71" t="n"/>
      <c r="E516" s="71" t="n"/>
      <c r="F516" s="71" t="n"/>
      <c r="G516" s="71" t="n"/>
      <c r="H516" s="71" t="n"/>
      <c r="I516" s="71" t="n"/>
      <c r="J516" s="71" t="n"/>
      <c r="K516" s="71" t="n"/>
      <c r="L516" s="71" t="n"/>
      <c r="M516" s="71" t="n"/>
      <c r="N516" s="71" t="n"/>
      <c r="O516" s="71" t="n"/>
      <c r="P516" s="71" t="n"/>
      <c r="Q516" s="71" t="n"/>
      <c r="R516" s="71" t="n"/>
      <c r="S516" s="71" t="n"/>
      <c r="T516" s="71" t="n"/>
      <c r="U516" s="71" t="n"/>
      <c r="V516" s="71" t="n"/>
      <c r="W516" s="71" t="n"/>
      <c r="X516" s="71" t="n"/>
      <c r="Y516" s="71" t="n"/>
      <c r="Z516" s="71" t="n"/>
    </row>
    <row r="517" ht="15.75" customHeight="1">
      <c r="A517" s="71" t="n"/>
      <c r="B517" s="71" t="n"/>
      <c r="C517" s="71" t="n"/>
      <c r="D517" s="71" t="n"/>
      <c r="E517" s="71" t="n"/>
      <c r="F517" s="71" t="n"/>
      <c r="G517" s="71" t="n"/>
      <c r="H517" s="71" t="n"/>
      <c r="I517" s="71" t="n"/>
      <c r="J517" s="71" t="n"/>
      <c r="K517" s="71" t="n"/>
      <c r="L517" s="71" t="n"/>
      <c r="M517" s="71" t="n"/>
      <c r="N517" s="71" t="n"/>
      <c r="O517" s="71" t="n"/>
      <c r="P517" s="71" t="n"/>
      <c r="Q517" s="71" t="n"/>
      <c r="R517" s="71" t="n"/>
      <c r="S517" s="71" t="n"/>
      <c r="T517" s="71" t="n"/>
      <c r="U517" s="71" t="n"/>
      <c r="V517" s="71" t="n"/>
      <c r="W517" s="71" t="n"/>
      <c r="X517" s="71" t="n"/>
      <c r="Y517" s="71" t="n"/>
      <c r="Z517" s="71" t="n"/>
    </row>
    <row r="518" ht="15.75" customHeight="1">
      <c r="A518" s="71" t="n"/>
      <c r="B518" s="71" t="n"/>
      <c r="C518" s="71" t="n"/>
      <c r="D518" s="71" t="n"/>
      <c r="E518" s="71" t="n"/>
      <c r="F518" s="71" t="n"/>
      <c r="G518" s="71" t="n"/>
      <c r="H518" s="71" t="n"/>
      <c r="I518" s="71" t="n"/>
      <c r="J518" s="71" t="n"/>
      <c r="K518" s="71" t="n"/>
      <c r="L518" s="71" t="n"/>
      <c r="M518" s="71" t="n"/>
      <c r="N518" s="71" t="n"/>
      <c r="O518" s="71" t="n"/>
      <c r="P518" s="71" t="n"/>
      <c r="Q518" s="71" t="n"/>
      <c r="R518" s="71" t="n"/>
      <c r="S518" s="71" t="n"/>
      <c r="T518" s="71" t="n"/>
      <c r="U518" s="71" t="n"/>
      <c r="V518" s="71" t="n"/>
      <c r="W518" s="71" t="n"/>
      <c r="X518" s="71" t="n"/>
      <c r="Y518" s="71" t="n"/>
      <c r="Z518" s="71" t="n"/>
    </row>
    <row r="519" ht="15.75" customHeight="1">
      <c r="A519" s="71" t="n"/>
      <c r="B519" s="71" t="n"/>
      <c r="C519" s="71" t="n"/>
      <c r="D519" s="71" t="n"/>
      <c r="E519" s="71" t="n"/>
      <c r="F519" s="71" t="n"/>
      <c r="G519" s="71" t="n"/>
      <c r="H519" s="71" t="n"/>
      <c r="I519" s="71" t="n"/>
      <c r="J519" s="71" t="n"/>
      <c r="K519" s="71" t="n"/>
      <c r="L519" s="71" t="n"/>
      <c r="M519" s="71" t="n"/>
      <c r="N519" s="71" t="n"/>
      <c r="O519" s="71" t="n"/>
      <c r="P519" s="71" t="n"/>
      <c r="Q519" s="71" t="n"/>
      <c r="R519" s="71" t="n"/>
      <c r="S519" s="71" t="n"/>
      <c r="T519" s="71" t="n"/>
      <c r="U519" s="71" t="n"/>
      <c r="V519" s="71" t="n"/>
      <c r="W519" s="71" t="n"/>
      <c r="X519" s="71" t="n"/>
      <c r="Y519" s="71" t="n"/>
      <c r="Z519" s="71" t="n"/>
    </row>
    <row r="520" ht="15.75" customHeight="1">
      <c r="A520" s="71" t="n"/>
      <c r="B520" s="71" t="n"/>
      <c r="C520" s="71" t="n"/>
      <c r="D520" s="71" t="n"/>
      <c r="E520" s="71" t="n"/>
      <c r="F520" s="71" t="n"/>
      <c r="G520" s="71" t="n"/>
      <c r="H520" s="71" t="n"/>
      <c r="I520" s="71" t="n"/>
      <c r="J520" s="71" t="n"/>
      <c r="K520" s="71" t="n"/>
      <c r="L520" s="71" t="n"/>
      <c r="M520" s="71" t="n"/>
      <c r="N520" s="71" t="n"/>
      <c r="O520" s="71" t="n"/>
      <c r="P520" s="71" t="n"/>
      <c r="Q520" s="71" t="n"/>
      <c r="R520" s="71" t="n"/>
      <c r="S520" s="71" t="n"/>
      <c r="T520" s="71" t="n"/>
      <c r="U520" s="71" t="n"/>
      <c r="V520" s="71" t="n"/>
      <c r="W520" s="71" t="n"/>
      <c r="X520" s="71" t="n"/>
      <c r="Y520" s="71" t="n"/>
      <c r="Z520" s="71" t="n"/>
    </row>
    <row r="521" ht="15.75" customHeight="1">
      <c r="A521" s="71" t="n"/>
      <c r="B521" s="71" t="n"/>
      <c r="C521" s="71" t="n"/>
      <c r="D521" s="71" t="n"/>
      <c r="E521" s="71" t="n"/>
      <c r="F521" s="71" t="n"/>
      <c r="G521" s="71" t="n"/>
      <c r="H521" s="71" t="n"/>
      <c r="I521" s="71" t="n"/>
      <c r="J521" s="71" t="n"/>
      <c r="K521" s="71" t="n"/>
      <c r="L521" s="71" t="n"/>
      <c r="M521" s="71" t="n"/>
      <c r="N521" s="71" t="n"/>
      <c r="O521" s="71" t="n"/>
      <c r="P521" s="71" t="n"/>
      <c r="Q521" s="71" t="n"/>
      <c r="R521" s="71" t="n"/>
      <c r="S521" s="71" t="n"/>
      <c r="T521" s="71" t="n"/>
      <c r="U521" s="71" t="n"/>
      <c r="V521" s="71" t="n"/>
      <c r="W521" s="71" t="n"/>
      <c r="X521" s="71" t="n"/>
      <c r="Y521" s="71" t="n"/>
      <c r="Z521" s="71" t="n"/>
    </row>
    <row r="522" ht="15.75" customHeight="1">
      <c r="A522" s="71" t="n"/>
      <c r="B522" s="71" t="n"/>
      <c r="C522" s="71" t="n"/>
      <c r="D522" s="71" t="n"/>
      <c r="E522" s="71" t="n"/>
      <c r="F522" s="71" t="n"/>
      <c r="G522" s="71" t="n"/>
      <c r="H522" s="71" t="n"/>
      <c r="I522" s="71" t="n"/>
      <c r="J522" s="71" t="n"/>
      <c r="K522" s="71" t="n"/>
      <c r="L522" s="71" t="n"/>
      <c r="M522" s="71" t="n"/>
      <c r="N522" s="71" t="n"/>
      <c r="O522" s="71" t="n"/>
      <c r="P522" s="71" t="n"/>
      <c r="Q522" s="71" t="n"/>
      <c r="R522" s="71" t="n"/>
      <c r="S522" s="71" t="n"/>
      <c r="T522" s="71" t="n"/>
      <c r="U522" s="71" t="n"/>
      <c r="V522" s="71" t="n"/>
      <c r="W522" s="71" t="n"/>
      <c r="X522" s="71" t="n"/>
      <c r="Y522" s="71" t="n"/>
      <c r="Z522" s="71" t="n"/>
    </row>
    <row r="523" ht="15.75" customHeight="1">
      <c r="A523" s="71" t="n"/>
      <c r="B523" s="71" t="n"/>
      <c r="C523" s="71" t="n"/>
      <c r="D523" s="71" t="n"/>
      <c r="E523" s="71" t="n"/>
      <c r="F523" s="71" t="n"/>
      <c r="G523" s="71" t="n"/>
      <c r="H523" s="71" t="n"/>
      <c r="I523" s="71" t="n"/>
      <c r="J523" s="71" t="n"/>
      <c r="K523" s="71" t="n"/>
      <c r="L523" s="71" t="n"/>
      <c r="M523" s="71" t="n"/>
      <c r="N523" s="71" t="n"/>
      <c r="O523" s="71" t="n"/>
      <c r="P523" s="71" t="n"/>
      <c r="Q523" s="71" t="n"/>
      <c r="R523" s="71" t="n"/>
      <c r="S523" s="71" t="n"/>
      <c r="T523" s="71" t="n"/>
      <c r="U523" s="71" t="n"/>
      <c r="V523" s="71" t="n"/>
      <c r="W523" s="71" t="n"/>
      <c r="X523" s="71" t="n"/>
      <c r="Y523" s="71" t="n"/>
      <c r="Z523" s="71" t="n"/>
    </row>
    <row r="524" ht="15.75" customHeight="1">
      <c r="A524" s="71" t="n"/>
      <c r="B524" s="71" t="n"/>
      <c r="C524" s="71" t="n"/>
      <c r="D524" s="71" t="n"/>
      <c r="E524" s="71" t="n"/>
      <c r="F524" s="71" t="n"/>
      <c r="G524" s="71" t="n"/>
      <c r="H524" s="71" t="n"/>
      <c r="I524" s="71" t="n"/>
      <c r="J524" s="71" t="n"/>
      <c r="K524" s="71" t="n"/>
      <c r="L524" s="71" t="n"/>
      <c r="M524" s="71" t="n"/>
      <c r="N524" s="71" t="n"/>
      <c r="O524" s="71" t="n"/>
      <c r="P524" s="71" t="n"/>
      <c r="Q524" s="71" t="n"/>
      <c r="R524" s="71" t="n"/>
      <c r="S524" s="71" t="n"/>
      <c r="T524" s="71" t="n"/>
      <c r="U524" s="71" t="n"/>
      <c r="V524" s="71" t="n"/>
      <c r="W524" s="71" t="n"/>
      <c r="X524" s="71" t="n"/>
      <c r="Y524" s="71" t="n"/>
      <c r="Z524" s="71" t="n"/>
    </row>
    <row r="525" ht="15.75" customHeight="1">
      <c r="A525" s="71" t="n"/>
      <c r="B525" s="71" t="n"/>
      <c r="C525" s="71" t="n"/>
      <c r="D525" s="71" t="n"/>
      <c r="E525" s="71" t="n"/>
      <c r="F525" s="71" t="n"/>
      <c r="G525" s="71" t="n"/>
      <c r="H525" s="71" t="n"/>
      <c r="I525" s="71" t="n"/>
      <c r="J525" s="71" t="n"/>
      <c r="K525" s="71" t="n"/>
      <c r="L525" s="71" t="n"/>
      <c r="M525" s="71" t="n"/>
      <c r="N525" s="71" t="n"/>
      <c r="O525" s="71" t="n"/>
      <c r="P525" s="71" t="n"/>
      <c r="Q525" s="71" t="n"/>
      <c r="R525" s="71" t="n"/>
      <c r="S525" s="71" t="n"/>
      <c r="T525" s="71" t="n"/>
      <c r="U525" s="71" t="n"/>
      <c r="V525" s="71" t="n"/>
      <c r="W525" s="71" t="n"/>
      <c r="X525" s="71" t="n"/>
      <c r="Y525" s="71" t="n"/>
      <c r="Z525" s="71" t="n"/>
    </row>
    <row r="526" ht="15.75" customHeight="1">
      <c r="A526" s="71" t="n"/>
      <c r="B526" s="71" t="n"/>
      <c r="C526" s="71" t="n"/>
      <c r="D526" s="71" t="n"/>
      <c r="E526" s="71" t="n"/>
      <c r="F526" s="71" t="n"/>
      <c r="G526" s="71" t="n"/>
      <c r="H526" s="71" t="n"/>
      <c r="I526" s="71" t="n"/>
      <c r="J526" s="71" t="n"/>
      <c r="K526" s="71" t="n"/>
      <c r="L526" s="71" t="n"/>
      <c r="M526" s="71" t="n"/>
      <c r="N526" s="71" t="n"/>
      <c r="O526" s="71" t="n"/>
      <c r="P526" s="71" t="n"/>
      <c r="Q526" s="71" t="n"/>
      <c r="R526" s="71" t="n"/>
      <c r="S526" s="71" t="n"/>
      <c r="T526" s="71" t="n"/>
      <c r="U526" s="71" t="n"/>
      <c r="V526" s="71" t="n"/>
      <c r="W526" s="71" t="n"/>
      <c r="X526" s="71" t="n"/>
      <c r="Y526" s="71" t="n"/>
      <c r="Z526" s="71" t="n"/>
    </row>
    <row r="527" ht="15.75" customHeight="1">
      <c r="A527" s="71" t="n"/>
      <c r="B527" s="71" t="n"/>
      <c r="C527" s="71" t="n"/>
      <c r="D527" s="71" t="n"/>
      <c r="E527" s="71" t="n"/>
      <c r="F527" s="71" t="n"/>
      <c r="G527" s="71" t="n"/>
      <c r="H527" s="71" t="n"/>
      <c r="I527" s="71" t="n"/>
      <c r="J527" s="71" t="n"/>
      <c r="K527" s="71" t="n"/>
      <c r="L527" s="71" t="n"/>
      <c r="M527" s="71" t="n"/>
      <c r="N527" s="71" t="n"/>
      <c r="O527" s="71" t="n"/>
      <c r="P527" s="71" t="n"/>
      <c r="Q527" s="71" t="n"/>
      <c r="R527" s="71" t="n"/>
      <c r="S527" s="71" t="n"/>
      <c r="T527" s="71" t="n"/>
      <c r="U527" s="71" t="n"/>
      <c r="V527" s="71" t="n"/>
      <c r="W527" s="71" t="n"/>
      <c r="X527" s="71" t="n"/>
      <c r="Y527" s="71" t="n"/>
      <c r="Z527" s="71" t="n"/>
    </row>
    <row r="528" ht="15.75" customHeight="1">
      <c r="A528" s="71" t="n"/>
      <c r="B528" s="71" t="n"/>
      <c r="C528" s="71" t="n"/>
      <c r="D528" s="71" t="n"/>
      <c r="E528" s="71" t="n"/>
      <c r="F528" s="71" t="n"/>
      <c r="G528" s="71" t="n"/>
      <c r="H528" s="71" t="n"/>
      <c r="I528" s="71" t="n"/>
      <c r="J528" s="71" t="n"/>
      <c r="K528" s="71" t="n"/>
      <c r="L528" s="71" t="n"/>
      <c r="M528" s="71" t="n"/>
      <c r="N528" s="71" t="n"/>
      <c r="O528" s="71" t="n"/>
      <c r="P528" s="71" t="n"/>
      <c r="Q528" s="71" t="n"/>
      <c r="R528" s="71" t="n"/>
      <c r="S528" s="71" t="n"/>
      <c r="T528" s="71" t="n"/>
      <c r="U528" s="71" t="n"/>
      <c r="V528" s="71" t="n"/>
      <c r="W528" s="71" t="n"/>
      <c r="X528" s="71" t="n"/>
      <c r="Y528" s="71" t="n"/>
      <c r="Z528" s="71" t="n"/>
    </row>
    <row r="529" ht="15.75" customHeight="1">
      <c r="A529" s="71" t="n"/>
      <c r="B529" s="71" t="n"/>
      <c r="C529" s="71" t="n"/>
      <c r="D529" s="71" t="n"/>
      <c r="E529" s="71" t="n"/>
      <c r="F529" s="71" t="n"/>
      <c r="G529" s="71" t="n"/>
      <c r="H529" s="71" t="n"/>
      <c r="I529" s="71" t="n"/>
      <c r="J529" s="71" t="n"/>
      <c r="K529" s="71" t="n"/>
      <c r="L529" s="71" t="n"/>
      <c r="M529" s="71" t="n"/>
      <c r="N529" s="71" t="n"/>
      <c r="O529" s="71" t="n"/>
      <c r="P529" s="71" t="n"/>
      <c r="Q529" s="71" t="n"/>
      <c r="R529" s="71" t="n"/>
      <c r="S529" s="71" t="n"/>
      <c r="T529" s="71" t="n"/>
      <c r="U529" s="71" t="n"/>
      <c r="V529" s="71" t="n"/>
      <c r="W529" s="71" t="n"/>
      <c r="X529" s="71" t="n"/>
      <c r="Y529" s="71" t="n"/>
      <c r="Z529" s="71" t="n"/>
    </row>
    <row r="530" ht="15.75" customHeight="1">
      <c r="A530" s="71" t="n"/>
      <c r="B530" s="71" t="n"/>
      <c r="C530" s="71" t="n"/>
      <c r="D530" s="71" t="n"/>
      <c r="E530" s="71" t="n"/>
      <c r="F530" s="71" t="n"/>
      <c r="G530" s="71" t="n"/>
      <c r="H530" s="71" t="n"/>
      <c r="I530" s="71" t="n"/>
      <c r="J530" s="71" t="n"/>
      <c r="K530" s="71" t="n"/>
      <c r="L530" s="71" t="n"/>
      <c r="M530" s="71" t="n"/>
      <c r="N530" s="71" t="n"/>
      <c r="O530" s="71" t="n"/>
      <c r="P530" s="71" t="n"/>
      <c r="Q530" s="71" t="n"/>
      <c r="R530" s="71" t="n"/>
      <c r="S530" s="71" t="n"/>
      <c r="T530" s="71" t="n"/>
      <c r="U530" s="71" t="n"/>
      <c r="V530" s="71" t="n"/>
      <c r="W530" s="71" t="n"/>
      <c r="X530" s="71" t="n"/>
      <c r="Y530" s="71" t="n"/>
      <c r="Z530" s="71" t="n"/>
    </row>
    <row r="531" ht="15.75" customHeight="1">
      <c r="A531" s="71" t="n"/>
      <c r="B531" s="71" t="n"/>
      <c r="C531" s="71" t="n"/>
      <c r="D531" s="71" t="n"/>
      <c r="E531" s="71" t="n"/>
      <c r="F531" s="71" t="n"/>
      <c r="G531" s="71" t="n"/>
      <c r="H531" s="71" t="n"/>
      <c r="I531" s="71" t="n"/>
      <c r="J531" s="71" t="n"/>
      <c r="K531" s="71" t="n"/>
      <c r="L531" s="71" t="n"/>
      <c r="M531" s="71" t="n"/>
      <c r="N531" s="71" t="n"/>
      <c r="O531" s="71" t="n"/>
      <c r="P531" s="71" t="n"/>
      <c r="Q531" s="71" t="n"/>
      <c r="R531" s="71" t="n"/>
      <c r="S531" s="71" t="n"/>
      <c r="T531" s="71" t="n"/>
      <c r="U531" s="71" t="n"/>
      <c r="V531" s="71" t="n"/>
      <c r="W531" s="71" t="n"/>
      <c r="X531" s="71" t="n"/>
      <c r="Y531" s="71" t="n"/>
      <c r="Z531" s="71" t="n"/>
    </row>
    <row r="532" ht="15.75" customHeight="1">
      <c r="A532" s="71" t="n"/>
      <c r="B532" s="71" t="n"/>
      <c r="C532" s="71" t="n"/>
      <c r="D532" s="71" t="n"/>
      <c r="E532" s="71" t="n"/>
      <c r="F532" s="71" t="n"/>
      <c r="G532" s="71" t="n"/>
      <c r="H532" s="71" t="n"/>
      <c r="I532" s="71" t="n"/>
      <c r="J532" s="71" t="n"/>
      <c r="K532" s="71" t="n"/>
      <c r="L532" s="71" t="n"/>
      <c r="M532" s="71" t="n"/>
      <c r="N532" s="71" t="n"/>
      <c r="O532" s="71" t="n"/>
      <c r="P532" s="71" t="n"/>
      <c r="Q532" s="71" t="n"/>
      <c r="R532" s="71" t="n"/>
      <c r="S532" s="71" t="n"/>
      <c r="T532" s="71" t="n"/>
      <c r="U532" s="71" t="n"/>
      <c r="V532" s="71" t="n"/>
      <c r="W532" s="71" t="n"/>
      <c r="X532" s="71" t="n"/>
      <c r="Y532" s="71" t="n"/>
      <c r="Z532" s="71" t="n"/>
    </row>
    <row r="533" ht="15.75" customHeight="1">
      <c r="A533" s="71" t="n"/>
      <c r="B533" s="71" t="n"/>
      <c r="C533" s="71" t="n"/>
      <c r="D533" s="71" t="n"/>
      <c r="E533" s="71" t="n"/>
      <c r="F533" s="71" t="n"/>
      <c r="G533" s="71" t="n"/>
      <c r="H533" s="71" t="n"/>
      <c r="I533" s="71" t="n"/>
      <c r="J533" s="71" t="n"/>
      <c r="K533" s="71" t="n"/>
      <c r="L533" s="71" t="n"/>
      <c r="M533" s="71" t="n"/>
      <c r="N533" s="71" t="n"/>
      <c r="O533" s="71" t="n"/>
      <c r="P533" s="71" t="n"/>
      <c r="Q533" s="71" t="n"/>
      <c r="R533" s="71" t="n"/>
      <c r="S533" s="71" t="n"/>
      <c r="T533" s="71" t="n"/>
      <c r="U533" s="71" t="n"/>
      <c r="V533" s="71" t="n"/>
      <c r="W533" s="71" t="n"/>
      <c r="X533" s="71" t="n"/>
      <c r="Y533" s="71" t="n"/>
      <c r="Z533" s="71" t="n"/>
    </row>
    <row r="534" ht="15.75" customHeight="1">
      <c r="A534" s="71" t="n"/>
      <c r="B534" s="71" t="n"/>
      <c r="C534" s="71" t="n"/>
      <c r="D534" s="71" t="n"/>
      <c r="E534" s="71" t="n"/>
      <c r="F534" s="71" t="n"/>
      <c r="G534" s="71" t="n"/>
      <c r="H534" s="71" t="n"/>
      <c r="I534" s="71" t="n"/>
      <c r="J534" s="71" t="n"/>
      <c r="K534" s="71" t="n"/>
      <c r="L534" s="71" t="n"/>
      <c r="M534" s="71" t="n"/>
      <c r="N534" s="71" t="n"/>
      <c r="O534" s="71" t="n"/>
      <c r="P534" s="71" t="n"/>
      <c r="Q534" s="71" t="n"/>
      <c r="R534" s="71" t="n"/>
      <c r="S534" s="71" t="n"/>
      <c r="T534" s="71" t="n"/>
      <c r="U534" s="71" t="n"/>
      <c r="V534" s="71" t="n"/>
      <c r="W534" s="71" t="n"/>
      <c r="X534" s="71" t="n"/>
      <c r="Y534" s="71" t="n"/>
      <c r="Z534" s="71" t="n"/>
    </row>
    <row r="535" ht="15.75" customHeight="1">
      <c r="A535" s="71" t="n"/>
      <c r="B535" s="71" t="n"/>
      <c r="C535" s="71" t="n"/>
      <c r="D535" s="71" t="n"/>
      <c r="E535" s="71" t="n"/>
      <c r="F535" s="71" t="n"/>
      <c r="G535" s="71" t="n"/>
      <c r="H535" s="71" t="n"/>
      <c r="I535" s="71" t="n"/>
      <c r="J535" s="71" t="n"/>
      <c r="K535" s="71" t="n"/>
      <c r="L535" s="71" t="n"/>
      <c r="M535" s="71" t="n"/>
      <c r="N535" s="71" t="n"/>
      <c r="O535" s="71" t="n"/>
      <c r="P535" s="71" t="n"/>
      <c r="Q535" s="71" t="n"/>
      <c r="R535" s="71" t="n"/>
      <c r="S535" s="71" t="n"/>
      <c r="T535" s="71" t="n"/>
      <c r="U535" s="71" t="n"/>
      <c r="V535" s="71" t="n"/>
      <c r="W535" s="71" t="n"/>
      <c r="X535" s="71" t="n"/>
      <c r="Y535" s="71" t="n"/>
      <c r="Z535" s="71" t="n"/>
    </row>
    <row r="536" ht="15.75" customHeight="1">
      <c r="A536" s="71" t="n"/>
      <c r="B536" s="71" t="n"/>
      <c r="C536" s="71" t="n"/>
      <c r="D536" s="71" t="n"/>
      <c r="E536" s="71" t="n"/>
      <c r="F536" s="71" t="n"/>
      <c r="G536" s="71" t="n"/>
      <c r="H536" s="71" t="n"/>
      <c r="I536" s="71" t="n"/>
      <c r="J536" s="71" t="n"/>
      <c r="K536" s="71" t="n"/>
      <c r="L536" s="71" t="n"/>
      <c r="M536" s="71" t="n"/>
      <c r="N536" s="71" t="n"/>
      <c r="O536" s="71" t="n"/>
      <c r="P536" s="71" t="n"/>
      <c r="Q536" s="71" t="n"/>
      <c r="R536" s="71" t="n"/>
      <c r="S536" s="71" t="n"/>
      <c r="T536" s="71" t="n"/>
      <c r="U536" s="71" t="n"/>
      <c r="V536" s="71" t="n"/>
      <c r="W536" s="71" t="n"/>
      <c r="X536" s="71" t="n"/>
      <c r="Y536" s="71" t="n"/>
      <c r="Z536" s="71" t="n"/>
    </row>
    <row r="537" ht="15.75" customHeight="1">
      <c r="A537" s="71" t="n"/>
      <c r="B537" s="71" t="n"/>
      <c r="C537" s="71" t="n"/>
      <c r="D537" s="71" t="n"/>
      <c r="E537" s="71" t="n"/>
      <c r="F537" s="71" t="n"/>
      <c r="G537" s="71" t="n"/>
      <c r="H537" s="71" t="n"/>
      <c r="I537" s="71" t="n"/>
      <c r="J537" s="71" t="n"/>
      <c r="K537" s="71" t="n"/>
      <c r="L537" s="71" t="n"/>
      <c r="M537" s="71" t="n"/>
      <c r="N537" s="71" t="n"/>
      <c r="O537" s="71" t="n"/>
      <c r="P537" s="71" t="n"/>
      <c r="Q537" s="71" t="n"/>
      <c r="R537" s="71" t="n"/>
      <c r="S537" s="71" t="n"/>
      <c r="T537" s="71" t="n"/>
      <c r="U537" s="71" t="n"/>
      <c r="V537" s="71" t="n"/>
      <c r="W537" s="71" t="n"/>
      <c r="X537" s="71" t="n"/>
      <c r="Y537" s="71" t="n"/>
      <c r="Z537" s="71" t="n"/>
    </row>
    <row r="538" ht="15.75" customHeight="1">
      <c r="A538" s="71" t="n"/>
      <c r="B538" s="71" t="n"/>
      <c r="C538" s="71" t="n"/>
      <c r="D538" s="71" t="n"/>
      <c r="E538" s="71" t="n"/>
      <c r="F538" s="71" t="n"/>
      <c r="G538" s="71" t="n"/>
      <c r="H538" s="71" t="n"/>
      <c r="I538" s="71" t="n"/>
      <c r="J538" s="71" t="n"/>
      <c r="K538" s="71" t="n"/>
      <c r="L538" s="71" t="n"/>
      <c r="M538" s="71" t="n"/>
      <c r="N538" s="71" t="n"/>
      <c r="O538" s="71" t="n"/>
      <c r="P538" s="71" t="n"/>
      <c r="Q538" s="71" t="n"/>
      <c r="R538" s="71" t="n"/>
      <c r="S538" s="71" t="n"/>
      <c r="T538" s="71" t="n"/>
      <c r="U538" s="71" t="n"/>
      <c r="V538" s="71" t="n"/>
      <c r="W538" s="71" t="n"/>
      <c r="X538" s="71" t="n"/>
      <c r="Y538" s="71" t="n"/>
      <c r="Z538" s="71" t="n"/>
    </row>
    <row r="539" ht="15.75" customHeight="1">
      <c r="A539" s="71" t="n"/>
      <c r="B539" s="71" t="n"/>
      <c r="C539" s="71" t="n"/>
      <c r="D539" s="71" t="n"/>
      <c r="E539" s="71" t="n"/>
      <c r="F539" s="71" t="n"/>
      <c r="G539" s="71" t="n"/>
      <c r="H539" s="71" t="n"/>
      <c r="I539" s="71" t="n"/>
      <c r="J539" s="71" t="n"/>
      <c r="K539" s="71" t="n"/>
      <c r="L539" s="71" t="n"/>
      <c r="M539" s="71" t="n"/>
      <c r="N539" s="71" t="n"/>
      <c r="O539" s="71" t="n"/>
      <c r="P539" s="71" t="n"/>
      <c r="Q539" s="71" t="n"/>
      <c r="R539" s="71" t="n"/>
      <c r="S539" s="71" t="n"/>
      <c r="T539" s="71" t="n"/>
      <c r="U539" s="71" t="n"/>
      <c r="V539" s="71" t="n"/>
      <c r="W539" s="71" t="n"/>
      <c r="X539" s="71" t="n"/>
      <c r="Y539" s="71" t="n"/>
      <c r="Z539" s="71" t="n"/>
    </row>
    <row r="540" ht="15.75" customHeight="1">
      <c r="A540" s="71" t="n"/>
      <c r="B540" s="71" t="n"/>
      <c r="C540" s="71" t="n"/>
      <c r="D540" s="71" t="n"/>
      <c r="E540" s="71" t="n"/>
      <c r="F540" s="71" t="n"/>
      <c r="G540" s="71" t="n"/>
      <c r="H540" s="71" t="n"/>
      <c r="I540" s="71" t="n"/>
      <c r="J540" s="71" t="n"/>
      <c r="K540" s="71" t="n"/>
      <c r="L540" s="71" t="n"/>
      <c r="M540" s="71" t="n"/>
      <c r="N540" s="71" t="n"/>
      <c r="O540" s="71" t="n"/>
      <c r="P540" s="71" t="n"/>
      <c r="Q540" s="71" t="n"/>
      <c r="R540" s="71" t="n"/>
      <c r="S540" s="71" t="n"/>
      <c r="T540" s="71" t="n"/>
      <c r="U540" s="71" t="n"/>
      <c r="V540" s="71" t="n"/>
      <c r="W540" s="71" t="n"/>
      <c r="X540" s="71" t="n"/>
      <c r="Y540" s="71" t="n"/>
      <c r="Z540" s="71" t="n"/>
    </row>
    <row r="541" ht="15.75" customHeight="1">
      <c r="A541" s="71" t="n"/>
      <c r="B541" s="71" t="n"/>
      <c r="C541" s="71" t="n"/>
      <c r="D541" s="71" t="n"/>
      <c r="E541" s="71" t="n"/>
      <c r="F541" s="71" t="n"/>
      <c r="G541" s="71" t="n"/>
      <c r="H541" s="71" t="n"/>
      <c r="I541" s="71" t="n"/>
      <c r="J541" s="71" t="n"/>
      <c r="K541" s="71" t="n"/>
      <c r="L541" s="71" t="n"/>
      <c r="M541" s="71" t="n"/>
      <c r="N541" s="71" t="n"/>
      <c r="O541" s="71" t="n"/>
      <c r="P541" s="71" t="n"/>
      <c r="Q541" s="71" t="n"/>
      <c r="R541" s="71" t="n"/>
      <c r="S541" s="71" t="n"/>
      <c r="T541" s="71" t="n"/>
      <c r="U541" s="71" t="n"/>
      <c r="V541" s="71" t="n"/>
      <c r="W541" s="71" t="n"/>
      <c r="X541" s="71" t="n"/>
      <c r="Y541" s="71" t="n"/>
      <c r="Z541" s="71" t="n"/>
    </row>
    <row r="542" ht="15.75" customHeight="1">
      <c r="A542" s="71" t="n"/>
      <c r="B542" s="71" t="n"/>
      <c r="C542" s="71" t="n"/>
      <c r="D542" s="71" t="n"/>
      <c r="E542" s="71" t="n"/>
      <c r="F542" s="71" t="n"/>
      <c r="G542" s="71" t="n"/>
      <c r="H542" s="71" t="n"/>
      <c r="I542" s="71" t="n"/>
      <c r="J542" s="71" t="n"/>
      <c r="K542" s="71" t="n"/>
      <c r="L542" s="71" t="n"/>
      <c r="M542" s="71" t="n"/>
      <c r="N542" s="71" t="n"/>
      <c r="O542" s="71" t="n"/>
      <c r="P542" s="71" t="n"/>
      <c r="Q542" s="71" t="n"/>
      <c r="R542" s="71" t="n"/>
      <c r="S542" s="71" t="n"/>
      <c r="T542" s="71" t="n"/>
      <c r="U542" s="71" t="n"/>
      <c r="V542" s="71" t="n"/>
      <c r="W542" s="71" t="n"/>
      <c r="X542" s="71" t="n"/>
      <c r="Y542" s="71" t="n"/>
      <c r="Z542" s="71" t="n"/>
    </row>
    <row r="543" ht="15.75" customHeight="1">
      <c r="A543" s="71" t="n"/>
      <c r="B543" s="71" t="n"/>
      <c r="C543" s="71" t="n"/>
      <c r="D543" s="71" t="n"/>
      <c r="E543" s="71" t="n"/>
      <c r="F543" s="71" t="n"/>
      <c r="G543" s="71" t="n"/>
      <c r="H543" s="71" t="n"/>
      <c r="I543" s="71" t="n"/>
      <c r="J543" s="71" t="n"/>
      <c r="K543" s="71" t="n"/>
      <c r="L543" s="71" t="n"/>
      <c r="M543" s="71" t="n"/>
      <c r="N543" s="71" t="n"/>
      <c r="O543" s="71" t="n"/>
      <c r="P543" s="71" t="n"/>
      <c r="Q543" s="71" t="n"/>
      <c r="R543" s="71" t="n"/>
      <c r="S543" s="71" t="n"/>
      <c r="T543" s="71" t="n"/>
      <c r="U543" s="71" t="n"/>
      <c r="V543" s="71" t="n"/>
      <c r="W543" s="71" t="n"/>
      <c r="X543" s="71" t="n"/>
      <c r="Y543" s="71" t="n"/>
      <c r="Z543" s="71" t="n"/>
    </row>
    <row r="544" ht="15.75" customHeight="1">
      <c r="A544" s="71" t="n"/>
      <c r="B544" s="71" t="n"/>
      <c r="C544" s="71" t="n"/>
      <c r="D544" s="71" t="n"/>
      <c r="E544" s="71" t="n"/>
      <c r="F544" s="71" t="n"/>
      <c r="G544" s="71" t="n"/>
      <c r="H544" s="71" t="n"/>
      <c r="I544" s="71" t="n"/>
      <c r="J544" s="71" t="n"/>
      <c r="K544" s="71" t="n"/>
      <c r="L544" s="71" t="n"/>
      <c r="M544" s="71" t="n"/>
      <c r="N544" s="71" t="n"/>
      <c r="O544" s="71" t="n"/>
      <c r="P544" s="71" t="n"/>
      <c r="Q544" s="71" t="n"/>
      <c r="R544" s="71" t="n"/>
      <c r="S544" s="71" t="n"/>
      <c r="T544" s="71" t="n"/>
      <c r="U544" s="71" t="n"/>
      <c r="V544" s="71" t="n"/>
      <c r="W544" s="71" t="n"/>
      <c r="X544" s="71" t="n"/>
      <c r="Y544" s="71" t="n"/>
      <c r="Z544" s="71" t="n"/>
    </row>
    <row r="545" ht="15.75" customHeight="1">
      <c r="A545" s="71" t="n"/>
      <c r="B545" s="71" t="n"/>
      <c r="C545" s="71" t="n"/>
      <c r="D545" s="71" t="n"/>
      <c r="E545" s="71" t="n"/>
      <c r="F545" s="71" t="n"/>
      <c r="G545" s="71" t="n"/>
      <c r="H545" s="71" t="n"/>
      <c r="I545" s="71" t="n"/>
      <c r="J545" s="71" t="n"/>
      <c r="K545" s="71" t="n"/>
      <c r="L545" s="71" t="n"/>
      <c r="M545" s="71" t="n"/>
      <c r="N545" s="71" t="n"/>
      <c r="O545" s="71" t="n"/>
      <c r="P545" s="71" t="n"/>
      <c r="Q545" s="71" t="n"/>
      <c r="R545" s="71" t="n"/>
      <c r="S545" s="71" t="n"/>
      <c r="T545" s="71" t="n"/>
      <c r="U545" s="71" t="n"/>
      <c r="V545" s="71" t="n"/>
      <c r="W545" s="71" t="n"/>
      <c r="X545" s="71" t="n"/>
      <c r="Y545" s="71" t="n"/>
      <c r="Z545" s="71" t="n"/>
    </row>
    <row r="546" ht="15.75" customHeight="1">
      <c r="A546" s="71" t="n"/>
      <c r="B546" s="71" t="n"/>
      <c r="C546" s="71" t="n"/>
      <c r="D546" s="71" t="n"/>
      <c r="E546" s="71" t="n"/>
      <c r="F546" s="71" t="n"/>
      <c r="G546" s="71" t="n"/>
      <c r="H546" s="71" t="n"/>
      <c r="I546" s="71" t="n"/>
      <c r="J546" s="71" t="n"/>
      <c r="K546" s="71" t="n"/>
      <c r="L546" s="71" t="n"/>
      <c r="M546" s="71" t="n"/>
      <c r="N546" s="71" t="n"/>
      <c r="O546" s="71" t="n"/>
      <c r="P546" s="71" t="n"/>
      <c r="Q546" s="71" t="n"/>
      <c r="R546" s="71" t="n"/>
      <c r="S546" s="71" t="n"/>
      <c r="T546" s="71" t="n"/>
      <c r="U546" s="71" t="n"/>
      <c r="V546" s="71" t="n"/>
      <c r="W546" s="71" t="n"/>
      <c r="X546" s="71" t="n"/>
      <c r="Y546" s="71" t="n"/>
      <c r="Z546" s="71" t="n"/>
    </row>
    <row r="547" ht="15.75" customHeight="1">
      <c r="A547" s="71" t="n"/>
      <c r="B547" s="71" t="n"/>
      <c r="C547" s="71" t="n"/>
      <c r="D547" s="71" t="n"/>
      <c r="E547" s="71" t="n"/>
      <c r="F547" s="71" t="n"/>
      <c r="G547" s="71" t="n"/>
      <c r="H547" s="71" t="n"/>
      <c r="I547" s="71" t="n"/>
      <c r="J547" s="71" t="n"/>
      <c r="K547" s="71" t="n"/>
      <c r="L547" s="71" t="n"/>
      <c r="M547" s="71" t="n"/>
      <c r="N547" s="71" t="n"/>
      <c r="O547" s="71" t="n"/>
      <c r="P547" s="71" t="n"/>
      <c r="Q547" s="71" t="n"/>
      <c r="R547" s="71" t="n"/>
      <c r="S547" s="71" t="n"/>
      <c r="T547" s="71" t="n"/>
      <c r="U547" s="71" t="n"/>
      <c r="V547" s="71" t="n"/>
      <c r="W547" s="71" t="n"/>
      <c r="X547" s="71" t="n"/>
      <c r="Y547" s="71" t="n"/>
      <c r="Z547" s="71" t="n"/>
    </row>
    <row r="548" ht="15.75" customHeight="1">
      <c r="A548" s="71" t="n"/>
      <c r="B548" s="71" t="n"/>
      <c r="C548" s="71" t="n"/>
      <c r="D548" s="71" t="n"/>
      <c r="E548" s="71" t="n"/>
      <c r="F548" s="71" t="n"/>
      <c r="G548" s="71" t="n"/>
      <c r="H548" s="71" t="n"/>
      <c r="I548" s="71" t="n"/>
      <c r="J548" s="71" t="n"/>
      <c r="K548" s="71" t="n"/>
      <c r="L548" s="71" t="n"/>
      <c r="M548" s="71" t="n"/>
      <c r="N548" s="71" t="n"/>
      <c r="O548" s="71" t="n"/>
      <c r="P548" s="71" t="n"/>
      <c r="Q548" s="71" t="n"/>
      <c r="R548" s="71" t="n"/>
      <c r="S548" s="71" t="n"/>
      <c r="T548" s="71" t="n"/>
      <c r="U548" s="71" t="n"/>
      <c r="V548" s="71" t="n"/>
      <c r="W548" s="71" t="n"/>
      <c r="X548" s="71" t="n"/>
      <c r="Y548" s="71" t="n"/>
      <c r="Z548" s="71" t="n"/>
    </row>
    <row r="549" ht="15.75" customHeight="1">
      <c r="A549" s="71" t="n"/>
      <c r="B549" s="71" t="n"/>
      <c r="C549" s="71" t="n"/>
      <c r="D549" s="71" t="n"/>
      <c r="E549" s="71" t="n"/>
      <c r="F549" s="71" t="n"/>
      <c r="G549" s="71" t="n"/>
      <c r="H549" s="71" t="n"/>
      <c r="I549" s="71" t="n"/>
      <c r="J549" s="71" t="n"/>
      <c r="K549" s="71" t="n"/>
      <c r="L549" s="71" t="n"/>
      <c r="M549" s="71" t="n"/>
      <c r="N549" s="71" t="n"/>
      <c r="O549" s="71" t="n"/>
      <c r="P549" s="71" t="n"/>
      <c r="Q549" s="71" t="n"/>
      <c r="R549" s="71" t="n"/>
      <c r="S549" s="71" t="n"/>
      <c r="T549" s="71" t="n"/>
      <c r="U549" s="71" t="n"/>
      <c r="V549" s="71" t="n"/>
      <c r="W549" s="71" t="n"/>
      <c r="X549" s="71" t="n"/>
      <c r="Y549" s="71" t="n"/>
      <c r="Z549" s="71" t="n"/>
    </row>
    <row r="550" ht="15.75" customHeight="1">
      <c r="A550" s="71" t="n"/>
      <c r="B550" s="71" t="n"/>
      <c r="C550" s="71" t="n"/>
      <c r="D550" s="71" t="n"/>
      <c r="E550" s="71" t="n"/>
      <c r="F550" s="71" t="n"/>
      <c r="G550" s="71" t="n"/>
      <c r="H550" s="71" t="n"/>
      <c r="I550" s="71" t="n"/>
      <c r="J550" s="71" t="n"/>
      <c r="K550" s="71" t="n"/>
      <c r="L550" s="71" t="n"/>
      <c r="M550" s="71" t="n"/>
      <c r="N550" s="71" t="n"/>
      <c r="O550" s="71" t="n"/>
      <c r="P550" s="71" t="n"/>
      <c r="Q550" s="71" t="n"/>
      <c r="R550" s="71" t="n"/>
      <c r="S550" s="71" t="n"/>
      <c r="T550" s="71" t="n"/>
      <c r="U550" s="71" t="n"/>
      <c r="V550" s="71" t="n"/>
      <c r="W550" s="71" t="n"/>
      <c r="X550" s="71" t="n"/>
      <c r="Y550" s="71" t="n"/>
      <c r="Z550" s="71" t="n"/>
    </row>
    <row r="551" ht="15.75" customHeight="1">
      <c r="A551" s="71" t="n"/>
      <c r="B551" s="71" t="n"/>
      <c r="C551" s="71" t="n"/>
      <c r="D551" s="71" t="n"/>
      <c r="E551" s="71" t="n"/>
      <c r="F551" s="71" t="n"/>
      <c r="G551" s="71" t="n"/>
      <c r="H551" s="71" t="n"/>
      <c r="I551" s="71" t="n"/>
      <c r="J551" s="71" t="n"/>
      <c r="K551" s="71" t="n"/>
      <c r="L551" s="71" t="n"/>
      <c r="M551" s="71" t="n"/>
      <c r="N551" s="71" t="n"/>
      <c r="O551" s="71" t="n"/>
      <c r="P551" s="71" t="n"/>
      <c r="Q551" s="71" t="n"/>
      <c r="R551" s="71" t="n"/>
      <c r="S551" s="71" t="n"/>
      <c r="T551" s="71" t="n"/>
      <c r="U551" s="71" t="n"/>
      <c r="V551" s="71" t="n"/>
      <c r="W551" s="71" t="n"/>
      <c r="X551" s="71" t="n"/>
      <c r="Y551" s="71" t="n"/>
      <c r="Z551" s="71" t="n"/>
    </row>
    <row r="552" ht="15.75" customHeight="1">
      <c r="A552" s="71" t="n"/>
      <c r="B552" s="71" t="n"/>
      <c r="C552" s="71" t="n"/>
      <c r="D552" s="71" t="n"/>
      <c r="E552" s="71" t="n"/>
      <c r="F552" s="71" t="n"/>
      <c r="G552" s="71" t="n"/>
      <c r="H552" s="71" t="n"/>
      <c r="I552" s="71" t="n"/>
      <c r="J552" s="71" t="n"/>
      <c r="K552" s="71" t="n"/>
      <c r="L552" s="71" t="n"/>
      <c r="M552" s="71" t="n"/>
      <c r="N552" s="71" t="n"/>
      <c r="O552" s="71" t="n"/>
      <c r="P552" s="71" t="n"/>
      <c r="Q552" s="71" t="n"/>
      <c r="R552" s="71" t="n"/>
      <c r="S552" s="71" t="n"/>
      <c r="T552" s="71" t="n"/>
      <c r="U552" s="71" t="n"/>
      <c r="V552" s="71" t="n"/>
      <c r="W552" s="71" t="n"/>
      <c r="X552" s="71" t="n"/>
      <c r="Y552" s="71" t="n"/>
      <c r="Z552" s="71" t="n"/>
    </row>
    <row r="553" ht="15.75" customHeight="1">
      <c r="A553" s="71" t="n"/>
      <c r="B553" s="71" t="n"/>
      <c r="C553" s="71" t="n"/>
      <c r="D553" s="71" t="n"/>
      <c r="E553" s="71" t="n"/>
      <c r="F553" s="71" t="n"/>
      <c r="G553" s="71" t="n"/>
      <c r="H553" s="71" t="n"/>
      <c r="I553" s="71" t="n"/>
      <c r="J553" s="71" t="n"/>
      <c r="K553" s="71" t="n"/>
      <c r="L553" s="71" t="n"/>
      <c r="M553" s="71" t="n"/>
      <c r="N553" s="71" t="n"/>
      <c r="O553" s="71" t="n"/>
      <c r="P553" s="71" t="n"/>
      <c r="Q553" s="71" t="n"/>
      <c r="R553" s="71" t="n"/>
      <c r="S553" s="71" t="n"/>
      <c r="T553" s="71" t="n"/>
      <c r="U553" s="71" t="n"/>
      <c r="V553" s="71" t="n"/>
      <c r="W553" s="71" t="n"/>
      <c r="X553" s="71" t="n"/>
      <c r="Y553" s="71" t="n"/>
      <c r="Z553" s="71" t="n"/>
    </row>
    <row r="554" ht="15.75" customHeight="1">
      <c r="A554" s="71" t="n"/>
      <c r="B554" s="71" t="n"/>
      <c r="C554" s="71" t="n"/>
      <c r="D554" s="71" t="n"/>
      <c r="E554" s="71" t="n"/>
      <c r="F554" s="71" t="n"/>
      <c r="G554" s="71" t="n"/>
      <c r="H554" s="71" t="n"/>
      <c r="I554" s="71" t="n"/>
      <c r="J554" s="71" t="n"/>
      <c r="K554" s="71" t="n"/>
      <c r="L554" s="71" t="n"/>
      <c r="M554" s="71" t="n"/>
      <c r="N554" s="71" t="n"/>
      <c r="O554" s="71" t="n"/>
      <c r="P554" s="71" t="n"/>
      <c r="Q554" s="71" t="n"/>
      <c r="R554" s="71" t="n"/>
      <c r="S554" s="71" t="n"/>
      <c r="T554" s="71" t="n"/>
      <c r="U554" s="71" t="n"/>
      <c r="V554" s="71" t="n"/>
      <c r="W554" s="71" t="n"/>
      <c r="X554" s="71" t="n"/>
      <c r="Y554" s="71" t="n"/>
      <c r="Z554" s="71" t="n"/>
    </row>
    <row r="555" ht="15.75" customHeight="1">
      <c r="A555" s="71" t="n"/>
      <c r="B555" s="71" t="n"/>
      <c r="C555" s="71" t="n"/>
      <c r="D555" s="71" t="n"/>
      <c r="E555" s="71" t="n"/>
      <c r="F555" s="71" t="n"/>
      <c r="G555" s="71" t="n"/>
      <c r="H555" s="71" t="n"/>
      <c r="I555" s="71" t="n"/>
      <c r="J555" s="71" t="n"/>
      <c r="K555" s="71" t="n"/>
      <c r="L555" s="71" t="n"/>
      <c r="M555" s="71" t="n"/>
      <c r="N555" s="71" t="n"/>
      <c r="O555" s="71" t="n"/>
      <c r="P555" s="71" t="n"/>
      <c r="Q555" s="71" t="n"/>
      <c r="R555" s="71" t="n"/>
      <c r="S555" s="71" t="n"/>
      <c r="T555" s="71" t="n"/>
      <c r="U555" s="71" t="n"/>
      <c r="V555" s="71" t="n"/>
      <c r="W555" s="71" t="n"/>
      <c r="X555" s="71" t="n"/>
      <c r="Y555" s="71" t="n"/>
      <c r="Z555" s="71" t="n"/>
    </row>
    <row r="556" ht="15.75" customHeight="1">
      <c r="A556" s="71" t="n"/>
      <c r="B556" s="71" t="n"/>
      <c r="C556" s="71" t="n"/>
      <c r="D556" s="71" t="n"/>
      <c r="E556" s="71" t="n"/>
      <c r="F556" s="71" t="n"/>
      <c r="G556" s="71" t="n"/>
      <c r="H556" s="71" t="n"/>
      <c r="I556" s="71" t="n"/>
      <c r="J556" s="71" t="n"/>
      <c r="K556" s="71" t="n"/>
      <c r="L556" s="71" t="n"/>
      <c r="M556" s="71" t="n"/>
      <c r="N556" s="71" t="n"/>
      <c r="O556" s="71" t="n"/>
      <c r="P556" s="71" t="n"/>
      <c r="Q556" s="71" t="n"/>
      <c r="R556" s="71" t="n"/>
      <c r="S556" s="71" t="n"/>
      <c r="T556" s="71" t="n"/>
      <c r="U556" s="71" t="n"/>
      <c r="V556" s="71" t="n"/>
      <c r="W556" s="71" t="n"/>
      <c r="X556" s="71" t="n"/>
      <c r="Y556" s="71" t="n"/>
      <c r="Z556" s="71" t="n"/>
    </row>
    <row r="557" ht="15.75" customHeight="1">
      <c r="A557" s="71" t="n"/>
      <c r="B557" s="71" t="n"/>
      <c r="C557" s="71" t="n"/>
      <c r="D557" s="71" t="n"/>
      <c r="E557" s="71" t="n"/>
      <c r="F557" s="71" t="n"/>
      <c r="G557" s="71" t="n"/>
      <c r="H557" s="71" t="n"/>
      <c r="I557" s="71" t="n"/>
      <c r="J557" s="71" t="n"/>
      <c r="K557" s="71" t="n"/>
      <c r="L557" s="71" t="n"/>
      <c r="M557" s="71" t="n"/>
      <c r="N557" s="71" t="n"/>
      <c r="O557" s="71" t="n"/>
      <c r="P557" s="71" t="n"/>
      <c r="Q557" s="71" t="n"/>
      <c r="R557" s="71" t="n"/>
      <c r="S557" s="71" t="n"/>
      <c r="T557" s="71" t="n"/>
      <c r="U557" s="71" t="n"/>
      <c r="V557" s="71" t="n"/>
      <c r="W557" s="71" t="n"/>
      <c r="X557" s="71" t="n"/>
      <c r="Y557" s="71" t="n"/>
      <c r="Z557" s="71" t="n"/>
    </row>
    <row r="558" ht="15.75" customHeight="1">
      <c r="A558" s="71" t="n"/>
      <c r="B558" s="71" t="n"/>
      <c r="C558" s="71" t="n"/>
      <c r="D558" s="71" t="n"/>
      <c r="E558" s="71" t="n"/>
      <c r="F558" s="71" t="n"/>
      <c r="G558" s="71" t="n"/>
      <c r="H558" s="71" t="n"/>
      <c r="I558" s="71" t="n"/>
      <c r="J558" s="71" t="n"/>
      <c r="K558" s="71" t="n"/>
      <c r="L558" s="71" t="n"/>
      <c r="M558" s="71" t="n"/>
      <c r="N558" s="71" t="n"/>
      <c r="O558" s="71" t="n"/>
      <c r="P558" s="71" t="n"/>
      <c r="Q558" s="71" t="n"/>
      <c r="R558" s="71" t="n"/>
      <c r="S558" s="71" t="n"/>
      <c r="T558" s="71" t="n"/>
      <c r="U558" s="71" t="n"/>
      <c r="V558" s="71" t="n"/>
      <c r="W558" s="71" t="n"/>
      <c r="X558" s="71" t="n"/>
      <c r="Y558" s="71" t="n"/>
      <c r="Z558" s="71" t="n"/>
    </row>
    <row r="559" ht="15.75" customHeight="1">
      <c r="A559" s="71" t="n"/>
      <c r="B559" s="71" t="n"/>
      <c r="C559" s="71" t="n"/>
      <c r="D559" s="71" t="n"/>
      <c r="E559" s="71" t="n"/>
      <c r="F559" s="71" t="n"/>
      <c r="G559" s="71" t="n"/>
      <c r="H559" s="71" t="n"/>
      <c r="I559" s="71" t="n"/>
      <c r="J559" s="71" t="n"/>
      <c r="K559" s="71" t="n"/>
      <c r="L559" s="71" t="n"/>
      <c r="M559" s="71" t="n"/>
      <c r="N559" s="71" t="n"/>
      <c r="O559" s="71" t="n"/>
      <c r="P559" s="71" t="n"/>
      <c r="Q559" s="71" t="n"/>
      <c r="R559" s="71" t="n"/>
      <c r="S559" s="71" t="n"/>
      <c r="T559" s="71" t="n"/>
      <c r="U559" s="71" t="n"/>
      <c r="V559" s="71" t="n"/>
      <c r="W559" s="71" t="n"/>
      <c r="X559" s="71" t="n"/>
      <c r="Y559" s="71" t="n"/>
      <c r="Z559" s="71" t="n"/>
    </row>
    <row r="560" ht="15.75" customHeight="1">
      <c r="A560" s="71" t="n"/>
      <c r="B560" s="71" t="n"/>
      <c r="C560" s="71" t="n"/>
      <c r="D560" s="71" t="n"/>
      <c r="E560" s="71" t="n"/>
      <c r="F560" s="71" t="n"/>
      <c r="G560" s="71" t="n"/>
      <c r="H560" s="71" t="n"/>
      <c r="I560" s="71" t="n"/>
      <c r="J560" s="71" t="n"/>
      <c r="K560" s="71" t="n"/>
      <c r="L560" s="71" t="n"/>
      <c r="M560" s="71" t="n"/>
      <c r="N560" s="71" t="n"/>
      <c r="O560" s="71" t="n"/>
      <c r="P560" s="71" t="n"/>
      <c r="Q560" s="71" t="n"/>
      <c r="R560" s="71" t="n"/>
      <c r="S560" s="71" t="n"/>
      <c r="T560" s="71" t="n"/>
      <c r="U560" s="71" t="n"/>
      <c r="V560" s="71" t="n"/>
      <c r="W560" s="71" t="n"/>
      <c r="X560" s="71" t="n"/>
      <c r="Y560" s="71" t="n"/>
      <c r="Z560" s="71" t="n"/>
    </row>
    <row r="561" ht="15.75" customHeight="1">
      <c r="A561" s="71" t="n"/>
      <c r="B561" s="71" t="n"/>
      <c r="C561" s="71" t="n"/>
      <c r="D561" s="71" t="n"/>
      <c r="E561" s="71" t="n"/>
      <c r="F561" s="71" t="n"/>
      <c r="G561" s="71" t="n"/>
      <c r="H561" s="71" t="n"/>
      <c r="I561" s="71" t="n"/>
      <c r="J561" s="71" t="n"/>
      <c r="K561" s="71" t="n"/>
      <c r="L561" s="71" t="n"/>
      <c r="M561" s="71" t="n"/>
      <c r="N561" s="71" t="n"/>
      <c r="O561" s="71" t="n"/>
      <c r="P561" s="71" t="n"/>
      <c r="Q561" s="71" t="n"/>
      <c r="R561" s="71" t="n"/>
      <c r="S561" s="71" t="n"/>
      <c r="T561" s="71" t="n"/>
      <c r="U561" s="71" t="n"/>
      <c r="V561" s="71" t="n"/>
      <c r="W561" s="71" t="n"/>
      <c r="X561" s="71" t="n"/>
      <c r="Y561" s="71" t="n"/>
      <c r="Z561" s="71" t="n"/>
    </row>
    <row r="562" ht="15.75" customHeight="1">
      <c r="A562" s="71" t="n"/>
      <c r="B562" s="71" t="n"/>
      <c r="C562" s="71" t="n"/>
      <c r="D562" s="71" t="n"/>
      <c r="E562" s="71" t="n"/>
      <c r="F562" s="71" t="n"/>
      <c r="G562" s="71" t="n"/>
      <c r="H562" s="71" t="n"/>
      <c r="I562" s="71" t="n"/>
      <c r="J562" s="71" t="n"/>
      <c r="K562" s="71" t="n"/>
      <c r="L562" s="71" t="n"/>
      <c r="M562" s="71" t="n"/>
      <c r="N562" s="71" t="n"/>
      <c r="O562" s="71" t="n"/>
      <c r="P562" s="71" t="n"/>
      <c r="Q562" s="71" t="n"/>
      <c r="R562" s="71" t="n"/>
      <c r="S562" s="71" t="n"/>
      <c r="T562" s="71" t="n"/>
      <c r="U562" s="71" t="n"/>
      <c r="V562" s="71" t="n"/>
      <c r="W562" s="71" t="n"/>
      <c r="X562" s="71" t="n"/>
      <c r="Y562" s="71" t="n"/>
      <c r="Z562" s="71" t="n"/>
    </row>
    <row r="563" ht="15.75" customHeight="1">
      <c r="A563" s="71" t="n"/>
      <c r="B563" s="71" t="n"/>
      <c r="C563" s="71" t="n"/>
      <c r="D563" s="71" t="n"/>
      <c r="E563" s="71" t="n"/>
      <c r="F563" s="71" t="n"/>
      <c r="G563" s="71" t="n"/>
      <c r="H563" s="71" t="n"/>
      <c r="I563" s="71" t="n"/>
      <c r="J563" s="71" t="n"/>
      <c r="K563" s="71" t="n"/>
      <c r="L563" s="71" t="n"/>
      <c r="M563" s="71" t="n"/>
      <c r="N563" s="71" t="n"/>
      <c r="O563" s="71" t="n"/>
      <c r="P563" s="71" t="n"/>
      <c r="Q563" s="71" t="n"/>
      <c r="R563" s="71" t="n"/>
      <c r="S563" s="71" t="n"/>
      <c r="T563" s="71" t="n"/>
      <c r="U563" s="71" t="n"/>
      <c r="V563" s="71" t="n"/>
      <c r="W563" s="71" t="n"/>
      <c r="X563" s="71" t="n"/>
      <c r="Y563" s="71" t="n"/>
      <c r="Z563" s="71" t="n"/>
    </row>
    <row r="564" ht="15.75" customHeight="1">
      <c r="A564" s="71" t="n"/>
      <c r="B564" s="71" t="n"/>
      <c r="C564" s="71" t="n"/>
      <c r="D564" s="71" t="n"/>
      <c r="E564" s="71" t="n"/>
      <c r="F564" s="71" t="n"/>
      <c r="G564" s="71" t="n"/>
      <c r="H564" s="71" t="n"/>
      <c r="I564" s="71" t="n"/>
      <c r="J564" s="71" t="n"/>
      <c r="K564" s="71" t="n"/>
      <c r="L564" s="71" t="n"/>
      <c r="M564" s="71" t="n"/>
      <c r="N564" s="71" t="n"/>
      <c r="O564" s="71" t="n"/>
      <c r="P564" s="71" t="n"/>
      <c r="Q564" s="71" t="n"/>
      <c r="R564" s="71" t="n"/>
      <c r="S564" s="71" t="n"/>
      <c r="T564" s="71" t="n"/>
      <c r="U564" s="71" t="n"/>
      <c r="V564" s="71" t="n"/>
      <c r="W564" s="71" t="n"/>
      <c r="X564" s="71" t="n"/>
      <c r="Y564" s="71" t="n"/>
      <c r="Z564" s="71" t="n"/>
    </row>
    <row r="565" ht="15.75" customHeight="1">
      <c r="A565" s="71" t="n"/>
      <c r="B565" s="71" t="n"/>
      <c r="C565" s="71" t="n"/>
      <c r="D565" s="71" t="n"/>
      <c r="E565" s="71" t="n"/>
      <c r="F565" s="71" t="n"/>
      <c r="G565" s="71" t="n"/>
      <c r="H565" s="71" t="n"/>
      <c r="I565" s="71" t="n"/>
      <c r="J565" s="71" t="n"/>
      <c r="K565" s="71" t="n"/>
      <c r="L565" s="71" t="n"/>
      <c r="M565" s="71" t="n"/>
      <c r="N565" s="71" t="n"/>
      <c r="O565" s="71" t="n"/>
      <c r="P565" s="71" t="n"/>
      <c r="Q565" s="71" t="n"/>
      <c r="R565" s="71" t="n"/>
      <c r="S565" s="71" t="n"/>
      <c r="T565" s="71" t="n"/>
      <c r="U565" s="71" t="n"/>
      <c r="V565" s="71" t="n"/>
      <c r="W565" s="71" t="n"/>
      <c r="X565" s="71" t="n"/>
      <c r="Y565" s="71" t="n"/>
      <c r="Z565" s="71" t="n"/>
    </row>
    <row r="566" ht="15.75" customHeight="1">
      <c r="A566" s="71" t="n"/>
      <c r="B566" s="71" t="n"/>
      <c r="C566" s="71" t="n"/>
      <c r="D566" s="71" t="n"/>
      <c r="E566" s="71" t="n"/>
      <c r="F566" s="71" t="n"/>
      <c r="G566" s="71" t="n"/>
      <c r="H566" s="71" t="n"/>
      <c r="I566" s="71" t="n"/>
      <c r="J566" s="71" t="n"/>
      <c r="K566" s="71" t="n"/>
      <c r="L566" s="71" t="n"/>
      <c r="M566" s="71" t="n"/>
      <c r="N566" s="71" t="n"/>
      <c r="O566" s="71" t="n"/>
      <c r="P566" s="71" t="n"/>
      <c r="Q566" s="71" t="n"/>
      <c r="R566" s="71" t="n"/>
      <c r="S566" s="71" t="n"/>
      <c r="T566" s="71" t="n"/>
      <c r="U566" s="71" t="n"/>
      <c r="V566" s="71" t="n"/>
      <c r="W566" s="71" t="n"/>
      <c r="X566" s="71" t="n"/>
      <c r="Y566" s="71" t="n"/>
      <c r="Z566" s="71" t="n"/>
    </row>
    <row r="567" ht="15.75" customHeight="1">
      <c r="A567" s="71" t="n"/>
      <c r="B567" s="71" t="n"/>
      <c r="C567" s="71" t="n"/>
      <c r="D567" s="71" t="n"/>
      <c r="E567" s="71" t="n"/>
      <c r="F567" s="71" t="n"/>
      <c r="G567" s="71" t="n"/>
      <c r="H567" s="71" t="n"/>
      <c r="I567" s="71" t="n"/>
      <c r="J567" s="71" t="n"/>
      <c r="K567" s="71" t="n"/>
      <c r="L567" s="71" t="n"/>
      <c r="M567" s="71" t="n"/>
      <c r="N567" s="71" t="n"/>
      <c r="O567" s="71" t="n"/>
      <c r="P567" s="71" t="n"/>
      <c r="Q567" s="71" t="n"/>
      <c r="R567" s="71" t="n"/>
      <c r="S567" s="71" t="n"/>
      <c r="T567" s="71" t="n"/>
      <c r="U567" s="71" t="n"/>
      <c r="V567" s="71" t="n"/>
      <c r="W567" s="71" t="n"/>
      <c r="X567" s="71" t="n"/>
      <c r="Y567" s="71" t="n"/>
      <c r="Z567" s="71" t="n"/>
    </row>
    <row r="568" ht="15.75" customHeight="1">
      <c r="A568" s="71" t="n"/>
      <c r="B568" s="71" t="n"/>
      <c r="C568" s="71" t="n"/>
      <c r="D568" s="71" t="n"/>
      <c r="E568" s="71" t="n"/>
      <c r="F568" s="71" t="n"/>
      <c r="G568" s="71" t="n"/>
      <c r="H568" s="71" t="n"/>
      <c r="I568" s="71" t="n"/>
      <c r="J568" s="71" t="n"/>
      <c r="K568" s="71" t="n"/>
      <c r="L568" s="71" t="n"/>
      <c r="M568" s="71" t="n"/>
      <c r="N568" s="71" t="n"/>
      <c r="O568" s="71" t="n"/>
      <c r="P568" s="71" t="n"/>
      <c r="Q568" s="71" t="n"/>
      <c r="R568" s="71" t="n"/>
      <c r="S568" s="71" t="n"/>
      <c r="T568" s="71" t="n"/>
      <c r="U568" s="71" t="n"/>
      <c r="V568" s="71" t="n"/>
      <c r="W568" s="71" t="n"/>
      <c r="X568" s="71" t="n"/>
      <c r="Y568" s="71" t="n"/>
      <c r="Z568" s="71" t="n"/>
    </row>
    <row r="569" ht="15.75" customHeight="1">
      <c r="A569" s="71" t="n"/>
      <c r="B569" s="71" t="n"/>
      <c r="C569" s="71" t="n"/>
      <c r="D569" s="71" t="n"/>
      <c r="E569" s="71" t="n"/>
      <c r="F569" s="71" t="n"/>
      <c r="G569" s="71" t="n"/>
      <c r="H569" s="71" t="n"/>
      <c r="I569" s="71" t="n"/>
      <c r="J569" s="71" t="n"/>
      <c r="K569" s="71" t="n"/>
      <c r="L569" s="71" t="n"/>
      <c r="M569" s="71" t="n"/>
      <c r="N569" s="71" t="n"/>
      <c r="O569" s="71" t="n"/>
      <c r="P569" s="71" t="n"/>
      <c r="Q569" s="71" t="n"/>
      <c r="R569" s="71" t="n"/>
      <c r="S569" s="71" t="n"/>
      <c r="T569" s="71" t="n"/>
      <c r="U569" s="71" t="n"/>
      <c r="V569" s="71" t="n"/>
      <c r="W569" s="71" t="n"/>
      <c r="X569" s="71" t="n"/>
      <c r="Y569" s="71" t="n"/>
      <c r="Z569" s="71" t="n"/>
    </row>
    <row r="570" ht="15.75" customHeight="1">
      <c r="A570" s="71" t="n"/>
      <c r="B570" s="71" t="n"/>
      <c r="C570" s="71" t="n"/>
      <c r="D570" s="71" t="n"/>
      <c r="E570" s="71" t="n"/>
      <c r="F570" s="71" t="n"/>
      <c r="G570" s="71" t="n"/>
      <c r="H570" s="71" t="n"/>
      <c r="I570" s="71" t="n"/>
      <c r="J570" s="71" t="n"/>
      <c r="K570" s="71" t="n"/>
      <c r="L570" s="71" t="n"/>
      <c r="M570" s="71" t="n"/>
      <c r="N570" s="71" t="n"/>
      <c r="O570" s="71" t="n"/>
      <c r="P570" s="71" t="n"/>
      <c r="Q570" s="71" t="n"/>
      <c r="R570" s="71" t="n"/>
      <c r="S570" s="71" t="n"/>
      <c r="T570" s="71" t="n"/>
      <c r="U570" s="71" t="n"/>
      <c r="V570" s="71" t="n"/>
      <c r="W570" s="71" t="n"/>
      <c r="X570" s="71" t="n"/>
      <c r="Y570" s="71" t="n"/>
      <c r="Z570" s="71" t="n"/>
    </row>
    <row r="571" ht="15.75" customHeight="1">
      <c r="A571" s="71" t="n"/>
      <c r="B571" s="71" t="n"/>
      <c r="C571" s="71" t="n"/>
      <c r="D571" s="71" t="n"/>
      <c r="E571" s="71" t="n"/>
      <c r="F571" s="71" t="n"/>
      <c r="G571" s="71" t="n"/>
      <c r="H571" s="71" t="n"/>
      <c r="I571" s="71" t="n"/>
      <c r="J571" s="71" t="n"/>
      <c r="K571" s="71" t="n"/>
      <c r="L571" s="71" t="n"/>
      <c r="M571" s="71" t="n"/>
      <c r="N571" s="71" t="n"/>
      <c r="O571" s="71" t="n"/>
      <c r="P571" s="71" t="n"/>
      <c r="Q571" s="71" t="n"/>
      <c r="R571" s="71" t="n"/>
      <c r="S571" s="71" t="n"/>
      <c r="T571" s="71" t="n"/>
      <c r="U571" s="71" t="n"/>
      <c r="V571" s="71" t="n"/>
      <c r="W571" s="71" t="n"/>
      <c r="X571" s="71" t="n"/>
      <c r="Y571" s="71" t="n"/>
      <c r="Z571" s="71" t="n"/>
    </row>
    <row r="572" ht="15.75" customHeight="1">
      <c r="A572" s="71" t="n"/>
      <c r="B572" s="71" t="n"/>
      <c r="C572" s="71" t="n"/>
      <c r="D572" s="71" t="n"/>
      <c r="E572" s="71" t="n"/>
      <c r="F572" s="71" t="n"/>
      <c r="G572" s="71" t="n"/>
      <c r="H572" s="71" t="n"/>
      <c r="I572" s="71" t="n"/>
      <c r="J572" s="71" t="n"/>
      <c r="K572" s="71" t="n"/>
      <c r="L572" s="71" t="n"/>
      <c r="M572" s="71" t="n"/>
      <c r="N572" s="71" t="n"/>
      <c r="O572" s="71" t="n"/>
      <c r="P572" s="71" t="n"/>
      <c r="Q572" s="71" t="n"/>
      <c r="R572" s="71" t="n"/>
      <c r="S572" s="71" t="n"/>
      <c r="T572" s="71" t="n"/>
      <c r="U572" s="71" t="n"/>
      <c r="V572" s="71" t="n"/>
      <c r="W572" s="71" t="n"/>
      <c r="X572" s="71" t="n"/>
      <c r="Y572" s="71" t="n"/>
      <c r="Z572" s="71" t="n"/>
    </row>
    <row r="573" ht="15.75" customHeight="1">
      <c r="A573" s="71" t="n"/>
      <c r="B573" s="71" t="n"/>
      <c r="C573" s="71" t="n"/>
      <c r="D573" s="71" t="n"/>
      <c r="E573" s="71" t="n"/>
      <c r="F573" s="71" t="n"/>
      <c r="G573" s="71" t="n"/>
      <c r="H573" s="71" t="n"/>
      <c r="I573" s="71" t="n"/>
      <c r="J573" s="71" t="n"/>
      <c r="K573" s="71" t="n"/>
      <c r="L573" s="71" t="n"/>
      <c r="M573" s="71" t="n"/>
      <c r="N573" s="71" t="n"/>
      <c r="O573" s="71" t="n"/>
      <c r="P573" s="71" t="n"/>
      <c r="Q573" s="71" t="n"/>
      <c r="R573" s="71" t="n"/>
      <c r="S573" s="71" t="n"/>
      <c r="T573" s="71" t="n"/>
      <c r="U573" s="71" t="n"/>
      <c r="V573" s="71" t="n"/>
      <c r="W573" s="71" t="n"/>
      <c r="X573" s="71" t="n"/>
      <c r="Y573" s="71" t="n"/>
      <c r="Z573" s="71" t="n"/>
    </row>
    <row r="574" ht="15.75" customHeight="1">
      <c r="A574" s="71" t="n"/>
      <c r="B574" s="71" t="n"/>
      <c r="C574" s="71" t="n"/>
      <c r="D574" s="71" t="n"/>
      <c r="E574" s="71" t="n"/>
      <c r="F574" s="71" t="n"/>
      <c r="G574" s="71" t="n"/>
      <c r="H574" s="71" t="n"/>
      <c r="I574" s="71" t="n"/>
      <c r="J574" s="71" t="n"/>
      <c r="K574" s="71" t="n"/>
      <c r="L574" s="71" t="n"/>
      <c r="M574" s="71" t="n"/>
      <c r="N574" s="71" t="n"/>
      <c r="O574" s="71" t="n"/>
      <c r="P574" s="71" t="n"/>
      <c r="Q574" s="71" t="n"/>
      <c r="R574" s="71" t="n"/>
      <c r="S574" s="71" t="n"/>
      <c r="T574" s="71" t="n"/>
      <c r="U574" s="71" t="n"/>
      <c r="V574" s="71" t="n"/>
      <c r="W574" s="71" t="n"/>
      <c r="X574" s="71" t="n"/>
      <c r="Y574" s="71" t="n"/>
      <c r="Z574" s="71" t="n"/>
    </row>
    <row r="575" ht="15.75" customHeight="1">
      <c r="A575" s="71" t="n"/>
      <c r="B575" s="71" t="n"/>
      <c r="C575" s="71" t="n"/>
      <c r="D575" s="71" t="n"/>
      <c r="E575" s="71" t="n"/>
      <c r="F575" s="71" t="n"/>
      <c r="G575" s="71" t="n"/>
      <c r="H575" s="71" t="n"/>
      <c r="I575" s="71" t="n"/>
      <c r="J575" s="71" t="n"/>
      <c r="K575" s="71" t="n"/>
      <c r="L575" s="71" t="n"/>
      <c r="M575" s="71" t="n"/>
      <c r="N575" s="71" t="n"/>
      <c r="O575" s="71" t="n"/>
      <c r="P575" s="71" t="n"/>
      <c r="Q575" s="71" t="n"/>
      <c r="R575" s="71" t="n"/>
      <c r="S575" s="71" t="n"/>
      <c r="T575" s="71" t="n"/>
      <c r="U575" s="71" t="n"/>
      <c r="V575" s="71" t="n"/>
      <c r="W575" s="71" t="n"/>
      <c r="X575" s="71" t="n"/>
      <c r="Y575" s="71" t="n"/>
      <c r="Z575" s="71" t="n"/>
    </row>
    <row r="576" ht="15.75" customHeight="1">
      <c r="A576" s="71" t="n"/>
      <c r="B576" s="71" t="n"/>
      <c r="C576" s="71" t="n"/>
      <c r="D576" s="71" t="n"/>
      <c r="E576" s="71" t="n"/>
      <c r="F576" s="71" t="n"/>
      <c r="G576" s="71" t="n"/>
      <c r="H576" s="71" t="n"/>
      <c r="I576" s="71" t="n"/>
      <c r="J576" s="71" t="n"/>
      <c r="K576" s="71" t="n"/>
      <c r="L576" s="71" t="n"/>
      <c r="M576" s="71" t="n"/>
      <c r="N576" s="71" t="n"/>
      <c r="O576" s="71" t="n"/>
      <c r="P576" s="71" t="n"/>
      <c r="Q576" s="71" t="n"/>
      <c r="R576" s="71" t="n"/>
      <c r="S576" s="71" t="n"/>
      <c r="T576" s="71" t="n"/>
      <c r="U576" s="71" t="n"/>
      <c r="V576" s="71" t="n"/>
      <c r="W576" s="71" t="n"/>
      <c r="X576" s="71" t="n"/>
      <c r="Y576" s="71" t="n"/>
      <c r="Z576" s="71" t="n"/>
    </row>
    <row r="577" ht="15.75" customHeight="1">
      <c r="A577" s="71" t="n"/>
      <c r="B577" s="71" t="n"/>
      <c r="C577" s="71" t="n"/>
      <c r="D577" s="71" t="n"/>
      <c r="E577" s="71" t="n"/>
      <c r="F577" s="71" t="n"/>
      <c r="G577" s="71" t="n"/>
      <c r="H577" s="71" t="n"/>
      <c r="I577" s="71" t="n"/>
      <c r="J577" s="71" t="n"/>
      <c r="K577" s="71" t="n"/>
      <c r="L577" s="71" t="n"/>
      <c r="M577" s="71" t="n"/>
      <c r="N577" s="71" t="n"/>
      <c r="O577" s="71" t="n"/>
      <c r="P577" s="71" t="n"/>
      <c r="Q577" s="71" t="n"/>
      <c r="R577" s="71" t="n"/>
      <c r="S577" s="71" t="n"/>
      <c r="T577" s="71" t="n"/>
      <c r="U577" s="71" t="n"/>
      <c r="V577" s="71" t="n"/>
      <c r="W577" s="71" t="n"/>
      <c r="X577" s="71" t="n"/>
      <c r="Y577" s="71" t="n"/>
      <c r="Z577" s="71" t="n"/>
    </row>
    <row r="578" ht="15.75" customHeight="1">
      <c r="A578" s="71" t="n"/>
      <c r="B578" s="71" t="n"/>
      <c r="C578" s="71" t="n"/>
      <c r="D578" s="71" t="n"/>
      <c r="E578" s="71" t="n"/>
      <c r="F578" s="71" t="n"/>
      <c r="G578" s="71" t="n"/>
      <c r="H578" s="71" t="n"/>
      <c r="I578" s="71" t="n"/>
      <c r="J578" s="71" t="n"/>
      <c r="K578" s="71" t="n"/>
      <c r="L578" s="71" t="n"/>
      <c r="M578" s="71" t="n"/>
      <c r="N578" s="71" t="n"/>
      <c r="O578" s="71" t="n"/>
      <c r="P578" s="71" t="n"/>
      <c r="Q578" s="71" t="n"/>
      <c r="R578" s="71" t="n"/>
      <c r="S578" s="71" t="n"/>
      <c r="T578" s="71" t="n"/>
      <c r="U578" s="71" t="n"/>
      <c r="V578" s="71" t="n"/>
      <c r="W578" s="71" t="n"/>
      <c r="X578" s="71" t="n"/>
      <c r="Y578" s="71" t="n"/>
      <c r="Z578" s="71" t="n"/>
    </row>
    <row r="579" ht="15.75" customHeight="1">
      <c r="A579" s="71" t="n"/>
      <c r="B579" s="71" t="n"/>
      <c r="C579" s="71" t="n"/>
      <c r="D579" s="71" t="n"/>
      <c r="E579" s="71" t="n"/>
      <c r="F579" s="71" t="n"/>
      <c r="G579" s="71" t="n"/>
      <c r="H579" s="71" t="n"/>
      <c r="I579" s="71" t="n"/>
      <c r="J579" s="71" t="n"/>
      <c r="K579" s="71" t="n"/>
      <c r="L579" s="71" t="n"/>
      <c r="M579" s="71" t="n"/>
      <c r="N579" s="71" t="n"/>
      <c r="O579" s="71" t="n"/>
      <c r="P579" s="71" t="n"/>
      <c r="Q579" s="71" t="n"/>
      <c r="R579" s="71" t="n"/>
      <c r="S579" s="71" t="n"/>
      <c r="T579" s="71" t="n"/>
      <c r="U579" s="71" t="n"/>
      <c r="V579" s="71" t="n"/>
      <c r="W579" s="71" t="n"/>
      <c r="X579" s="71" t="n"/>
      <c r="Y579" s="71" t="n"/>
      <c r="Z579" s="71" t="n"/>
    </row>
    <row r="580" ht="15.75" customHeight="1">
      <c r="A580" s="71" t="n"/>
      <c r="B580" s="71" t="n"/>
      <c r="C580" s="71" t="n"/>
      <c r="D580" s="71" t="n"/>
      <c r="E580" s="71" t="n"/>
      <c r="F580" s="71" t="n"/>
      <c r="G580" s="71" t="n"/>
      <c r="H580" s="71" t="n"/>
      <c r="I580" s="71" t="n"/>
      <c r="J580" s="71" t="n"/>
      <c r="K580" s="71" t="n"/>
      <c r="L580" s="71" t="n"/>
      <c r="M580" s="71" t="n"/>
      <c r="N580" s="71" t="n"/>
      <c r="O580" s="71" t="n"/>
      <c r="P580" s="71" t="n"/>
      <c r="Q580" s="71" t="n"/>
      <c r="R580" s="71" t="n"/>
      <c r="S580" s="71" t="n"/>
      <c r="T580" s="71" t="n"/>
      <c r="U580" s="71" t="n"/>
      <c r="V580" s="71" t="n"/>
      <c r="W580" s="71" t="n"/>
      <c r="X580" s="71" t="n"/>
      <c r="Y580" s="71" t="n"/>
      <c r="Z580" s="71" t="n"/>
    </row>
    <row r="581" ht="15.75" customHeight="1">
      <c r="A581" s="71" t="n"/>
      <c r="B581" s="71" t="n"/>
      <c r="C581" s="71" t="n"/>
      <c r="D581" s="71" t="n"/>
      <c r="E581" s="71" t="n"/>
      <c r="F581" s="71" t="n"/>
      <c r="G581" s="71" t="n"/>
      <c r="H581" s="71" t="n"/>
      <c r="I581" s="71" t="n"/>
      <c r="J581" s="71" t="n"/>
      <c r="K581" s="71" t="n"/>
      <c r="L581" s="71" t="n"/>
      <c r="M581" s="71" t="n"/>
      <c r="N581" s="71" t="n"/>
      <c r="O581" s="71" t="n"/>
      <c r="P581" s="71" t="n"/>
      <c r="Q581" s="71" t="n"/>
      <c r="R581" s="71" t="n"/>
      <c r="S581" s="71" t="n"/>
      <c r="T581" s="71" t="n"/>
      <c r="U581" s="71" t="n"/>
      <c r="V581" s="71" t="n"/>
      <c r="W581" s="71" t="n"/>
      <c r="X581" s="71" t="n"/>
      <c r="Y581" s="71" t="n"/>
      <c r="Z581" s="71" t="n"/>
    </row>
    <row r="582" ht="15.75" customHeight="1">
      <c r="A582" s="71" t="n"/>
      <c r="B582" s="71" t="n"/>
      <c r="C582" s="71" t="n"/>
      <c r="D582" s="71" t="n"/>
      <c r="E582" s="71" t="n"/>
      <c r="F582" s="71" t="n"/>
      <c r="G582" s="71" t="n"/>
      <c r="H582" s="71" t="n"/>
      <c r="I582" s="71" t="n"/>
      <c r="J582" s="71" t="n"/>
      <c r="K582" s="71" t="n"/>
      <c r="L582" s="71" t="n"/>
      <c r="M582" s="71" t="n"/>
      <c r="N582" s="71" t="n"/>
      <c r="O582" s="71" t="n"/>
      <c r="P582" s="71" t="n"/>
      <c r="Q582" s="71" t="n"/>
      <c r="R582" s="71" t="n"/>
      <c r="S582" s="71" t="n"/>
      <c r="T582" s="71" t="n"/>
      <c r="U582" s="71" t="n"/>
      <c r="V582" s="71" t="n"/>
      <c r="W582" s="71" t="n"/>
      <c r="X582" s="71" t="n"/>
      <c r="Y582" s="71" t="n"/>
      <c r="Z582" s="71" t="n"/>
    </row>
    <row r="583" ht="15.75" customHeight="1">
      <c r="A583" s="71" t="n"/>
      <c r="B583" s="71" t="n"/>
      <c r="C583" s="71" t="n"/>
      <c r="D583" s="71" t="n"/>
      <c r="E583" s="71" t="n"/>
      <c r="F583" s="71" t="n"/>
      <c r="G583" s="71" t="n"/>
      <c r="H583" s="71" t="n"/>
      <c r="I583" s="71" t="n"/>
      <c r="J583" s="71" t="n"/>
      <c r="K583" s="71" t="n"/>
      <c r="L583" s="71" t="n"/>
      <c r="M583" s="71" t="n"/>
      <c r="N583" s="71" t="n"/>
      <c r="O583" s="71" t="n"/>
      <c r="P583" s="71" t="n"/>
      <c r="Q583" s="71" t="n"/>
      <c r="R583" s="71" t="n"/>
      <c r="S583" s="71" t="n"/>
      <c r="T583" s="71" t="n"/>
      <c r="U583" s="71" t="n"/>
      <c r="V583" s="71" t="n"/>
      <c r="W583" s="71" t="n"/>
      <c r="X583" s="71" t="n"/>
      <c r="Y583" s="71" t="n"/>
      <c r="Z583" s="71" t="n"/>
    </row>
    <row r="584" ht="15.75" customHeight="1">
      <c r="A584" s="71" t="n"/>
      <c r="B584" s="71" t="n"/>
      <c r="C584" s="71" t="n"/>
      <c r="D584" s="71" t="n"/>
      <c r="E584" s="71" t="n"/>
      <c r="F584" s="71" t="n"/>
      <c r="G584" s="71" t="n"/>
      <c r="H584" s="71" t="n"/>
      <c r="I584" s="71" t="n"/>
      <c r="J584" s="71" t="n"/>
      <c r="K584" s="71" t="n"/>
      <c r="L584" s="71" t="n"/>
      <c r="M584" s="71" t="n"/>
      <c r="N584" s="71" t="n"/>
      <c r="O584" s="71" t="n"/>
      <c r="P584" s="71" t="n"/>
      <c r="Q584" s="71" t="n"/>
      <c r="R584" s="71" t="n"/>
      <c r="S584" s="71" t="n"/>
      <c r="T584" s="71" t="n"/>
      <c r="U584" s="71" t="n"/>
      <c r="V584" s="71" t="n"/>
      <c r="W584" s="71" t="n"/>
      <c r="X584" s="71" t="n"/>
      <c r="Y584" s="71" t="n"/>
      <c r="Z584" s="71" t="n"/>
    </row>
    <row r="585" ht="15.75" customHeight="1">
      <c r="A585" s="71" t="n"/>
      <c r="B585" s="71" t="n"/>
      <c r="C585" s="71" t="n"/>
      <c r="D585" s="71" t="n"/>
      <c r="E585" s="71" t="n"/>
      <c r="F585" s="71" t="n"/>
      <c r="G585" s="71" t="n"/>
      <c r="H585" s="71" t="n"/>
      <c r="I585" s="71" t="n"/>
      <c r="J585" s="71" t="n"/>
      <c r="K585" s="71" t="n"/>
      <c r="L585" s="71" t="n"/>
      <c r="M585" s="71" t="n"/>
      <c r="N585" s="71" t="n"/>
      <c r="O585" s="71" t="n"/>
      <c r="P585" s="71" t="n"/>
      <c r="Q585" s="71" t="n"/>
      <c r="R585" s="71" t="n"/>
      <c r="S585" s="71" t="n"/>
      <c r="T585" s="71" t="n"/>
      <c r="U585" s="71" t="n"/>
      <c r="V585" s="71" t="n"/>
      <c r="W585" s="71" t="n"/>
      <c r="X585" s="71" t="n"/>
      <c r="Y585" s="71" t="n"/>
      <c r="Z585" s="71" t="n"/>
    </row>
    <row r="586" ht="15.75" customHeight="1">
      <c r="A586" s="71" t="n"/>
      <c r="B586" s="71" t="n"/>
      <c r="C586" s="71" t="n"/>
      <c r="D586" s="71" t="n"/>
      <c r="E586" s="71" t="n"/>
      <c r="F586" s="71" t="n"/>
      <c r="G586" s="71" t="n"/>
      <c r="H586" s="71" t="n"/>
      <c r="I586" s="71" t="n"/>
      <c r="J586" s="71" t="n"/>
      <c r="K586" s="71" t="n"/>
      <c r="L586" s="71" t="n"/>
      <c r="M586" s="71" t="n"/>
      <c r="N586" s="71" t="n"/>
      <c r="O586" s="71" t="n"/>
      <c r="P586" s="71" t="n"/>
      <c r="Q586" s="71" t="n"/>
      <c r="R586" s="71" t="n"/>
      <c r="S586" s="71" t="n"/>
      <c r="T586" s="71" t="n"/>
      <c r="U586" s="71" t="n"/>
      <c r="V586" s="71" t="n"/>
      <c r="W586" s="71" t="n"/>
      <c r="X586" s="71" t="n"/>
      <c r="Y586" s="71" t="n"/>
      <c r="Z586" s="71" t="n"/>
    </row>
    <row r="587" ht="15.75" customHeight="1">
      <c r="A587" s="71" t="n"/>
      <c r="B587" s="71" t="n"/>
      <c r="C587" s="71" t="n"/>
      <c r="D587" s="71" t="n"/>
      <c r="E587" s="71" t="n"/>
      <c r="F587" s="71" t="n"/>
      <c r="G587" s="71" t="n"/>
      <c r="H587" s="71" t="n"/>
      <c r="I587" s="71" t="n"/>
      <c r="J587" s="71" t="n"/>
      <c r="K587" s="71" t="n"/>
      <c r="L587" s="71" t="n"/>
      <c r="M587" s="71" t="n"/>
      <c r="N587" s="71" t="n"/>
      <c r="O587" s="71" t="n"/>
      <c r="P587" s="71" t="n"/>
      <c r="Q587" s="71" t="n"/>
      <c r="R587" s="71" t="n"/>
      <c r="S587" s="71" t="n"/>
      <c r="T587" s="71" t="n"/>
      <c r="U587" s="71" t="n"/>
      <c r="V587" s="71" t="n"/>
      <c r="W587" s="71" t="n"/>
      <c r="X587" s="71" t="n"/>
      <c r="Y587" s="71" t="n"/>
      <c r="Z587" s="71" t="n"/>
    </row>
    <row r="588" ht="15.75" customHeight="1">
      <c r="A588" s="71" t="n"/>
      <c r="B588" s="71" t="n"/>
      <c r="C588" s="71" t="n"/>
      <c r="D588" s="71" t="n"/>
      <c r="E588" s="71" t="n"/>
      <c r="F588" s="71" t="n"/>
      <c r="G588" s="71" t="n"/>
      <c r="H588" s="71" t="n"/>
      <c r="I588" s="71" t="n"/>
      <c r="J588" s="71" t="n"/>
      <c r="K588" s="71" t="n"/>
      <c r="L588" s="71" t="n"/>
      <c r="M588" s="71" t="n"/>
      <c r="N588" s="71" t="n"/>
      <c r="O588" s="71" t="n"/>
      <c r="P588" s="71" t="n"/>
      <c r="Q588" s="71" t="n"/>
      <c r="R588" s="71" t="n"/>
      <c r="S588" s="71" t="n"/>
      <c r="T588" s="71" t="n"/>
      <c r="U588" s="71" t="n"/>
      <c r="V588" s="71" t="n"/>
      <c r="W588" s="71" t="n"/>
      <c r="X588" s="71" t="n"/>
      <c r="Y588" s="71" t="n"/>
      <c r="Z588" s="71" t="n"/>
    </row>
    <row r="589" ht="15.75" customHeight="1">
      <c r="A589" s="71" t="n"/>
      <c r="B589" s="71" t="n"/>
      <c r="C589" s="71" t="n"/>
      <c r="D589" s="71" t="n"/>
      <c r="E589" s="71" t="n"/>
      <c r="F589" s="71" t="n"/>
      <c r="G589" s="71" t="n"/>
      <c r="H589" s="71" t="n"/>
      <c r="I589" s="71" t="n"/>
      <c r="J589" s="71" t="n"/>
      <c r="K589" s="71" t="n"/>
      <c r="L589" s="71" t="n"/>
      <c r="M589" s="71" t="n"/>
      <c r="N589" s="71" t="n"/>
      <c r="O589" s="71" t="n"/>
      <c r="P589" s="71" t="n"/>
      <c r="Q589" s="71" t="n"/>
      <c r="R589" s="71" t="n"/>
      <c r="S589" s="71" t="n"/>
      <c r="T589" s="71" t="n"/>
      <c r="U589" s="71" t="n"/>
      <c r="V589" s="71" t="n"/>
      <c r="W589" s="71" t="n"/>
      <c r="X589" s="71" t="n"/>
      <c r="Y589" s="71" t="n"/>
      <c r="Z589" s="71" t="n"/>
    </row>
    <row r="590" ht="15.75" customHeight="1">
      <c r="A590" s="71" t="n"/>
      <c r="B590" s="71" t="n"/>
      <c r="C590" s="71" t="n"/>
      <c r="D590" s="71" t="n"/>
      <c r="E590" s="71" t="n"/>
      <c r="F590" s="71" t="n"/>
      <c r="G590" s="71" t="n"/>
      <c r="H590" s="71" t="n"/>
      <c r="I590" s="71" t="n"/>
      <c r="J590" s="71" t="n"/>
      <c r="K590" s="71" t="n"/>
      <c r="L590" s="71" t="n"/>
      <c r="M590" s="71" t="n"/>
      <c r="N590" s="71" t="n"/>
      <c r="O590" s="71" t="n"/>
      <c r="P590" s="71" t="n"/>
      <c r="Q590" s="71" t="n"/>
      <c r="R590" s="71" t="n"/>
      <c r="S590" s="71" t="n"/>
      <c r="T590" s="71" t="n"/>
      <c r="U590" s="71" t="n"/>
      <c r="V590" s="71" t="n"/>
      <c r="W590" s="71" t="n"/>
      <c r="X590" s="71" t="n"/>
      <c r="Y590" s="71" t="n"/>
      <c r="Z590" s="71" t="n"/>
    </row>
    <row r="591" ht="15.75" customHeight="1">
      <c r="A591" s="71" t="n"/>
      <c r="B591" s="71" t="n"/>
      <c r="C591" s="71" t="n"/>
      <c r="D591" s="71" t="n"/>
      <c r="E591" s="71" t="n"/>
      <c r="F591" s="71" t="n"/>
      <c r="G591" s="71" t="n"/>
      <c r="H591" s="71" t="n"/>
      <c r="I591" s="71" t="n"/>
      <c r="J591" s="71" t="n"/>
      <c r="K591" s="71" t="n"/>
      <c r="L591" s="71" t="n"/>
      <c r="M591" s="71" t="n"/>
      <c r="N591" s="71" t="n"/>
      <c r="O591" s="71" t="n"/>
      <c r="P591" s="71" t="n"/>
      <c r="Q591" s="71" t="n"/>
      <c r="R591" s="71" t="n"/>
      <c r="S591" s="71" t="n"/>
      <c r="T591" s="71" t="n"/>
      <c r="U591" s="71" t="n"/>
      <c r="V591" s="71" t="n"/>
      <c r="W591" s="71" t="n"/>
      <c r="X591" s="71" t="n"/>
      <c r="Y591" s="71" t="n"/>
      <c r="Z591" s="71" t="n"/>
    </row>
    <row r="592" ht="15.75" customHeight="1">
      <c r="A592" s="71" t="n"/>
      <c r="B592" s="71" t="n"/>
      <c r="C592" s="71" t="n"/>
      <c r="D592" s="71" t="n"/>
      <c r="E592" s="71" t="n"/>
      <c r="F592" s="71" t="n"/>
      <c r="G592" s="71" t="n"/>
      <c r="H592" s="71" t="n"/>
      <c r="I592" s="71" t="n"/>
      <c r="J592" s="71" t="n"/>
      <c r="K592" s="71" t="n"/>
      <c r="L592" s="71" t="n"/>
      <c r="M592" s="71" t="n"/>
      <c r="N592" s="71" t="n"/>
      <c r="O592" s="71" t="n"/>
      <c r="P592" s="71" t="n"/>
      <c r="Q592" s="71" t="n"/>
      <c r="R592" s="71" t="n"/>
      <c r="S592" s="71" t="n"/>
      <c r="T592" s="71" t="n"/>
      <c r="U592" s="71" t="n"/>
      <c r="V592" s="71" t="n"/>
      <c r="W592" s="71" t="n"/>
      <c r="X592" s="71" t="n"/>
      <c r="Y592" s="71" t="n"/>
      <c r="Z592" s="71" t="n"/>
    </row>
    <row r="593" ht="15.75" customHeight="1">
      <c r="A593" s="71" t="n"/>
      <c r="B593" s="71" t="n"/>
      <c r="C593" s="71" t="n"/>
      <c r="D593" s="71" t="n"/>
      <c r="E593" s="71" t="n"/>
      <c r="F593" s="71" t="n"/>
      <c r="G593" s="71" t="n"/>
      <c r="H593" s="71" t="n"/>
      <c r="I593" s="71" t="n"/>
      <c r="J593" s="71" t="n"/>
      <c r="K593" s="71" t="n"/>
      <c r="L593" s="71" t="n"/>
      <c r="M593" s="71" t="n"/>
      <c r="N593" s="71" t="n"/>
      <c r="O593" s="71" t="n"/>
      <c r="P593" s="71" t="n"/>
      <c r="Q593" s="71" t="n"/>
      <c r="R593" s="71" t="n"/>
      <c r="S593" s="71" t="n"/>
      <c r="T593" s="71" t="n"/>
      <c r="U593" s="71" t="n"/>
      <c r="V593" s="71" t="n"/>
      <c r="W593" s="71" t="n"/>
      <c r="X593" s="71" t="n"/>
      <c r="Y593" s="71" t="n"/>
      <c r="Z593" s="71" t="n"/>
    </row>
    <row r="594" ht="15.75" customHeight="1">
      <c r="A594" s="71" t="n"/>
      <c r="B594" s="71" t="n"/>
      <c r="C594" s="71" t="n"/>
      <c r="D594" s="71" t="n"/>
      <c r="E594" s="71" t="n"/>
      <c r="F594" s="71" t="n"/>
      <c r="G594" s="71" t="n"/>
      <c r="H594" s="71" t="n"/>
      <c r="I594" s="71" t="n"/>
      <c r="J594" s="71" t="n"/>
      <c r="K594" s="71" t="n"/>
      <c r="L594" s="71" t="n"/>
      <c r="M594" s="71" t="n"/>
      <c r="N594" s="71" t="n"/>
      <c r="O594" s="71" t="n"/>
      <c r="P594" s="71" t="n"/>
      <c r="Q594" s="71" t="n"/>
      <c r="R594" s="71" t="n"/>
      <c r="S594" s="71" t="n"/>
      <c r="T594" s="71" t="n"/>
      <c r="U594" s="71" t="n"/>
      <c r="V594" s="71" t="n"/>
      <c r="W594" s="71" t="n"/>
      <c r="X594" s="71" t="n"/>
      <c r="Y594" s="71" t="n"/>
      <c r="Z594" s="71" t="n"/>
    </row>
    <row r="595" ht="15.75" customHeight="1">
      <c r="A595" s="71" t="n"/>
      <c r="B595" s="71" t="n"/>
      <c r="C595" s="71" t="n"/>
      <c r="D595" s="71" t="n"/>
      <c r="E595" s="71" t="n"/>
      <c r="F595" s="71" t="n"/>
      <c r="G595" s="71" t="n"/>
      <c r="H595" s="71" t="n"/>
      <c r="I595" s="71" t="n"/>
      <c r="J595" s="71" t="n"/>
      <c r="K595" s="71" t="n"/>
      <c r="L595" s="71" t="n"/>
      <c r="M595" s="71" t="n"/>
      <c r="N595" s="71" t="n"/>
      <c r="O595" s="71" t="n"/>
      <c r="P595" s="71" t="n"/>
      <c r="Q595" s="71" t="n"/>
      <c r="R595" s="71" t="n"/>
      <c r="S595" s="71" t="n"/>
      <c r="T595" s="71" t="n"/>
      <c r="U595" s="71" t="n"/>
      <c r="V595" s="71" t="n"/>
      <c r="W595" s="71" t="n"/>
      <c r="X595" s="71" t="n"/>
      <c r="Y595" s="71" t="n"/>
      <c r="Z595" s="71" t="n"/>
    </row>
    <row r="596" ht="15.75" customHeight="1">
      <c r="A596" s="71" t="n"/>
      <c r="B596" s="71" t="n"/>
      <c r="C596" s="71" t="n"/>
      <c r="D596" s="71" t="n"/>
      <c r="E596" s="71" t="n"/>
      <c r="F596" s="71" t="n"/>
      <c r="G596" s="71" t="n"/>
      <c r="H596" s="71" t="n"/>
      <c r="I596" s="71" t="n"/>
      <c r="J596" s="71" t="n"/>
      <c r="K596" s="71" t="n"/>
      <c r="L596" s="71" t="n"/>
      <c r="M596" s="71" t="n"/>
      <c r="N596" s="71" t="n"/>
      <c r="O596" s="71" t="n"/>
      <c r="P596" s="71" t="n"/>
      <c r="Q596" s="71" t="n"/>
      <c r="R596" s="71" t="n"/>
      <c r="S596" s="71" t="n"/>
      <c r="T596" s="71" t="n"/>
      <c r="U596" s="71" t="n"/>
      <c r="V596" s="71" t="n"/>
      <c r="W596" s="71" t="n"/>
      <c r="X596" s="71" t="n"/>
      <c r="Y596" s="71" t="n"/>
      <c r="Z596" s="71" t="n"/>
    </row>
    <row r="597" ht="15.75" customHeight="1">
      <c r="A597" s="71" t="n"/>
      <c r="B597" s="71" t="n"/>
      <c r="C597" s="71" t="n"/>
      <c r="D597" s="71" t="n"/>
      <c r="E597" s="71" t="n"/>
      <c r="F597" s="71" t="n"/>
      <c r="G597" s="71" t="n"/>
      <c r="H597" s="71" t="n"/>
      <c r="I597" s="71" t="n"/>
      <c r="J597" s="71" t="n"/>
      <c r="K597" s="71" t="n"/>
      <c r="L597" s="71" t="n"/>
      <c r="M597" s="71" t="n"/>
      <c r="N597" s="71" t="n"/>
      <c r="O597" s="71" t="n"/>
      <c r="P597" s="71" t="n"/>
      <c r="Q597" s="71" t="n"/>
      <c r="R597" s="71" t="n"/>
      <c r="S597" s="71" t="n"/>
      <c r="T597" s="71" t="n"/>
      <c r="U597" s="71" t="n"/>
      <c r="V597" s="71" t="n"/>
      <c r="W597" s="71" t="n"/>
      <c r="X597" s="71" t="n"/>
      <c r="Y597" s="71" t="n"/>
      <c r="Z597" s="71" t="n"/>
    </row>
    <row r="598" ht="15.75" customHeight="1">
      <c r="A598" s="71" t="n"/>
      <c r="B598" s="71" t="n"/>
      <c r="C598" s="71" t="n"/>
      <c r="D598" s="71" t="n"/>
      <c r="E598" s="71" t="n"/>
      <c r="F598" s="71" t="n"/>
      <c r="G598" s="71" t="n"/>
      <c r="H598" s="71" t="n"/>
      <c r="I598" s="71" t="n"/>
      <c r="J598" s="71" t="n"/>
      <c r="K598" s="71" t="n"/>
      <c r="L598" s="71" t="n"/>
      <c r="M598" s="71" t="n"/>
      <c r="N598" s="71" t="n"/>
      <c r="O598" s="71" t="n"/>
      <c r="P598" s="71" t="n"/>
      <c r="Q598" s="71" t="n"/>
      <c r="R598" s="71" t="n"/>
      <c r="S598" s="71" t="n"/>
      <c r="T598" s="71" t="n"/>
      <c r="U598" s="71" t="n"/>
      <c r="V598" s="71" t="n"/>
      <c r="W598" s="71" t="n"/>
      <c r="X598" s="71" t="n"/>
      <c r="Y598" s="71" t="n"/>
      <c r="Z598" s="71" t="n"/>
    </row>
    <row r="599" ht="15.75" customHeight="1">
      <c r="A599" s="71" t="n"/>
      <c r="B599" s="71" t="n"/>
      <c r="C599" s="71" t="n"/>
      <c r="D599" s="71" t="n"/>
      <c r="E599" s="71" t="n"/>
      <c r="F599" s="71" t="n"/>
      <c r="G599" s="71" t="n"/>
      <c r="H599" s="71" t="n"/>
      <c r="I599" s="71" t="n"/>
      <c r="J599" s="71" t="n"/>
      <c r="K599" s="71" t="n"/>
      <c r="L599" s="71" t="n"/>
      <c r="M599" s="71" t="n"/>
      <c r="N599" s="71" t="n"/>
      <c r="O599" s="71" t="n"/>
      <c r="P599" s="71" t="n"/>
      <c r="Q599" s="71" t="n"/>
      <c r="R599" s="71" t="n"/>
      <c r="S599" s="71" t="n"/>
      <c r="T599" s="71" t="n"/>
      <c r="U599" s="71" t="n"/>
      <c r="V599" s="71" t="n"/>
      <c r="W599" s="71" t="n"/>
      <c r="X599" s="71" t="n"/>
      <c r="Y599" s="71" t="n"/>
      <c r="Z599" s="71" t="n"/>
    </row>
    <row r="600" ht="15.75" customHeight="1">
      <c r="A600" s="71" t="n"/>
      <c r="B600" s="71" t="n"/>
      <c r="C600" s="71" t="n"/>
      <c r="D600" s="71" t="n"/>
      <c r="E600" s="71" t="n"/>
      <c r="F600" s="71" t="n"/>
      <c r="G600" s="71" t="n"/>
      <c r="H600" s="71" t="n"/>
      <c r="I600" s="71" t="n"/>
      <c r="J600" s="71" t="n"/>
      <c r="K600" s="71" t="n"/>
      <c r="L600" s="71" t="n"/>
      <c r="M600" s="71" t="n"/>
      <c r="N600" s="71" t="n"/>
      <c r="O600" s="71" t="n"/>
      <c r="P600" s="71" t="n"/>
      <c r="Q600" s="71" t="n"/>
      <c r="R600" s="71" t="n"/>
      <c r="S600" s="71" t="n"/>
      <c r="T600" s="71" t="n"/>
      <c r="U600" s="71" t="n"/>
      <c r="V600" s="71" t="n"/>
      <c r="W600" s="71" t="n"/>
      <c r="X600" s="71" t="n"/>
      <c r="Y600" s="71" t="n"/>
      <c r="Z600" s="71" t="n"/>
    </row>
    <row r="601" ht="15.75" customHeight="1">
      <c r="A601" s="71" t="n"/>
      <c r="B601" s="71" t="n"/>
      <c r="C601" s="71" t="n"/>
      <c r="D601" s="71" t="n"/>
      <c r="E601" s="71" t="n"/>
      <c r="F601" s="71" t="n"/>
      <c r="G601" s="71" t="n"/>
      <c r="H601" s="71" t="n"/>
      <c r="I601" s="71" t="n"/>
      <c r="J601" s="71" t="n"/>
      <c r="K601" s="71" t="n"/>
      <c r="L601" s="71" t="n"/>
      <c r="M601" s="71" t="n"/>
      <c r="N601" s="71" t="n"/>
      <c r="O601" s="71" t="n"/>
      <c r="P601" s="71" t="n"/>
      <c r="Q601" s="71" t="n"/>
      <c r="R601" s="71" t="n"/>
      <c r="S601" s="71" t="n"/>
      <c r="T601" s="71" t="n"/>
      <c r="U601" s="71" t="n"/>
      <c r="V601" s="71" t="n"/>
      <c r="W601" s="71" t="n"/>
      <c r="X601" s="71" t="n"/>
      <c r="Y601" s="71" t="n"/>
      <c r="Z601" s="71" t="n"/>
    </row>
    <row r="602" ht="15.75" customHeight="1">
      <c r="A602" s="71" t="n"/>
      <c r="B602" s="71" t="n"/>
      <c r="C602" s="71" t="n"/>
      <c r="D602" s="71" t="n"/>
      <c r="E602" s="71" t="n"/>
      <c r="F602" s="71" t="n"/>
      <c r="G602" s="71" t="n"/>
      <c r="H602" s="71" t="n"/>
      <c r="I602" s="71" t="n"/>
      <c r="J602" s="71" t="n"/>
      <c r="K602" s="71" t="n"/>
      <c r="L602" s="71" t="n"/>
      <c r="M602" s="71" t="n"/>
      <c r="N602" s="71" t="n"/>
      <c r="O602" s="71" t="n"/>
      <c r="P602" s="71" t="n"/>
      <c r="Q602" s="71" t="n"/>
      <c r="R602" s="71" t="n"/>
      <c r="S602" s="71" t="n"/>
      <c r="T602" s="71" t="n"/>
      <c r="U602" s="71" t="n"/>
      <c r="V602" s="71" t="n"/>
      <c r="W602" s="71" t="n"/>
      <c r="X602" s="71" t="n"/>
      <c r="Y602" s="71" t="n"/>
      <c r="Z602" s="71" t="n"/>
    </row>
    <row r="603" ht="15.75" customHeight="1">
      <c r="A603" s="71" t="n"/>
      <c r="B603" s="71" t="n"/>
      <c r="C603" s="71" t="n"/>
      <c r="D603" s="71" t="n"/>
      <c r="E603" s="71" t="n"/>
      <c r="F603" s="71" t="n"/>
      <c r="G603" s="71" t="n"/>
      <c r="H603" s="71" t="n"/>
      <c r="I603" s="71" t="n"/>
      <c r="J603" s="71" t="n"/>
      <c r="K603" s="71" t="n"/>
      <c r="L603" s="71" t="n"/>
      <c r="M603" s="71" t="n"/>
      <c r="N603" s="71" t="n"/>
      <c r="O603" s="71" t="n"/>
      <c r="P603" s="71" t="n"/>
      <c r="Q603" s="71" t="n"/>
      <c r="R603" s="71" t="n"/>
      <c r="S603" s="71" t="n"/>
      <c r="T603" s="71" t="n"/>
      <c r="U603" s="71" t="n"/>
      <c r="V603" s="71" t="n"/>
      <c r="W603" s="71" t="n"/>
      <c r="X603" s="71" t="n"/>
      <c r="Y603" s="71" t="n"/>
      <c r="Z603" s="71" t="n"/>
    </row>
    <row r="604" ht="15.75" customHeight="1">
      <c r="A604" s="71" t="n"/>
      <c r="B604" s="71" t="n"/>
      <c r="C604" s="71" t="n"/>
      <c r="D604" s="71" t="n"/>
      <c r="E604" s="71" t="n"/>
      <c r="F604" s="71" t="n"/>
      <c r="G604" s="71" t="n"/>
      <c r="H604" s="71" t="n"/>
      <c r="I604" s="71" t="n"/>
      <c r="J604" s="71" t="n"/>
      <c r="K604" s="71" t="n"/>
      <c r="L604" s="71" t="n"/>
      <c r="M604" s="71" t="n"/>
      <c r="N604" s="71" t="n"/>
      <c r="O604" s="71" t="n"/>
      <c r="P604" s="71" t="n"/>
      <c r="Q604" s="71" t="n"/>
      <c r="R604" s="71" t="n"/>
      <c r="S604" s="71" t="n"/>
      <c r="T604" s="71" t="n"/>
      <c r="U604" s="71" t="n"/>
      <c r="V604" s="71" t="n"/>
      <c r="W604" s="71" t="n"/>
      <c r="X604" s="71" t="n"/>
      <c r="Y604" s="71" t="n"/>
      <c r="Z604" s="71" t="n"/>
    </row>
    <row r="605" ht="15.75" customHeight="1">
      <c r="A605" s="71" t="n"/>
      <c r="B605" s="71" t="n"/>
      <c r="C605" s="71" t="n"/>
      <c r="D605" s="71" t="n"/>
      <c r="E605" s="71" t="n"/>
      <c r="F605" s="71" t="n"/>
      <c r="G605" s="71" t="n"/>
      <c r="H605" s="71" t="n"/>
      <c r="I605" s="71" t="n"/>
      <c r="J605" s="71" t="n"/>
      <c r="K605" s="71" t="n"/>
      <c r="L605" s="71" t="n"/>
      <c r="M605" s="71" t="n"/>
      <c r="N605" s="71" t="n"/>
      <c r="O605" s="71" t="n"/>
      <c r="P605" s="71" t="n"/>
      <c r="Q605" s="71" t="n"/>
      <c r="R605" s="71" t="n"/>
      <c r="S605" s="71" t="n"/>
      <c r="T605" s="71" t="n"/>
      <c r="U605" s="71" t="n"/>
      <c r="V605" s="71" t="n"/>
      <c r="W605" s="71" t="n"/>
      <c r="X605" s="71" t="n"/>
      <c r="Y605" s="71" t="n"/>
      <c r="Z605" s="71" t="n"/>
    </row>
    <row r="606" ht="15.75" customHeight="1">
      <c r="A606" s="71" t="n"/>
      <c r="B606" s="71" t="n"/>
      <c r="C606" s="71" t="n"/>
      <c r="D606" s="71" t="n"/>
      <c r="E606" s="71" t="n"/>
      <c r="F606" s="71" t="n"/>
      <c r="G606" s="71" t="n"/>
      <c r="H606" s="71" t="n"/>
      <c r="I606" s="71" t="n"/>
      <c r="J606" s="71" t="n"/>
      <c r="K606" s="71" t="n"/>
      <c r="L606" s="71" t="n"/>
      <c r="M606" s="71" t="n"/>
      <c r="N606" s="71" t="n"/>
      <c r="O606" s="71" t="n"/>
      <c r="P606" s="71" t="n"/>
      <c r="Q606" s="71" t="n"/>
      <c r="R606" s="71" t="n"/>
      <c r="S606" s="71" t="n"/>
      <c r="T606" s="71" t="n"/>
      <c r="U606" s="71" t="n"/>
      <c r="V606" s="71" t="n"/>
      <c r="W606" s="71" t="n"/>
      <c r="X606" s="71" t="n"/>
      <c r="Y606" s="71" t="n"/>
      <c r="Z606" s="71" t="n"/>
    </row>
    <row r="607" ht="15.75" customHeight="1">
      <c r="A607" s="71" t="n"/>
      <c r="B607" s="71" t="n"/>
      <c r="C607" s="71" t="n"/>
      <c r="D607" s="71" t="n"/>
      <c r="E607" s="71" t="n"/>
      <c r="F607" s="71" t="n"/>
      <c r="G607" s="71" t="n"/>
      <c r="H607" s="71" t="n"/>
      <c r="I607" s="71" t="n"/>
      <c r="J607" s="71" t="n"/>
      <c r="K607" s="71" t="n"/>
      <c r="L607" s="71" t="n"/>
      <c r="M607" s="71" t="n"/>
      <c r="N607" s="71" t="n"/>
      <c r="O607" s="71" t="n"/>
      <c r="P607" s="71" t="n"/>
      <c r="Q607" s="71" t="n"/>
      <c r="R607" s="71" t="n"/>
      <c r="S607" s="71" t="n"/>
      <c r="T607" s="71" t="n"/>
      <c r="U607" s="71" t="n"/>
      <c r="V607" s="71" t="n"/>
      <c r="W607" s="71" t="n"/>
      <c r="X607" s="71" t="n"/>
      <c r="Y607" s="71" t="n"/>
      <c r="Z607" s="71" t="n"/>
    </row>
    <row r="608" ht="15.75" customHeight="1">
      <c r="A608" s="71" t="n"/>
      <c r="B608" s="71" t="n"/>
      <c r="C608" s="71" t="n"/>
      <c r="D608" s="71" t="n"/>
      <c r="E608" s="71" t="n"/>
      <c r="F608" s="71" t="n"/>
      <c r="G608" s="71" t="n"/>
      <c r="H608" s="71" t="n"/>
      <c r="I608" s="71" t="n"/>
      <c r="J608" s="71" t="n"/>
      <c r="K608" s="71" t="n"/>
      <c r="L608" s="71" t="n"/>
      <c r="M608" s="71" t="n"/>
      <c r="N608" s="71" t="n"/>
      <c r="O608" s="71" t="n"/>
      <c r="P608" s="71" t="n"/>
      <c r="Q608" s="71" t="n"/>
      <c r="R608" s="71" t="n"/>
      <c r="S608" s="71" t="n"/>
      <c r="T608" s="71" t="n"/>
      <c r="U608" s="71" t="n"/>
      <c r="V608" s="71" t="n"/>
      <c r="W608" s="71" t="n"/>
      <c r="X608" s="71" t="n"/>
      <c r="Y608" s="71" t="n"/>
      <c r="Z608" s="71" t="n"/>
    </row>
    <row r="609" ht="15.75" customHeight="1">
      <c r="A609" s="71" t="n"/>
      <c r="B609" s="71" t="n"/>
      <c r="C609" s="71" t="n"/>
      <c r="D609" s="71" t="n"/>
      <c r="E609" s="71" t="n"/>
      <c r="F609" s="71" t="n"/>
      <c r="G609" s="71" t="n"/>
      <c r="H609" s="71" t="n"/>
      <c r="I609" s="71" t="n"/>
      <c r="J609" s="71" t="n"/>
      <c r="K609" s="71" t="n"/>
      <c r="L609" s="71" t="n"/>
      <c r="M609" s="71" t="n"/>
      <c r="N609" s="71" t="n"/>
      <c r="O609" s="71" t="n"/>
      <c r="P609" s="71" t="n"/>
      <c r="Q609" s="71" t="n"/>
      <c r="R609" s="71" t="n"/>
      <c r="S609" s="71" t="n"/>
      <c r="T609" s="71" t="n"/>
      <c r="U609" s="71" t="n"/>
      <c r="V609" s="71" t="n"/>
      <c r="W609" s="71" t="n"/>
      <c r="X609" s="71" t="n"/>
      <c r="Y609" s="71" t="n"/>
      <c r="Z609" s="71" t="n"/>
    </row>
    <row r="610" ht="15.75" customHeight="1">
      <c r="A610" s="71" t="n"/>
      <c r="B610" s="71" t="n"/>
      <c r="C610" s="71" t="n"/>
      <c r="D610" s="71" t="n"/>
      <c r="E610" s="71" t="n"/>
      <c r="F610" s="71" t="n"/>
      <c r="G610" s="71" t="n"/>
      <c r="H610" s="71" t="n"/>
      <c r="I610" s="71" t="n"/>
      <c r="J610" s="71" t="n"/>
      <c r="K610" s="71" t="n"/>
      <c r="L610" s="71" t="n"/>
      <c r="M610" s="71" t="n"/>
      <c r="N610" s="71" t="n"/>
      <c r="O610" s="71" t="n"/>
      <c r="P610" s="71" t="n"/>
      <c r="Q610" s="71" t="n"/>
      <c r="R610" s="71" t="n"/>
      <c r="S610" s="71" t="n"/>
      <c r="T610" s="71" t="n"/>
      <c r="U610" s="71" t="n"/>
      <c r="V610" s="71" t="n"/>
      <c r="W610" s="71" t="n"/>
      <c r="X610" s="71" t="n"/>
      <c r="Y610" s="71" t="n"/>
      <c r="Z610" s="71" t="n"/>
    </row>
    <row r="611" ht="15.75" customHeight="1">
      <c r="A611" s="71" t="n"/>
      <c r="B611" s="71" t="n"/>
      <c r="C611" s="71" t="n"/>
      <c r="D611" s="71" t="n"/>
      <c r="E611" s="71" t="n"/>
      <c r="F611" s="71" t="n"/>
      <c r="G611" s="71" t="n"/>
      <c r="H611" s="71" t="n"/>
      <c r="I611" s="71" t="n"/>
      <c r="J611" s="71" t="n"/>
      <c r="K611" s="71" t="n"/>
      <c r="L611" s="71" t="n"/>
      <c r="M611" s="71" t="n"/>
      <c r="N611" s="71" t="n"/>
      <c r="O611" s="71" t="n"/>
      <c r="P611" s="71" t="n"/>
      <c r="Q611" s="71" t="n"/>
      <c r="R611" s="71" t="n"/>
      <c r="S611" s="71" t="n"/>
      <c r="T611" s="71" t="n"/>
      <c r="U611" s="71" t="n"/>
      <c r="V611" s="71" t="n"/>
      <c r="W611" s="71" t="n"/>
      <c r="X611" s="71" t="n"/>
      <c r="Y611" s="71" t="n"/>
      <c r="Z611" s="71" t="n"/>
    </row>
    <row r="612" ht="15.75" customHeight="1">
      <c r="A612" s="71" t="n"/>
      <c r="B612" s="71" t="n"/>
      <c r="C612" s="71" t="n"/>
      <c r="D612" s="71" t="n"/>
      <c r="E612" s="71" t="n"/>
      <c r="F612" s="71" t="n"/>
      <c r="G612" s="71" t="n"/>
      <c r="H612" s="71" t="n"/>
      <c r="I612" s="71" t="n"/>
      <c r="J612" s="71" t="n"/>
      <c r="K612" s="71" t="n"/>
      <c r="L612" s="71" t="n"/>
      <c r="M612" s="71" t="n"/>
      <c r="N612" s="71" t="n"/>
      <c r="O612" s="71" t="n"/>
      <c r="P612" s="71" t="n"/>
      <c r="Q612" s="71" t="n"/>
      <c r="R612" s="71" t="n"/>
      <c r="S612" s="71" t="n"/>
      <c r="T612" s="71" t="n"/>
      <c r="U612" s="71" t="n"/>
      <c r="V612" s="71" t="n"/>
      <c r="W612" s="71" t="n"/>
      <c r="X612" s="71" t="n"/>
      <c r="Y612" s="71" t="n"/>
      <c r="Z612" s="71" t="n"/>
    </row>
    <row r="613" ht="15.75" customHeight="1">
      <c r="A613" s="71" t="n"/>
      <c r="B613" s="71" t="n"/>
      <c r="C613" s="71" t="n"/>
      <c r="D613" s="71" t="n"/>
      <c r="E613" s="71" t="n"/>
      <c r="F613" s="71" t="n"/>
      <c r="G613" s="71" t="n"/>
      <c r="H613" s="71" t="n"/>
      <c r="I613" s="71" t="n"/>
      <c r="J613" s="71" t="n"/>
      <c r="K613" s="71" t="n"/>
      <c r="L613" s="71" t="n"/>
      <c r="M613" s="71" t="n"/>
      <c r="N613" s="71" t="n"/>
      <c r="O613" s="71" t="n"/>
      <c r="P613" s="71" t="n"/>
      <c r="Q613" s="71" t="n"/>
      <c r="R613" s="71" t="n"/>
      <c r="S613" s="71" t="n"/>
      <c r="T613" s="71" t="n"/>
      <c r="U613" s="71" t="n"/>
      <c r="V613" s="71" t="n"/>
      <c r="W613" s="71" t="n"/>
      <c r="X613" s="71" t="n"/>
      <c r="Y613" s="71" t="n"/>
      <c r="Z613" s="71" t="n"/>
    </row>
    <row r="614" ht="15.75" customHeight="1">
      <c r="A614" s="71" t="n"/>
      <c r="B614" s="71" t="n"/>
      <c r="C614" s="71" t="n"/>
      <c r="D614" s="71" t="n"/>
      <c r="E614" s="71" t="n"/>
      <c r="F614" s="71" t="n"/>
      <c r="G614" s="71" t="n"/>
      <c r="H614" s="71" t="n"/>
      <c r="I614" s="71" t="n"/>
      <c r="J614" s="71" t="n"/>
      <c r="K614" s="71" t="n"/>
      <c r="L614" s="71" t="n"/>
      <c r="M614" s="71" t="n"/>
      <c r="N614" s="71" t="n"/>
      <c r="O614" s="71" t="n"/>
      <c r="P614" s="71" t="n"/>
      <c r="Q614" s="71" t="n"/>
      <c r="R614" s="71" t="n"/>
      <c r="S614" s="71" t="n"/>
      <c r="T614" s="71" t="n"/>
      <c r="U614" s="71" t="n"/>
      <c r="V614" s="71" t="n"/>
      <c r="W614" s="71" t="n"/>
      <c r="X614" s="71" t="n"/>
      <c r="Y614" s="71" t="n"/>
      <c r="Z614" s="71" t="n"/>
    </row>
    <row r="615" ht="15.75" customHeight="1">
      <c r="A615" s="71" t="n"/>
      <c r="B615" s="71" t="n"/>
      <c r="C615" s="71" t="n"/>
      <c r="D615" s="71" t="n"/>
      <c r="E615" s="71" t="n"/>
      <c r="F615" s="71" t="n"/>
      <c r="G615" s="71" t="n"/>
      <c r="H615" s="71" t="n"/>
      <c r="I615" s="71" t="n"/>
      <c r="J615" s="71" t="n"/>
      <c r="K615" s="71" t="n"/>
      <c r="L615" s="71" t="n"/>
      <c r="M615" s="71" t="n"/>
      <c r="N615" s="71" t="n"/>
      <c r="O615" s="71" t="n"/>
      <c r="P615" s="71" t="n"/>
      <c r="Q615" s="71" t="n"/>
      <c r="R615" s="71" t="n"/>
      <c r="S615" s="71" t="n"/>
      <c r="T615" s="71" t="n"/>
      <c r="U615" s="71" t="n"/>
      <c r="V615" s="71" t="n"/>
      <c r="W615" s="71" t="n"/>
      <c r="X615" s="71" t="n"/>
      <c r="Y615" s="71" t="n"/>
      <c r="Z615" s="71" t="n"/>
    </row>
    <row r="616" ht="15.75" customHeight="1">
      <c r="A616" s="71" t="n"/>
      <c r="B616" s="71" t="n"/>
      <c r="C616" s="71" t="n"/>
      <c r="D616" s="71" t="n"/>
      <c r="E616" s="71" t="n"/>
      <c r="F616" s="71" t="n"/>
      <c r="G616" s="71" t="n"/>
      <c r="H616" s="71" t="n"/>
      <c r="I616" s="71" t="n"/>
      <c r="J616" s="71" t="n"/>
      <c r="K616" s="71" t="n"/>
      <c r="L616" s="71" t="n"/>
      <c r="M616" s="71" t="n"/>
      <c r="N616" s="71" t="n"/>
      <c r="O616" s="71" t="n"/>
      <c r="P616" s="71" t="n"/>
      <c r="Q616" s="71" t="n"/>
      <c r="R616" s="71" t="n"/>
      <c r="S616" s="71" t="n"/>
      <c r="T616" s="71" t="n"/>
      <c r="U616" s="71" t="n"/>
      <c r="V616" s="71" t="n"/>
      <c r="W616" s="71" t="n"/>
      <c r="X616" s="71" t="n"/>
      <c r="Y616" s="71" t="n"/>
      <c r="Z616" s="71" t="n"/>
    </row>
    <row r="617" ht="15.75" customHeight="1">
      <c r="A617" s="71" t="n"/>
      <c r="B617" s="71" t="n"/>
      <c r="C617" s="71" t="n"/>
      <c r="D617" s="71" t="n"/>
      <c r="E617" s="71" t="n"/>
      <c r="F617" s="71" t="n"/>
      <c r="G617" s="71" t="n"/>
      <c r="H617" s="71" t="n"/>
      <c r="I617" s="71" t="n"/>
      <c r="J617" s="71" t="n"/>
      <c r="K617" s="71" t="n"/>
      <c r="L617" s="71" t="n"/>
      <c r="M617" s="71" t="n"/>
      <c r="N617" s="71" t="n"/>
      <c r="O617" s="71" t="n"/>
      <c r="P617" s="71" t="n"/>
      <c r="Q617" s="71" t="n"/>
      <c r="R617" s="71" t="n"/>
      <c r="S617" s="71" t="n"/>
      <c r="T617" s="71" t="n"/>
      <c r="U617" s="71" t="n"/>
      <c r="V617" s="71" t="n"/>
      <c r="W617" s="71" t="n"/>
      <c r="X617" s="71" t="n"/>
      <c r="Y617" s="71" t="n"/>
      <c r="Z617" s="71" t="n"/>
    </row>
    <row r="618" ht="15.75" customHeight="1">
      <c r="A618" s="71" t="n"/>
      <c r="B618" s="71" t="n"/>
      <c r="C618" s="71" t="n"/>
      <c r="D618" s="71" t="n"/>
      <c r="E618" s="71" t="n"/>
      <c r="F618" s="71" t="n"/>
      <c r="G618" s="71" t="n"/>
      <c r="H618" s="71" t="n"/>
      <c r="I618" s="71" t="n"/>
      <c r="J618" s="71" t="n"/>
      <c r="K618" s="71" t="n"/>
      <c r="L618" s="71" t="n"/>
      <c r="M618" s="71" t="n"/>
      <c r="N618" s="71" t="n"/>
      <c r="O618" s="71" t="n"/>
      <c r="P618" s="71" t="n"/>
      <c r="Q618" s="71" t="n"/>
      <c r="R618" s="71" t="n"/>
      <c r="S618" s="71" t="n"/>
      <c r="T618" s="71" t="n"/>
      <c r="U618" s="71" t="n"/>
      <c r="V618" s="71" t="n"/>
      <c r="W618" s="71" t="n"/>
      <c r="X618" s="71" t="n"/>
      <c r="Y618" s="71" t="n"/>
      <c r="Z618" s="71" t="n"/>
    </row>
    <row r="619" ht="15.75" customHeight="1">
      <c r="A619" s="71" t="n"/>
      <c r="B619" s="71" t="n"/>
      <c r="C619" s="71" t="n"/>
      <c r="D619" s="71" t="n"/>
      <c r="E619" s="71" t="n"/>
      <c r="F619" s="71" t="n"/>
      <c r="G619" s="71" t="n"/>
      <c r="H619" s="71" t="n"/>
      <c r="I619" s="71" t="n"/>
      <c r="J619" s="71" t="n"/>
      <c r="K619" s="71" t="n"/>
      <c r="L619" s="71" t="n"/>
      <c r="M619" s="71" t="n"/>
      <c r="N619" s="71" t="n"/>
      <c r="O619" s="71" t="n"/>
      <c r="P619" s="71" t="n"/>
      <c r="Q619" s="71" t="n"/>
      <c r="R619" s="71" t="n"/>
      <c r="S619" s="71" t="n"/>
      <c r="T619" s="71" t="n"/>
      <c r="U619" s="71" t="n"/>
      <c r="V619" s="71" t="n"/>
      <c r="W619" s="71" t="n"/>
      <c r="X619" s="71" t="n"/>
      <c r="Y619" s="71" t="n"/>
      <c r="Z619" s="71" t="n"/>
    </row>
    <row r="620" ht="15.75" customHeight="1">
      <c r="A620" s="71" t="n"/>
      <c r="B620" s="71" t="n"/>
      <c r="C620" s="71" t="n"/>
      <c r="D620" s="71" t="n"/>
      <c r="E620" s="71" t="n"/>
      <c r="F620" s="71" t="n"/>
      <c r="G620" s="71" t="n"/>
      <c r="H620" s="71" t="n"/>
      <c r="I620" s="71" t="n"/>
      <c r="J620" s="71" t="n"/>
      <c r="K620" s="71" t="n"/>
      <c r="L620" s="71" t="n"/>
      <c r="M620" s="71" t="n"/>
      <c r="N620" s="71" t="n"/>
      <c r="O620" s="71" t="n"/>
      <c r="P620" s="71" t="n"/>
      <c r="Q620" s="71" t="n"/>
      <c r="R620" s="71" t="n"/>
      <c r="S620" s="71" t="n"/>
      <c r="T620" s="71" t="n"/>
      <c r="U620" s="71" t="n"/>
      <c r="V620" s="71" t="n"/>
      <c r="W620" s="71" t="n"/>
      <c r="X620" s="71" t="n"/>
      <c r="Y620" s="71" t="n"/>
      <c r="Z620" s="71" t="n"/>
    </row>
    <row r="621" ht="15.75" customHeight="1">
      <c r="A621" s="71" t="n"/>
      <c r="B621" s="71" t="n"/>
      <c r="C621" s="71" t="n"/>
      <c r="D621" s="71" t="n"/>
      <c r="E621" s="71" t="n"/>
      <c r="F621" s="71" t="n"/>
      <c r="G621" s="71" t="n"/>
      <c r="H621" s="71" t="n"/>
      <c r="I621" s="71" t="n"/>
      <c r="J621" s="71" t="n"/>
      <c r="K621" s="71" t="n"/>
      <c r="L621" s="71" t="n"/>
      <c r="M621" s="71" t="n"/>
      <c r="N621" s="71" t="n"/>
      <c r="O621" s="71" t="n"/>
      <c r="P621" s="71" t="n"/>
      <c r="Q621" s="71" t="n"/>
      <c r="R621" s="71" t="n"/>
      <c r="S621" s="71" t="n"/>
      <c r="T621" s="71" t="n"/>
      <c r="U621" s="71" t="n"/>
      <c r="V621" s="71" t="n"/>
      <c r="W621" s="71" t="n"/>
      <c r="X621" s="71" t="n"/>
      <c r="Y621" s="71" t="n"/>
      <c r="Z621" s="71" t="n"/>
    </row>
    <row r="622" ht="15.75" customHeight="1">
      <c r="A622" s="71" t="n"/>
      <c r="B622" s="71" t="n"/>
      <c r="C622" s="71" t="n"/>
      <c r="D622" s="71" t="n"/>
      <c r="E622" s="71" t="n"/>
      <c r="F622" s="71" t="n"/>
      <c r="G622" s="71" t="n"/>
      <c r="H622" s="71" t="n"/>
      <c r="I622" s="71" t="n"/>
      <c r="J622" s="71" t="n"/>
      <c r="K622" s="71" t="n"/>
      <c r="L622" s="71" t="n"/>
      <c r="M622" s="71" t="n"/>
      <c r="N622" s="71" t="n"/>
      <c r="O622" s="71" t="n"/>
      <c r="P622" s="71" t="n"/>
      <c r="Q622" s="71" t="n"/>
      <c r="R622" s="71" t="n"/>
      <c r="S622" s="71" t="n"/>
      <c r="T622" s="71" t="n"/>
      <c r="U622" s="71" t="n"/>
      <c r="V622" s="71" t="n"/>
      <c r="W622" s="71" t="n"/>
      <c r="X622" s="71" t="n"/>
      <c r="Y622" s="71" t="n"/>
      <c r="Z622" s="71" t="n"/>
    </row>
    <row r="623" ht="15.75" customHeight="1">
      <c r="A623" s="71" t="n"/>
      <c r="B623" s="71" t="n"/>
      <c r="C623" s="71" t="n"/>
      <c r="D623" s="71" t="n"/>
      <c r="E623" s="71" t="n"/>
      <c r="F623" s="71" t="n"/>
      <c r="G623" s="71" t="n"/>
      <c r="H623" s="71" t="n"/>
      <c r="I623" s="71" t="n"/>
      <c r="J623" s="71" t="n"/>
      <c r="K623" s="71" t="n"/>
      <c r="L623" s="71" t="n"/>
      <c r="M623" s="71" t="n"/>
      <c r="N623" s="71" t="n"/>
      <c r="O623" s="71" t="n"/>
      <c r="P623" s="71" t="n"/>
      <c r="Q623" s="71" t="n"/>
      <c r="R623" s="71" t="n"/>
      <c r="S623" s="71" t="n"/>
      <c r="T623" s="71" t="n"/>
      <c r="U623" s="71" t="n"/>
      <c r="V623" s="71" t="n"/>
      <c r="W623" s="71" t="n"/>
      <c r="X623" s="71" t="n"/>
      <c r="Y623" s="71" t="n"/>
      <c r="Z623" s="71" t="n"/>
    </row>
    <row r="624" ht="15.75" customHeight="1">
      <c r="A624" s="71" t="n"/>
      <c r="B624" s="71" t="n"/>
      <c r="C624" s="71" t="n"/>
      <c r="D624" s="71" t="n"/>
      <c r="E624" s="71" t="n"/>
      <c r="F624" s="71" t="n"/>
      <c r="G624" s="71" t="n"/>
      <c r="H624" s="71" t="n"/>
      <c r="I624" s="71" t="n"/>
      <c r="J624" s="71" t="n"/>
      <c r="K624" s="71" t="n"/>
      <c r="L624" s="71" t="n"/>
      <c r="M624" s="71" t="n"/>
      <c r="N624" s="71" t="n"/>
      <c r="O624" s="71" t="n"/>
      <c r="P624" s="71" t="n"/>
      <c r="Q624" s="71" t="n"/>
      <c r="R624" s="71" t="n"/>
      <c r="S624" s="71" t="n"/>
      <c r="T624" s="71" t="n"/>
      <c r="U624" s="71" t="n"/>
      <c r="V624" s="71" t="n"/>
      <c r="W624" s="71" t="n"/>
      <c r="X624" s="71" t="n"/>
      <c r="Y624" s="71" t="n"/>
      <c r="Z624" s="71" t="n"/>
    </row>
    <row r="625" ht="15.75" customHeight="1">
      <c r="A625" s="71" t="n"/>
      <c r="B625" s="71" t="n"/>
      <c r="C625" s="71" t="n"/>
      <c r="D625" s="71" t="n"/>
      <c r="E625" s="71" t="n"/>
      <c r="F625" s="71" t="n"/>
      <c r="G625" s="71" t="n"/>
      <c r="H625" s="71" t="n"/>
      <c r="I625" s="71" t="n"/>
      <c r="J625" s="71" t="n"/>
      <c r="K625" s="71" t="n"/>
      <c r="L625" s="71" t="n"/>
      <c r="M625" s="71" t="n"/>
      <c r="N625" s="71" t="n"/>
      <c r="O625" s="71" t="n"/>
      <c r="P625" s="71" t="n"/>
      <c r="Q625" s="71" t="n"/>
      <c r="R625" s="71" t="n"/>
      <c r="S625" s="71" t="n"/>
      <c r="T625" s="71" t="n"/>
      <c r="U625" s="71" t="n"/>
      <c r="V625" s="71" t="n"/>
      <c r="W625" s="71" t="n"/>
      <c r="X625" s="71" t="n"/>
      <c r="Y625" s="71" t="n"/>
      <c r="Z625" s="71" t="n"/>
    </row>
    <row r="626" ht="15.75" customHeight="1">
      <c r="A626" s="71" t="n"/>
      <c r="B626" s="71" t="n"/>
      <c r="C626" s="71" t="n"/>
      <c r="D626" s="71" t="n"/>
      <c r="E626" s="71" t="n"/>
      <c r="F626" s="71" t="n"/>
      <c r="G626" s="71" t="n"/>
      <c r="H626" s="71" t="n"/>
      <c r="I626" s="71" t="n"/>
      <c r="J626" s="71" t="n"/>
      <c r="K626" s="71" t="n"/>
      <c r="L626" s="71" t="n"/>
      <c r="M626" s="71" t="n"/>
      <c r="N626" s="71" t="n"/>
      <c r="O626" s="71" t="n"/>
      <c r="P626" s="71" t="n"/>
      <c r="Q626" s="71" t="n"/>
      <c r="R626" s="71" t="n"/>
      <c r="S626" s="71" t="n"/>
      <c r="T626" s="71" t="n"/>
      <c r="U626" s="71" t="n"/>
      <c r="V626" s="71" t="n"/>
      <c r="W626" s="71" t="n"/>
      <c r="X626" s="71" t="n"/>
      <c r="Y626" s="71" t="n"/>
      <c r="Z626" s="71" t="n"/>
    </row>
    <row r="627" ht="15.75" customHeight="1">
      <c r="A627" s="71" t="n"/>
      <c r="B627" s="71" t="n"/>
      <c r="C627" s="71" t="n"/>
      <c r="D627" s="71" t="n"/>
      <c r="E627" s="71" t="n"/>
      <c r="F627" s="71" t="n"/>
      <c r="G627" s="71" t="n"/>
      <c r="H627" s="71" t="n"/>
      <c r="I627" s="71" t="n"/>
      <c r="J627" s="71" t="n"/>
      <c r="K627" s="71" t="n"/>
      <c r="L627" s="71" t="n"/>
      <c r="M627" s="71" t="n"/>
      <c r="N627" s="71" t="n"/>
      <c r="O627" s="71" t="n"/>
      <c r="P627" s="71" t="n"/>
      <c r="Q627" s="71" t="n"/>
      <c r="R627" s="71" t="n"/>
      <c r="S627" s="71" t="n"/>
      <c r="T627" s="71" t="n"/>
      <c r="U627" s="71" t="n"/>
      <c r="V627" s="71" t="n"/>
      <c r="W627" s="71" t="n"/>
      <c r="X627" s="71" t="n"/>
      <c r="Y627" s="71" t="n"/>
      <c r="Z627" s="71" t="n"/>
    </row>
    <row r="628" ht="15.75" customHeight="1">
      <c r="A628" s="71" t="n"/>
      <c r="B628" s="71" t="n"/>
      <c r="C628" s="71" t="n"/>
      <c r="D628" s="71" t="n"/>
      <c r="E628" s="71" t="n"/>
      <c r="F628" s="71" t="n"/>
      <c r="G628" s="71" t="n"/>
      <c r="H628" s="71" t="n"/>
      <c r="I628" s="71" t="n"/>
      <c r="J628" s="71" t="n"/>
      <c r="K628" s="71" t="n"/>
      <c r="L628" s="71" t="n"/>
      <c r="M628" s="71" t="n"/>
      <c r="N628" s="71" t="n"/>
      <c r="O628" s="71" t="n"/>
      <c r="P628" s="71" t="n"/>
      <c r="Q628" s="71" t="n"/>
      <c r="R628" s="71" t="n"/>
      <c r="S628" s="71" t="n"/>
      <c r="T628" s="71" t="n"/>
      <c r="U628" s="71" t="n"/>
      <c r="V628" s="71" t="n"/>
      <c r="W628" s="71" t="n"/>
      <c r="X628" s="71" t="n"/>
      <c r="Y628" s="71" t="n"/>
      <c r="Z628" s="71" t="n"/>
    </row>
    <row r="629" ht="15.75" customHeight="1">
      <c r="A629" s="71" t="n"/>
      <c r="B629" s="71" t="n"/>
      <c r="C629" s="71" t="n"/>
      <c r="D629" s="71" t="n"/>
      <c r="E629" s="71" t="n"/>
      <c r="F629" s="71" t="n"/>
      <c r="G629" s="71" t="n"/>
      <c r="H629" s="71" t="n"/>
      <c r="I629" s="71" t="n"/>
      <c r="J629" s="71" t="n"/>
      <c r="K629" s="71" t="n"/>
      <c r="L629" s="71" t="n"/>
      <c r="M629" s="71" t="n"/>
      <c r="N629" s="71" t="n"/>
      <c r="O629" s="71" t="n"/>
      <c r="P629" s="71" t="n"/>
      <c r="Q629" s="71" t="n"/>
      <c r="R629" s="71" t="n"/>
      <c r="S629" s="71" t="n"/>
      <c r="T629" s="71" t="n"/>
      <c r="U629" s="71" t="n"/>
      <c r="V629" s="71" t="n"/>
      <c r="W629" s="71" t="n"/>
      <c r="X629" s="71" t="n"/>
      <c r="Y629" s="71" t="n"/>
      <c r="Z629" s="71" t="n"/>
    </row>
    <row r="630" ht="15.75" customHeight="1">
      <c r="A630" s="71" t="n"/>
      <c r="B630" s="71" t="n"/>
      <c r="C630" s="71" t="n"/>
      <c r="D630" s="71" t="n"/>
      <c r="E630" s="71" t="n"/>
      <c r="F630" s="71" t="n"/>
      <c r="G630" s="71" t="n"/>
      <c r="H630" s="71" t="n"/>
      <c r="I630" s="71" t="n"/>
      <c r="J630" s="71" t="n"/>
      <c r="K630" s="71" t="n"/>
      <c r="L630" s="71" t="n"/>
      <c r="M630" s="71" t="n"/>
      <c r="N630" s="71" t="n"/>
      <c r="O630" s="71" t="n"/>
      <c r="P630" s="71" t="n"/>
      <c r="Q630" s="71" t="n"/>
      <c r="R630" s="71" t="n"/>
      <c r="S630" s="71" t="n"/>
      <c r="T630" s="71" t="n"/>
      <c r="U630" s="71" t="n"/>
      <c r="V630" s="71" t="n"/>
      <c r="W630" s="71" t="n"/>
      <c r="X630" s="71" t="n"/>
      <c r="Y630" s="71" t="n"/>
      <c r="Z630" s="71" t="n"/>
    </row>
    <row r="631" ht="15.75" customHeight="1">
      <c r="A631" s="71" t="n"/>
      <c r="B631" s="71" t="n"/>
      <c r="C631" s="71" t="n"/>
      <c r="D631" s="71" t="n"/>
      <c r="E631" s="71" t="n"/>
      <c r="F631" s="71" t="n"/>
      <c r="G631" s="71" t="n"/>
      <c r="H631" s="71" t="n"/>
      <c r="I631" s="71" t="n"/>
      <c r="J631" s="71" t="n"/>
      <c r="K631" s="71" t="n"/>
      <c r="L631" s="71" t="n"/>
      <c r="M631" s="71" t="n"/>
      <c r="N631" s="71" t="n"/>
      <c r="O631" s="71" t="n"/>
      <c r="P631" s="71" t="n"/>
      <c r="Q631" s="71" t="n"/>
      <c r="R631" s="71" t="n"/>
      <c r="S631" s="71" t="n"/>
      <c r="T631" s="71" t="n"/>
      <c r="U631" s="71" t="n"/>
      <c r="V631" s="71" t="n"/>
      <c r="W631" s="71" t="n"/>
      <c r="X631" s="71" t="n"/>
      <c r="Y631" s="71" t="n"/>
      <c r="Z631" s="71" t="n"/>
    </row>
    <row r="632" ht="15.75" customHeight="1">
      <c r="A632" s="71" t="n"/>
      <c r="B632" s="71" t="n"/>
      <c r="C632" s="71" t="n"/>
      <c r="D632" s="71" t="n"/>
      <c r="E632" s="71" t="n"/>
      <c r="F632" s="71" t="n"/>
      <c r="G632" s="71" t="n"/>
      <c r="H632" s="71" t="n"/>
      <c r="I632" s="71" t="n"/>
      <c r="J632" s="71" t="n"/>
      <c r="K632" s="71" t="n"/>
      <c r="L632" s="71" t="n"/>
      <c r="M632" s="71" t="n"/>
      <c r="N632" s="71" t="n"/>
      <c r="O632" s="71" t="n"/>
      <c r="P632" s="71" t="n"/>
      <c r="Q632" s="71" t="n"/>
      <c r="R632" s="71" t="n"/>
      <c r="S632" s="71" t="n"/>
      <c r="T632" s="71" t="n"/>
      <c r="U632" s="71" t="n"/>
      <c r="V632" s="71" t="n"/>
      <c r="W632" s="71" t="n"/>
      <c r="X632" s="71" t="n"/>
      <c r="Y632" s="71" t="n"/>
      <c r="Z632" s="71" t="n"/>
    </row>
    <row r="633" ht="15.75" customHeight="1">
      <c r="A633" s="71" t="n"/>
      <c r="B633" s="71" t="n"/>
      <c r="C633" s="71" t="n"/>
      <c r="D633" s="71" t="n"/>
      <c r="E633" s="71" t="n"/>
      <c r="F633" s="71" t="n"/>
      <c r="G633" s="71" t="n"/>
      <c r="H633" s="71" t="n"/>
      <c r="I633" s="71" t="n"/>
      <c r="J633" s="71" t="n"/>
      <c r="K633" s="71" t="n"/>
      <c r="L633" s="71" t="n"/>
      <c r="M633" s="71" t="n"/>
      <c r="N633" s="71" t="n"/>
      <c r="O633" s="71" t="n"/>
      <c r="P633" s="71" t="n"/>
      <c r="Q633" s="71" t="n"/>
      <c r="R633" s="71" t="n"/>
      <c r="S633" s="71" t="n"/>
      <c r="T633" s="71" t="n"/>
      <c r="U633" s="71" t="n"/>
      <c r="V633" s="71" t="n"/>
      <c r="W633" s="71" t="n"/>
      <c r="X633" s="71" t="n"/>
      <c r="Y633" s="71" t="n"/>
      <c r="Z633" s="71" t="n"/>
    </row>
    <row r="634" ht="15.75" customHeight="1">
      <c r="A634" s="71" t="n"/>
      <c r="B634" s="71" t="n"/>
      <c r="C634" s="71" t="n"/>
      <c r="D634" s="71" t="n"/>
      <c r="E634" s="71" t="n"/>
      <c r="F634" s="71" t="n"/>
      <c r="G634" s="71" t="n"/>
      <c r="H634" s="71" t="n"/>
      <c r="I634" s="71" t="n"/>
      <c r="J634" s="71" t="n"/>
      <c r="K634" s="71" t="n"/>
      <c r="L634" s="71" t="n"/>
      <c r="M634" s="71" t="n"/>
      <c r="N634" s="71" t="n"/>
      <c r="O634" s="71" t="n"/>
      <c r="P634" s="71" t="n"/>
      <c r="Q634" s="71" t="n"/>
      <c r="R634" s="71" t="n"/>
      <c r="S634" s="71" t="n"/>
      <c r="T634" s="71" t="n"/>
      <c r="U634" s="71" t="n"/>
      <c r="V634" s="71" t="n"/>
      <c r="W634" s="71" t="n"/>
      <c r="X634" s="71" t="n"/>
      <c r="Y634" s="71" t="n"/>
      <c r="Z634" s="71" t="n"/>
    </row>
    <row r="635" ht="15.75" customHeight="1">
      <c r="A635" s="71" t="n"/>
      <c r="B635" s="71" t="n"/>
      <c r="C635" s="71" t="n"/>
      <c r="D635" s="71" t="n"/>
      <c r="E635" s="71" t="n"/>
      <c r="F635" s="71" t="n"/>
      <c r="G635" s="71" t="n"/>
      <c r="H635" s="71" t="n"/>
      <c r="I635" s="71" t="n"/>
      <c r="J635" s="71" t="n"/>
      <c r="K635" s="71" t="n"/>
      <c r="L635" s="71" t="n"/>
      <c r="M635" s="71" t="n"/>
      <c r="N635" s="71" t="n"/>
      <c r="O635" s="71" t="n"/>
      <c r="P635" s="71" t="n"/>
      <c r="Q635" s="71" t="n"/>
      <c r="R635" s="71" t="n"/>
      <c r="S635" s="71" t="n"/>
      <c r="T635" s="71" t="n"/>
      <c r="U635" s="71" t="n"/>
      <c r="V635" s="71" t="n"/>
      <c r="W635" s="71" t="n"/>
      <c r="X635" s="71" t="n"/>
      <c r="Y635" s="71" t="n"/>
      <c r="Z635" s="71" t="n"/>
    </row>
    <row r="636" ht="15.75" customHeight="1">
      <c r="A636" s="71" t="n"/>
      <c r="B636" s="71" t="n"/>
      <c r="C636" s="71" t="n"/>
      <c r="D636" s="71" t="n"/>
      <c r="E636" s="71" t="n"/>
      <c r="F636" s="71" t="n"/>
      <c r="G636" s="71" t="n"/>
      <c r="H636" s="71" t="n"/>
      <c r="I636" s="71" t="n"/>
      <c r="J636" s="71" t="n"/>
      <c r="K636" s="71" t="n"/>
      <c r="L636" s="71" t="n"/>
      <c r="M636" s="71" t="n"/>
      <c r="N636" s="71" t="n"/>
      <c r="O636" s="71" t="n"/>
      <c r="P636" s="71" t="n"/>
      <c r="Q636" s="71" t="n"/>
      <c r="R636" s="71" t="n"/>
      <c r="S636" s="71" t="n"/>
      <c r="T636" s="71" t="n"/>
      <c r="U636" s="71" t="n"/>
      <c r="V636" s="71" t="n"/>
      <c r="W636" s="71" t="n"/>
      <c r="X636" s="71" t="n"/>
      <c r="Y636" s="71" t="n"/>
      <c r="Z636" s="71" t="n"/>
    </row>
    <row r="637" ht="15.75" customHeight="1">
      <c r="A637" s="71" t="n"/>
      <c r="B637" s="71" t="n"/>
      <c r="C637" s="71" t="n"/>
      <c r="D637" s="71" t="n"/>
      <c r="E637" s="71" t="n"/>
      <c r="F637" s="71" t="n"/>
      <c r="G637" s="71" t="n"/>
      <c r="H637" s="71" t="n"/>
      <c r="I637" s="71" t="n"/>
      <c r="J637" s="71" t="n"/>
      <c r="K637" s="71" t="n"/>
      <c r="L637" s="71" t="n"/>
      <c r="M637" s="71" t="n"/>
      <c r="N637" s="71" t="n"/>
      <c r="O637" s="71" t="n"/>
      <c r="P637" s="71" t="n"/>
      <c r="Q637" s="71" t="n"/>
      <c r="R637" s="71" t="n"/>
      <c r="S637" s="71" t="n"/>
      <c r="T637" s="71" t="n"/>
      <c r="U637" s="71" t="n"/>
      <c r="V637" s="71" t="n"/>
      <c r="W637" s="71" t="n"/>
      <c r="X637" s="71" t="n"/>
      <c r="Y637" s="71" t="n"/>
      <c r="Z637" s="71" t="n"/>
    </row>
    <row r="638" ht="15.75" customHeight="1">
      <c r="A638" s="71" t="n"/>
      <c r="B638" s="71" t="n"/>
      <c r="C638" s="71" t="n"/>
      <c r="D638" s="71" t="n"/>
      <c r="E638" s="71" t="n"/>
      <c r="F638" s="71" t="n"/>
      <c r="G638" s="71" t="n"/>
      <c r="H638" s="71" t="n"/>
      <c r="I638" s="71" t="n"/>
      <c r="J638" s="71" t="n"/>
      <c r="K638" s="71" t="n"/>
      <c r="L638" s="71" t="n"/>
      <c r="M638" s="71" t="n"/>
      <c r="N638" s="71" t="n"/>
      <c r="O638" s="71" t="n"/>
      <c r="P638" s="71" t="n"/>
      <c r="Q638" s="71" t="n"/>
      <c r="R638" s="71" t="n"/>
      <c r="S638" s="71" t="n"/>
      <c r="T638" s="71" t="n"/>
      <c r="U638" s="71" t="n"/>
      <c r="V638" s="71" t="n"/>
      <c r="W638" s="71" t="n"/>
      <c r="X638" s="71" t="n"/>
      <c r="Y638" s="71" t="n"/>
      <c r="Z638" s="71" t="n"/>
    </row>
    <row r="639" ht="15.75" customHeight="1">
      <c r="A639" s="71" t="n"/>
      <c r="B639" s="71" t="n"/>
      <c r="C639" s="71" t="n"/>
      <c r="D639" s="71" t="n"/>
      <c r="E639" s="71" t="n"/>
      <c r="F639" s="71" t="n"/>
      <c r="G639" s="71" t="n"/>
      <c r="H639" s="71" t="n"/>
      <c r="I639" s="71" t="n"/>
      <c r="J639" s="71" t="n"/>
      <c r="K639" s="71" t="n"/>
      <c r="L639" s="71" t="n"/>
      <c r="M639" s="71" t="n"/>
      <c r="N639" s="71" t="n"/>
      <c r="O639" s="71" t="n"/>
      <c r="P639" s="71" t="n"/>
      <c r="Q639" s="71" t="n"/>
      <c r="R639" s="71" t="n"/>
      <c r="S639" s="71" t="n"/>
      <c r="T639" s="71" t="n"/>
      <c r="U639" s="71" t="n"/>
      <c r="V639" s="71" t="n"/>
      <c r="W639" s="71" t="n"/>
      <c r="X639" s="71" t="n"/>
      <c r="Y639" s="71" t="n"/>
      <c r="Z639" s="71" t="n"/>
    </row>
    <row r="640" ht="15.75" customHeight="1">
      <c r="A640" s="71" t="n"/>
      <c r="B640" s="71" t="n"/>
      <c r="C640" s="71" t="n"/>
      <c r="D640" s="71" t="n"/>
      <c r="E640" s="71" t="n"/>
      <c r="F640" s="71" t="n"/>
      <c r="G640" s="71" t="n"/>
      <c r="H640" s="71" t="n"/>
      <c r="I640" s="71" t="n"/>
      <c r="J640" s="71" t="n"/>
      <c r="K640" s="71" t="n"/>
      <c r="L640" s="71" t="n"/>
      <c r="M640" s="71" t="n"/>
      <c r="N640" s="71" t="n"/>
      <c r="O640" s="71" t="n"/>
      <c r="P640" s="71" t="n"/>
      <c r="Q640" s="71" t="n"/>
      <c r="R640" s="71" t="n"/>
      <c r="S640" s="71" t="n"/>
      <c r="T640" s="71" t="n"/>
      <c r="U640" s="71" t="n"/>
      <c r="V640" s="71" t="n"/>
      <c r="W640" s="71" t="n"/>
      <c r="X640" s="71" t="n"/>
      <c r="Y640" s="71" t="n"/>
      <c r="Z640" s="71" t="n"/>
    </row>
    <row r="641" ht="15.75" customHeight="1">
      <c r="A641" s="71" t="n"/>
      <c r="B641" s="71" t="n"/>
      <c r="C641" s="71" t="n"/>
      <c r="D641" s="71" t="n"/>
      <c r="E641" s="71" t="n"/>
      <c r="F641" s="71" t="n"/>
      <c r="G641" s="71" t="n"/>
      <c r="H641" s="71" t="n"/>
      <c r="I641" s="71" t="n"/>
      <c r="J641" s="71" t="n"/>
      <c r="K641" s="71" t="n"/>
      <c r="L641" s="71" t="n"/>
      <c r="M641" s="71" t="n"/>
      <c r="N641" s="71" t="n"/>
      <c r="O641" s="71" t="n"/>
      <c r="P641" s="71" t="n"/>
      <c r="Q641" s="71" t="n"/>
      <c r="R641" s="71" t="n"/>
      <c r="S641" s="71" t="n"/>
      <c r="T641" s="71" t="n"/>
      <c r="U641" s="71" t="n"/>
      <c r="V641" s="71" t="n"/>
      <c r="W641" s="71" t="n"/>
      <c r="X641" s="71" t="n"/>
      <c r="Y641" s="71" t="n"/>
      <c r="Z641" s="71" t="n"/>
    </row>
    <row r="642" ht="15.75" customHeight="1">
      <c r="A642" s="71" t="n"/>
      <c r="B642" s="71" t="n"/>
      <c r="C642" s="71" t="n"/>
      <c r="D642" s="71" t="n"/>
      <c r="E642" s="71" t="n"/>
      <c r="F642" s="71" t="n"/>
      <c r="G642" s="71" t="n"/>
      <c r="H642" s="71" t="n"/>
      <c r="I642" s="71" t="n"/>
      <c r="J642" s="71" t="n"/>
      <c r="K642" s="71" t="n"/>
      <c r="L642" s="71" t="n"/>
      <c r="M642" s="71" t="n"/>
      <c r="N642" s="71" t="n"/>
      <c r="O642" s="71" t="n"/>
      <c r="P642" s="71" t="n"/>
      <c r="Q642" s="71" t="n"/>
      <c r="R642" s="71" t="n"/>
      <c r="S642" s="71" t="n"/>
      <c r="T642" s="71" t="n"/>
      <c r="U642" s="71" t="n"/>
      <c r="V642" s="71" t="n"/>
      <c r="W642" s="71" t="n"/>
      <c r="X642" s="71" t="n"/>
      <c r="Y642" s="71" t="n"/>
      <c r="Z642" s="71" t="n"/>
    </row>
    <row r="643" ht="15.75" customHeight="1">
      <c r="A643" s="71" t="n"/>
      <c r="B643" s="71" t="n"/>
      <c r="C643" s="71" t="n"/>
      <c r="D643" s="71" t="n"/>
      <c r="E643" s="71" t="n"/>
      <c r="F643" s="71" t="n"/>
      <c r="G643" s="71" t="n"/>
      <c r="H643" s="71" t="n"/>
      <c r="I643" s="71" t="n"/>
      <c r="J643" s="71" t="n"/>
      <c r="K643" s="71" t="n"/>
      <c r="L643" s="71" t="n"/>
      <c r="M643" s="71" t="n"/>
      <c r="N643" s="71" t="n"/>
      <c r="O643" s="71" t="n"/>
      <c r="P643" s="71" t="n"/>
      <c r="Q643" s="71" t="n"/>
      <c r="R643" s="71" t="n"/>
      <c r="S643" s="71" t="n"/>
      <c r="T643" s="71" t="n"/>
      <c r="U643" s="71" t="n"/>
      <c r="V643" s="71" t="n"/>
      <c r="W643" s="71" t="n"/>
      <c r="X643" s="71" t="n"/>
      <c r="Y643" s="71" t="n"/>
      <c r="Z643" s="71" t="n"/>
    </row>
    <row r="644" ht="15.75" customHeight="1">
      <c r="A644" s="71" t="n"/>
      <c r="B644" s="71" t="n"/>
      <c r="C644" s="71" t="n"/>
      <c r="D644" s="71" t="n"/>
      <c r="E644" s="71" t="n"/>
      <c r="F644" s="71" t="n"/>
      <c r="G644" s="71" t="n"/>
      <c r="H644" s="71" t="n"/>
      <c r="I644" s="71" t="n"/>
      <c r="J644" s="71" t="n"/>
      <c r="K644" s="71" t="n"/>
      <c r="L644" s="71" t="n"/>
      <c r="M644" s="71" t="n"/>
      <c r="N644" s="71" t="n"/>
      <c r="O644" s="71" t="n"/>
      <c r="P644" s="71" t="n"/>
      <c r="Q644" s="71" t="n"/>
      <c r="R644" s="71" t="n"/>
      <c r="S644" s="71" t="n"/>
      <c r="T644" s="71" t="n"/>
      <c r="U644" s="71" t="n"/>
      <c r="V644" s="71" t="n"/>
      <c r="W644" s="71" t="n"/>
      <c r="X644" s="71" t="n"/>
      <c r="Y644" s="71" t="n"/>
      <c r="Z644" s="71" t="n"/>
    </row>
    <row r="645" ht="15.75" customHeight="1">
      <c r="A645" s="71" t="n"/>
      <c r="B645" s="71" t="n"/>
      <c r="C645" s="71" t="n"/>
      <c r="D645" s="71" t="n"/>
      <c r="E645" s="71" t="n"/>
      <c r="F645" s="71" t="n"/>
      <c r="G645" s="71" t="n"/>
      <c r="H645" s="71" t="n"/>
      <c r="I645" s="71" t="n"/>
      <c r="J645" s="71" t="n"/>
      <c r="K645" s="71" t="n"/>
      <c r="L645" s="71" t="n"/>
      <c r="M645" s="71" t="n"/>
      <c r="N645" s="71" t="n"/>
      <c r="O645" s="71" t="n"/>
      <c r="P645" s="71" t="n"/>
      <c r="Q645" s="71" t="n"/>
      <c r="R645" s="71" t="n"/>
      <c r="S645" s="71" t="n"/>
      <c r="T645" s="71" t="n"/>
      <c r="U645" s="71" t="n"/>
      <c r="V645" s="71" t="n"/>
      <c r="W645" s="71" t="n"/>
      <c r="X645" s="71" t="n"/>
      <c r="Y645" s="71" t="n"/>
      <c r="Z645" s="71" t="n"/>
    </row>
    <row r="646" ht="15.75" customHeight="1">
      <c r="A646" s="71" t="n"/>
      <c r="B646" s="71" t="n"/>
      <c r="C646" s="71" t="n"/>
      <c r="D646" s="71" t="n"/>
      <c r="E646" s="71" t="n"/>
      <c r="F646" s="71" t="n"/>
      <c r="G646" s="71" t="n"/>
      <c r="H646" s="71" t="n"/>
      <c r="I646" s="71" t="n"/>
      <c r="J646" s="71" t="n"/>
      <c r="K646" s="71" t="n"/>
      <c r="L646" s="71" t="n"/>
      <c r="M646" s="71" t="n"/>
      <c r="N646" s="71" t="n"/>
      <c r="O646" s="71" t="n"/>
      <c r="P646" s="71" t="n"/>
      <c r="Q646" s="71" t="n"/>
      <c r="R646" s="71" t="n"/>
      <c r="S646" s="71" t="n"/>
      <c r="T646" s="71" t="n"/>
      <c r="U646" s="71" t="n"/>
      <c r="V646" s="71" t="n"/>
      <c r="W646" s="71" t="n"/>
      <c r="X646" s="71" t="n"/>
      <c r="Y646" s="71" t="n"/>
      <c r="Z646" s="71" t="n"/>
    </row>
    <row r="647" ht="15.75" customHeight="1">
      <c r="A647" s="71" t="n"/>
      <c r="B647" s="71" t="n"/>
      <c r="C647" s="71" t="n"/>
      <c r="D647" s="71" t="n"/>
      <c r="E647" s="71" t="n"/>
      <c r="F647" s="71" t="n"/>
      <c r="G647" s="71" t="n"/>
      <c r="H647" s="71" t="n"/>
      <c r="I647" s="71" t="n"/>
      <c r="J647" s="71" t="n"/>
      <c r="K647" s="71" t="n"/>
      <c r="L647" s="71" t="n"/>
      <c r="M647" s="71" t="n"/>
      <c r="N647" s="71" t="n"/>
      <c r="O647" s="71" t="n"/>
      <c r="P647" s="71" t="n"/>
      <c r="Q647" s="71" t="n"/>
      <c r="R647" s="71" t="n"/>
      <c r="S647" s="71" t="n"/>
      <c r="T647" s="71" t="n"/>
      <c r="U647" s="71" t="n"/>
      <c r="V647" s="71" t="n"/>
      <c r="W647" s="71" t="n"/>
      <c r="X647" s="71" t="n"/>
      <c r="Y647" s="71" t="n"/>
      <c r="Z647" s="71" t="n"/>
    </row>
    <row r="648" ht="15.75" customHeight="1">
      <c r="A648" s="71" t="n"/>
      <c r="B648" s="71" t="n"/>
      <c r="C648" s="71" t="n"/>
      <c r="D648" s="71" t="n"/>
      <c r="E648" s="71" t="n"/>
      <c r="F648" s="71" t="n"/>
      <c r="G648" s="71" t="n"/>
      <c r="H648" s="71" t="n"/>
      <c r="I648" s="71" t="n"/>
      <c r="J648" s="71" t="n"/>
      <c r="K648" s="71" t="n"/>
      <c r="L648" s="71" t="n"/>
      <c r="M648" s="71" t="n"/>
      <c r="N648" s="71" t="n"/>
      <c r="O648" s="71" t="n"/>
      <c r="P648" s="71" t="n"/>
      <c r="Q648" s="71" t="n"/>
      <c r="R648" s="71" t="n"/>
      <c r="S648" s="71" t="n"/>
      <c r="T648" s="71" t="n"/>
      <c r="U648" s="71" t="n"/>
      <c r="V648" s="71" t="n"/>
      <c r="W648" s="71" t="n"/>
      <c r="X648" s="71" t="n"/>
      <c r="Y648" s="71" t="n"/>
      <c r="Z648" s="71" t="n"/>
    </row>
    <row r="649" ht="15.75" customHeight="1">
      <c r="A649" s="71" t="n"/>
      <c r="B649" s="71" t="n"/>
      <c r="C649" s="71" t="n"/>
      <c r="D649" s="71" t="n"/>
      <c r="E649" s="71" t="n"/>
      <c r="F649" s="71" t="n"/>
      <c r="G649" s="71" t="n"/>
      <c r="H649" s="71" t="n"/>
      <c r="I649" s="71" t="n"/>
      <c r="J649" s="71" t="n"/>
      <c r="K649" s="71" t="n"/>
      <c r="L649" s="71" t="n"/>
      <c r="M649" s="71" t="n"/>
      <c r="N649" s="71" t="n"/>
      <c r="O649" s="71" t="n"/>
      <c r="P649" s="71" t="n"/>
      <c r="Q649" s="71" t="n"/>
      <c r="R649" s="71" t="n"/>
      <c r="S649" s="71" t="n"/>
      <c r="T649" s="71" t="n"/>
      <c r="U649" s="71" t="n"/>
      <c r="V649" s="71" t="n"/>
      <c r="W649" s="71" t="n"/>
      <c r="X649" s="71" t="n"/>
      <c r="Y649" s="71" t="n"/>
      <c r="Z649" s="71" t="n"/>
    </row>
    <row r="650" ht="15.75" customHeight="1">
      <c r="A650" s="71" t="n"/>
      <c r="B650" s="71" t="n"/>
      <c r="C650" s="71" t="n"/>
      <c r="D650" s="71" t="n"/>
      <c r="E650" s="71" t="n"/>
      <c r="F650" s="71" t="n"/>
      <c r="G650" s="71" t="n"/>
      <c r="H650" s="71" t="n"/>
      <c r="I650" s="71" t="n"/>
      <c r="J650" s="71" t="n"/>
      <c r="K650" s="71" t="n"/>
      <c r="L650" s="71" t="n"/>
      <c r="M650" s="71" t="n"/>
      <c r="N650" s="71" t="n"/>
      <c r="O650" s="71" t="n"/>
      <c r="P650" s="71" t="n"/>
      <c r="Q650" s="71" t="n"/>
      <c r="R650" s="71" t="n"/>
      <c r="S650" s="71" t="n"/>
      <c r="T650" s="71" t="n"/>
      <c r="U650" s="71" t="n"/>
      <c r="V650" s="71" t="n"/>
      <c r="W650" s="71" t="n"/>
      <c r="X650" s="71" t="n"/>
      <c r="Y650" s="71" t="n"/>
      <c r="Z650" s="71" t="n"/>
    </row>
    <row r="651" ht="15.75" customHeight="1">
      <c r="A651" s="71" t="n"/>
      <c r="B651" s="71" t="n"/>
      <c r="C651" s="71" t="n"/>
      <c r="D651" s="71" t="n"/>
      <c r="E651" s="71" t="n"/>
      <c r="F651" s="71" t="n"/>
      <c r="G651" s="71" t="n"/>
      <c r="H651" s="71" t="n"/>
      <c r="I651" s="71" t="n"/>
      <c r="J651" s="71" t="n"/>
      <c r="K651" s="71" t="n"/>
      <c r="L651" s="71" t="n"/>
      <c r="M651" s="71" t="n"/>
      <c r="N651" s="71" t="n"/>
      <c r="O651" s="71" t="n"/>
      <c r="P651" s="71" t="n"/>
      <c r="Q651" s="71" t="n"/>
      <c r="R651" s="71" t="n"/>
      <c r="S651" s="71" t="n"/>
      <c r="T651" s="71" t="n"/>
      <c r="U651" s="71" t="n"/>
      <c r="V651" s="71" t="n"/>
      <c r="W651" s="71" t="n"/>
      <c r="X651" s="71" t="n"/>
      <c r="Y651" s="71" t="n"/>
      <c r="Z651" s="71" t="n"/>
    </row>
    <row r="652" ht="15.75" customHeight="1">
      <c r="A652" s="71" t="n"/>
      <c r="B652" s="71" t="n"/>
      <c r="C652" s="71" t="n"/>
      <c r="D652" s="71" t="n"/>
      <c r="E652" s="71" t="n"/>
      <c r="F652" s="71" t="n"/>
      <c r="G652" s="71" t="n"/>
      <c r="H652" s="71" t="n"/>
      <c r="I652" s="71" t="n"/>
      <c r="J652" s="71" t="n"/>
      <c r="K652" s="71" t="n"/>
      <c r="L652" s="71" t="n"/>
      <c r="M652" s="71" t="n"/>
      <c r="N652" s="71" t="n"/>
      <c r="O652" s="71" t="n"/>
      <c r="P652" s="71" t="n"/>
      <c r="Q652" s="71" t="n"/>
      <c r="R652" s="71" t="n"/>
      <c r="S652" s="71" t="n"/>
      <c r="T652" s="71" t="n"/>
      <c r="U652" s="71" t="n"/>
      <c r="V652" s="71" t="n"/>
      <c r="W652" s="71" t="n"/>
      <c r="X652" s="71" t="n"/>
      <c r="Y652" s="71" t="n"/>
      <c r="Z652" s="71" t="n"/>
    </row>
    <row r="653" ht="15.75" customHeight="1">
      <c r="A653" s="71" t="n"/>
      <c r="B653" s="71" t="n"/>
      <c r="C653" s="71" t="n"/>
      <c r="D653" s="71" t="n"/>
      <c r="E653" s="71" t="n"/>
      <c r="F653" s="71" t="n"/>
      <c r="G653" s="71" t="n"/>
      <c r="H653" s="71" t="n"/>
      <c r="I653" s="71" t="n"/>
      <c r="J653" s="71" t="n"/>
      <c r="K653" s="71" t="n"/>
      <c r="L653" s="71" t="n"/>
      <c r="M653" s="71" t="n"/>
      <c r="N653" s="71" t="n"/>
      <c r="O653" s="71" t="n"/>
      <c r="P653" s="71" t="n"/>
      <c r="Q653" s="71" t="n"/>
      <c r="R653" s="71" t="n"/>
      <c r="S653" s="71" t="n"/>
      <c r="T653" s="71" t="n"/>
      <c r="U653" s="71" t="n"/>
      <c r="V653" s="71" t="n"/>
      <c r="W653" s="71" t="n"/>
      <c r="X653" s="71" t="n"/>
      <c r="Y653" s="71" t="n"/>
      <c r="Z653" s="71" t="n"/>
    </row>
    <row r="654" ht="15.75" customHeight="1">
      <c r="A654" s="71" t="n"/>
      <c r="B654" s="71" t="n"/>
      <c r="C654" s="71" t="n"/>
      <c r="D654" s="71" t="n"/>
      <c r="E654" s="71" t="n"/>
      <c r="F654" s="71" t="n"/>
      <c r="G654" s="71" t="n"/>
      <c r="H654" s="71" t="n"/>
      <c r="I654" s="71" t="n"/>
      <c r="J654" s="71" t="n"/>
      <c r="K654" s="71" t="n"/>
      <c r="L654" s="71" t="n"/>
      <c r="M654" s="71" t="n"/>
      <c r="N654" s="71" t="n"/>
      <c r="O654" s="71" t="n"/>
      <c r="P654" s="71" t="n"/>
      <c r="Q654" s="71" t="n"/>
      <c r="R654" s="71" t="n"/>
      <c r="S654" s="71" t="n"/>
      <c r="T654" s="71" t="n"/>
      <c r="U654" s="71" t="n"/>
      <c r="V654" s="71" t="n"/>
      <c r="W654" s="71" t="n"/>
      <c r="X654" s="71" t="n"/>
      <c r="Y654" s="71" t="n"/>
      <c r="Z654" s="71" t="n"/>
    </row>
    <row r="655" ht="15.75" customHeight="1">
      <c r="A655" s="71" t="n"/>
      <c r="B655" s="71" t="n"/>
      <c r="C655" s="71" t="n"/>
      <c r="D655" s="71" t="n"/>
      <c r="E655" s="71" t="n"/>
      <c r="F655" s="71" t="n"/>
      <c r="G655" s="71" t="n"/>
      <c r="H655" s="71" t="n"/>
      <c r="I655" s="71" t="n"/>
      <c r="J655" s="71" t="n"/>
      <c r="K655" s="71" t="n"/>
      <c r="L655" s="71" t="n"/>
      <c r="M655" s="71" t="n"/>
      <c r="N655" s="71" t="n"/>
      <c r="O655" s="71" t="n"/>
      <c r="P655" s="71" t="n"/>
      <c r="Q655" s="71" t="n"/>
      <c r="R655" s="71" t="n"/>
      <c r="S655" s="71" t="n"/>
      <c r="T655" s="71" t="n"/>
      <c r="U655" s="71" t="n"/>
      <c r="V655" s="71" t="n"/>
      <c r="W655" s="71" t="n"/>
      <c r="X655" s="71" t="n"/>
      <c r="Y655" s="71" t="n"/>
      <c r="Z655" s="71" t="n"/>
    </row>
    <row r="656" ht="15.75" customHeight="1">
      <c r="A656" s="71" t="n"/>
      <c r="B656" s="71" t="n"/>
      <c r="C656" s="71" t="n"/>
      <c r="D656" s="71" t="n"/>
      <c r="E656" s="71" t="n"/>
      <c r="F656" s="71" t="n"/>
      <c r="G656" s="71" t="n"/>
      <c r="H656" s="71" t="n"/>
      <c r="I656" s="71" t="n"/>
      <c r="J656" s="71" t="n"/>
      <c r="K656" s="71" t="n"/>
      <c r="L656" s="71" t="n"/>
      <c r="M656" s="71" t="n"/>
      <c r="N656" s="71" t="n"/>
      <c r="O656" s="71" t="n"/>
      <c r="P656" s="71" t="n"/>
      <c r="Q656" s="71" t="n"/>
      <c r="R656" s="71" t="n"/>
      <c r="S656" s="71" t="n"/>
      <c r="T656" s="71" t="n"/>
      <c r="U656" s="71" t="n"/>
      <c r="V656" s="71" t="n"/>
      <c r="W656" s="71" t="n"/>
      <c r="X656" s="71" t="n"/>
      <c r="Y656" s="71" t="n"/>
      <c r="Z656" s="71" t="n"/>
    </row>
    <row r="657" ht="15.75" customHeight="1">
      <c r="A657" s="71" t="n"/>
      <c r="B657" s="71" t="n"/>
      <c r="C657" s="71" t="n"/>
      <c r="D657" s="71" t="n"/>
      <c r="E657" s="71" t="n"/>
      <c r="F657" s="71" t="n"/>
      <c r="G657" s="71" t="n"/>
      <c r="H657" s="71" t="n"/>
      <c r="I657" s="71" t="n"/>
      <c r="J657" s="71" t="n"/>
      <c r="K657" s="71" t="n"/>
      <c r="L657" s="71" t="n"/>
      <c r="M657" s="71" t="n"/>
      <c r="N657" s="71" t="n"/>
      <c r="O657" s="71" t="n"/>
      <c r="P657" s="71" t="n"/>
      <c r="Q657" s="71" t="n"/>
      <c r="R657" s="71" t="n"/>
      <c r="S657" s="71" t="n"/>
      <c r="T657" s="71" t="n"/>
      <c r="U657" s="71" t="n"/>
      <c r="V657" s="71" t="n"/>
      <c r="W657" s="71" t="n"/>
      <c r="X657" s="71" t="n"/>
      <c r="Y657" s="71" t="n"/>
      <c r="Z657" s="71" t="n"/>
    </row>
    <row r="658" ht="15.75" customHeight="1">
      <c r="A658" s="71" t="n"/>
      <c r="B658" s="71" t="n"/>
      <c r="C658" s="71" t="n"/>
      <c r="D658" s="71" t="n"/>
      <c r="E658" s="71" t="n"/>
      <c r="F658" s="71" t="n"/>
      <c r="G658" s="71" t="n"/>
      <c r="H658" s="71" t="n"/>
      <c r="I658" s="71" t="n"/>
      <c r="J658" s="71" t="n"/>
      <c r="K658" s="71" t="n"/>
      <c r="L658" s="71" t="n"/>
      <c r="M658" s="71" t="n"/>
      <c r="N658" s="71" t="n"/>
      <c r="O658" s="71" t="n"/>
      <c r="P658" s="71" t="n"/>
      <c r="Q658" s="71" t="n"/>
      <c r="R658" s="71" t="n"/>
      <c r="S658" s="71" t="n"/>
      <c r="T658" s="71" t="n"/>
      <c r="U658" s="71" t="n"/>
      <c r="V658" s="71" t="n"/>
      <c r="W658" s="71" t="n"/>
      <c r="X658" s="71" t="n"/>
      <c r="Y658" s="71" t="n"/>
      <c r="Z658" s="71" t="n"/>
    </row>
    <row r="659" ht="15.75" customHeight="1">
      <c r="A659" s="71" t="n"/>
      <c r="B659" s="71" t="n"/>
      <c r="C659" s="71" t="n"/>
      <c r="D659" s="71" t="n"/>
      <c r="E659" s="71" t="n"/>
      <c r="F659" s="71" t="n"/>
      <c r="G659" s="71" t="n"/>
      <c r="H659" s="71" t="n"/>
      <c r="I659" s="71" t="n"/>
      <c r="J659" s="71" t="n"/>
      <c r="K659" s="71" t="n"/>
      <c r="L659" s="71" t="n"/>
      <c r="M659" s="71" t="n"/>
      <c r="N659" s="71" t="n"/>
      <c r="O659" s="71" t="n"/>
      <c r="P659" s="71" t="n"/>
      <c r="Q659" s="71" t="n"/>
      <c r="R659" s="71" t="n"/>
      <c r="S659" s="71" t="n"/>
      <c r="T659" s="71" t="n"/>
      <c r="U659" s="71" t="n"/>
      <c r="V659" s="71" t="n"/>
      <c r="W659" s="71" t="n"/>
      <c r="X659" s="71" t="n"/>
      <c r="Y659" s="71" t="n"/>
      <c r="Z659" s="71" t="n"/>
    </row>
    <row r="660" ht="15.75" customHeight="1">
      <c r="A660" s="71" t="n"/>
      <c r="B660" s="71" t="n"/>
      <c r="C660" s="71" t="n"/>
      <c r="D660" s="71" t="n"/>
      <c r="E660" s="71" t="n"/>
      <c r="F660" s="71" t="n"/>
      <c r="G660" s="71" t="n"/>
      <c r="H660" s="71" t="n"/>
      <c r="I660" s="71" t="n"/>
      <c r="J660" s="71" t="n"/>
      <c r="K660" s="71" t="n"/>
      <c r="L660" s="71" t="n"/>
      <c r="M660" s="71" t="n"/>
      <c r="N660" s="71" t="n"/>
      <c r="O660" s="71" t="n"/>
      <c r="P660" s="71" t="n"/>
      <c r="Q660" s="71" t="n"/>
      <c r="R660" s="71" t="n"/>
      <c r="S660" s="71" t="n"/>
      <c r="T660" s="71" t="n"/>
      <c r="U660" s="71" t="n"/>
      <c r="V660" s="71" t="n"/>
      <c r="W660" s="71" t="n"/>
      <c r="X660" s="71" t="n"/>
      <c r="Y660" s="71" t="n"/>
      <c r="Z660" s="71" t="n"/>
    </row>
    <row r="661" ht="15.75" customHeight="1">
      <c r="A661" s="71" t="n"/>
      <c r="B661" s="71" t="n"/>
      <c r="C661" s="71" t="n"/>
      <c r="D661" s="71" t="n"/>
      <c r="E661" s="71" t="n"/>
      <c r="F661" s="71" t="n"/>
      <c r="G661" s="71" t="n"/>
      <c r="H661" s="71" t="n"/>
      <c r="I661" s="71" t="n"/>
      <c r="J661" s="71" t="n"/>
      <c r="K661" s="71" t="n"/>
      <c r="L661" s="71" t="n"/>
      <c r="M661" s="71" t="n"/>
      <c r="N661" s="71" t="n"/>
      <c r="O661" s="71" t="n"/>
      <c r="P661" s="71" t="n"/>
      <c r="Q661" s="71" t="n"/>
      <c r="R661" s="71" t="n"/>
      <c r="S661" s="71" t="n"/>
      <c r="T661" s="71" t="n"/>
      <c r="U661" s="71" t="n"/>
      <c r="V661" s="71" t="n"/>
      <c r="W661" s="71" t="n"/>
      <c r="X661" s="71" t="n"/>
      <c r="Y661" s="71" t="n"/>
      <c r="Z661" s="71" t="n"/>
    </row>
    <row r="662" ht="15.75" customHeight="1">
      <c r="A662" s="71" t="n"/>
      <c r="B662" s="71" t="n"/>
      <c r="C662" s="71" t="n"/>
      <c r="D662" s="71" t="n"/>
      <c r="E662" s="71" t="n"/>
      <c r="F662" s="71" t="n"/>
      <c r="G662" s="71" t="n"/>
      <c r="H662" s="71" t="n"/>
      <c r="I662" s="71" t="n"/>
      <c r="J662" s="71" t="n"/>
      <c r="K662" s="71" t="n"/>
      <c r="L662" s="71" t="n"/>
      <c r="M662" s="71" t="n"/>
      <c r="N662" s="71" t="n"/>
      <c r="O662" s="71" t="n"/>
      <c r="P662" s="71" t="n"/>
      <c r="Q662" s="71" t="n"/>
      <c r="R662" s="71" t="n"/>
      <c r="S662" s="71" t="n"/>
      <c r="T662" s="71" t="n"/>
      <c r="U662" s="71" t="n"/>
      <c r="V662" s="71" t="n"/>
      <c r="W662" s="71" t="n"/>
      <c r="X662" s="71" t="n"/>
      <c r="Y662" s="71" t="n"/>
      <c r="Z662" s="71" t="n"/>
    </row>
    <row r="663" ht="15.75" customHeight="1">
      <c r="A663" s="71" t="n"/>
      <c r="B663" s="71" t="n"/>
      <c r="C663" s="71" t="n"/>
      <c r="D663" s="71" t="n"/>
      <c r="E663" s="71" t="n"/>
      <c r="F663" s="71" t="n"/>
      <c r="G663" s="71" t="n"/>
      <c r="H663" s="71" t="n"/>
      <c r="I663" s="71" t="n"/>
      <c r="J663" s="71" t="n"/>
      <c r="K663" s="71" t="n"/>
      <c r="L663" s="71" t="n"/>
      <c r="M663" s="71" t="n"/>
      <c r="N663" s="71" t="n"/>
      <c r="O663" s="71" t="n"/>
      <c r="P663" s="71" t="n"/>
      <c r="Q663" s="71" t="n"/>
      <c r="R663" s="71" t="n"/>
      <c r="S663" s="71" t="n"/>
      <c r="T663" s="71" t="n"/>
      <c r="U663" s="71" t="n"/>
      <c r="V663" s="71" t="n"/>
      <c r="W663" s="71" t="n"/>
      <c r="X663" s="71" t="n"/>
      <c r="Y663" s="71" t="n"/>
      <c r="Z663" s="71" t="n"/>
    </row>
    <row r="664" ht="15.75" customHeight="1">
      <c r="A664" s="71" t="n"/>
      <c r="B664" s="71" t="n"/>
      <c r="C664" s="71" t="n"/>
      <c r="D664" s="71" t="n"/>
      <c r="E664" s="71" t="n"/>
      <c r="F664" s="71" t="n"/>
      <c r="G664" s="71" t="n"/>
      <c r="H664" s="71" t="n"/>
      <c r="I664" s="71" t="n"/>
      <c r="J664" s="71" t="n"/>
      <c r="K664" s="71" t="n"/>
      <c r="L664" s="71" t="n"/>
      <c r="M664" s="71" t="n"/>
      <c r="N664" s="71" t="n"/>
      <c r="O664" s="71" t="n"/>
      <c r="P664" s="71" t="n"/>
      <c r="Q664" s="71" t="n"/>
      <c r="R664" s="71" t="n"/>
      <c r="S664" s="71" t="n"/>
      <c r="T664" s="71" t="n"/>
      <c r="U664" s="71" t="n"/>
      <c r="V664" s="71" t="n"/>
      <c r="W664" s="71" t="n"/>
      <c r="X664" s="71" t="n"/>
      <c r="Y664" s="71" t="n"/>
      <c r="Z664" s="71" t="n"/>
    </row>
    <row r="665" ht="15.75" customHeight="1">
      <c r="A665" s="71" t="n"/>
      <c r="B665" s="71" t="n"/>
      <c r="C665" s="71" t="n"/>
      <c r="D665" s="71" t="n"/>
      <c r="E665" s="71" t="n"/>
      <c r="F665" s="71" t="n"/>
      <c r="G665" s="71" t="n"/>
      <c r="H665" s="71" t="n"/>
      <c r="I665" s="71" t="n"/>
      <c r="J665" s="71" t="n"/>
      <c r="K665" s="71" t="n"/>
      <c r="L665" s="71" t="n"/>
      <c r="M665" s="71" t="n"/>
      <c r="N665" s="71" t="n"/>
      <c r="O665" s="71" t="n"/>
      <c r="P665" s="71" t="n"/>
      <c r="Q665" s="71" t="n"/>
      <c r="R665" s="71" t="n"/>
      <c r="S665" s="71" t="n"/>
      <c r="T665" s="71" t="n"/>
      <c r="U665" s="71" t="n"/>
      <c r="V665" s="71" t="n"/>
      <c r="W665" s="71" t="n"/>
      <c r="X665" s="71" t="n"/>
      <c r="Y665" s="71" t="n"/>
      <c r="Z665" s="71" t="n"/>
    </row>
    <row r="666" ht="15.75" customHeight="1">
      <c r="A666" s="71" t="n"/>
      <c r="B666" s="71" t="n"/>
      <c r="C666" s="71" t="n"/>
      <c r="D666" s="71" t="n"/>
      <c r="E666" s="71" t="n"/>
      <c r="F666" s="71" t="n"/>
      <c r="G666" s="71" t="n"/>
      <c r="H666" s="71" t="n"/>
      <c r="I666" s="71" t="n"/>
      <c r="J666" s="71" t="n"/>
      <c r="K666" s="71" t="n"/>
      <c r="L666" s="71" t="n"/>
      <c r="M666" s="71" t="n"/>
      <c r="N666" s="71" t="n"/>
      <c r="O666" s="71" t="n"/>
      <c r="P666" s="71" t="n"/>
      <c r="Q666" s="71" t="n"/>
      <c r="R666" s="71" t="n"/>
      <c r="S666" s="71" t="n"/>
      <c r="T666" s="71" t="n"/>
      <c r="U666" s="71" t="n"/>
      <c r="V666" s="71" t="n"/>
      <c r="W666" s="71" t="n"/>
      <c r="X666" s="71" t="n"/>
      <c r="Y666" s="71" t="n"/>
      <c r="Z666" s="71" t="n"/>
    </row>
    <row r="667" ht="15.75" customHeight="1">
      <c r="A667" s="71" t="n"/>
      <c r="B667" s="71" t="n"/>
      <c r="C667" s="71" t="n"/>
      <c r="D667" s="71" t="n"/>
      <c r="E667" s="71" t="n"/>
      <c r="F667" s="71" t="n"/>
      <c r="G667" s="71" t="n"/>
      <c r="H667" s="71" t="n"/>
      <c r="I667" s="71" t="n"/>
      <c r="J667" s="71" t="n"/>
      <c r="K667" s="71" t="n"/>
      <c r="L667" s="71" t="n"/>
      <c r="M667" s="71" t="n"/>
      <c r="N667" s="71" t="n"/>
      <c r="O667" s="71" t="n"/>
      <c r="P667" s="71" t="n"/>
      <c r="Q667" s="71" t="n"/>
      <c r="R667" s="71" t="n"/>
      <c r="S667" s="71" t="n"/>
      <c r="T667" s="71" t="n"/>
      <c r="U667" s="71" t="n"/>
      <c r="V667" s="71" t="n"/>
      <c r="W667" s="71" t="n"/>
      <c r="X667" s="71" t="n"/>
      <c r="Y667" s="71" t="n"/>
      <c r="Z667" s="71" t="n"/>
    </row>
    <row r="668" ht="15.75" customHeight="1">
      <c r="A668" s="71" t="n"/>
      <c r="B668" s="71" t="n"/>
      <c r="C668" s="71" t="n"/>
      <c r="D668" s="71" t="n"/>
      <c r="E668" s="71" t="n"/>
      <c r="F668" s="71" t="n"/>
      <c r="G668" s="71" t="n"/>
      <c r="H668" s="71" t="n"/>
      <c r="I668" s="71" t="n"/>
      <c r="J668" s="71" t="n"/>
      <c r="K668" s="71" t="n"/>
      <c r="L668" s="71" t="n"/>
      <c r="M668" s="71" t="n"/>
      <c r="N668" s="71" t="n"/>
      <c r="O668" s="71" t="n"/>
      <c r="P668" s="71" t="n"/>
      <c r="Q668" s="71" t="n"/>
      <c r="R668" s="71" t="n"/>
      <c r="S668" s="71" t="n"/>
      <c r="T668" s="71" t="n"/>
      <c r="U668" s="71" t="n"/>
      <c r="V668" s="71" t="n"/>
      <c r="W668" s="71" t="n"/>
      <c r="X668" s="71" t="n"/>
      <c r="Y668" s="71" t="n"/>
      <c r="Z668" s="71" t="n"/>
    </row>
    <row r="669" ht="15.75" customHeight="1">
      <c r="A669" s="71" t="n"/>
      <c r="B669" s="71" t="n"/>
      <c r="C669" s="71" t="n"/>
      <c r="D669" s="71" t="n"/>
      <c r="E669" s="71" t="n"/>
      <c r="F669" s="71" t="n"/>
      <c r="G669" s="71" t="n"/>
      <c r="H669" s="71" t="n"/>
      <c r="I669" s="71" t="n"/>
      <c r="J669" s="71" t="n"/>
      <c r="K669" s="71" t="n"/>
      <c r="L669" s="71" t="n"/>
      <c r="M669" s="71" t="n"/>
      <c r="N669" s="71" t="n"/>
      <c r="O669" s="71" t="n"/>
      <c r="P669" s="71" t="n"/>
      <c r="Q669" s="71" t="n"/>
      <c r="R669" s="71" t="n"/>
      <c r="S669" s="71" t="n"/>
      <c r="T669" s="71" t="n"/>
      <c r="U669" s="71" t="n"/>
      <c r="V669" s="71" t="n"/>
      <c r="W669" s="71" t="n"/>
      <c r="X669" s="71" t="n"/>
      <c r="Y669" s="71" t="n"/>
      <c r="Z669" s="71" t="n"/>
    </row>
    <row r="670" ht="15.75" customHeight="1">
      <c r="A670" s="71" t="n"/>
      <c r="B670" s="71" t="n"/>
      <c r="C670" s="71" t="n"/>
      <c r="D670" s="71" t="n"/>
      <c r="E670" s="71" t="n"/>
      <c r="F670" s="71" t="n"/>
      <c r="G670" s="71" t="n"/>
      <c r="H670" s="71" t="n"/>
      <c r="I670" s="71" t="n"/>
      <c r="J670" s="71" t="n"/>
      <c r="K670" s="71" t="n"/>
      <c r="L670" s="71" t="n"/>
      <c r="M670" s="71" t="n"/>
      <c r="N670" s="71" t="n"/>
      <c r="O670" s="71" t="n"/>
      <c r="P670" s="71" t="n"/>
      <c r="Q670" s="71" t="n"/>
      <c r="R670" s="71" t="n"/>
      <c r="S670" s="71" t="n"/>
      <c r="T670" s="71" t="n"/>
      <c r="U670" s="71" t="n"/>
      <c r="V670" s="71" t="n"/>
      <c r="W670" s="71" t="n"/>
      <c r="X670" s="71" t="n"/>
      <c r="Y670" s="71" t="n"/>
      <c r="Z670" s="71" t="n"/>
    </row>
    <row r="671" ht="15.75" customHeight="1">
      <c r="A671" s="71" t="n"/>
      <c r="B671" s="71" t="n"/>
      <c r="C671" s="71" t="n"/>
      <c r="D671" s="71" t="n"/>
      <c r="E671" s="71" t="n"/>
      <c r="F671" s="71" t="n"/>
      <c r="G671" s="71" t="n"/>
      <c r="H671" s="71" t="n"/>
      <c r="I671" s="71" t="n"/>
      <c r="J671" s="71" t="n"/>
      <c r="K671" s="71" t="n"/>
      <c r="L671" s="71" t="n"/>
      <c r="M671" s="71" t="n"/>
      <c r="N671" s="71" t="n"/>
      <c r="O671" s="71" t="n"/>
      <c r="P671" s="71" t="n"/>
      <c r="Q671" s="71" t="n"/>
      <c r="R671" s="71" t="n"/>
      <c r="S671" s="71" t="n"/>
      <c r="T671" s="71" t="n"/>
      <c r="U671" s="71" t="n"/>
      <c r="V671" s="71" t="n"/>
      <c r="W671" s="71" t="n"/>
      <c r="X671" s="71" t="n"/>
      <c r="Y671" s="71" t="n"/>
      <c r="Z671" s="71" t="n"/>
    </row>
    <row r="672" ht="15.75" customHeight="1">
      <c r="A672" s="71" t="n"/>
      <c r="B672" s="71" t="n"/>
      <c r="C672" s="71" t="n"/>
      <c r="D672" s="71" t="n"/>
      <c r="E672" s="71" t="n"/>
      <c r="F672" s="71" t="n"/>
      <c r="G672" s="71" t="n"/>
      <c r="H672" s="71" t="n"/>
      <c r="I672" s="71" t="n"/>
      <c r="J672" s="71" t="n"/>
      <c r="K672" s="71" t="n"/>
      <c r="L672" s="71" t="n"/>
      <c r="M672" s="71" t="n"/>
      <c r="N672" s="71" t="n"/>
      <c r="O672" s="71" t="n"/>
      <c r="P672" s="71" t="n"/>
      <c r="Q672" s="71" t="n"/>
      <c r="R672" s="71" t="n"/>
      <c r="S672" s="71" t="n"/>
      <c r="T672" s="71" t="n"/>
      <c r="U672" s="71" t="n"/>
      <c r="V672" s="71" t="n"/>
      <c r="W672" s="71" t="n"/>
      <c r="X672" s="71" t="n"/>
      <c r="Y672" s="71" t="n"/>
      <c r="Z672" s="71" t="n"/>
    </row>
    <row r="673" ht="15.75" customHeight="1">
      <c r="A673" s="71" t="n"/>
      <c r="B673" s="71" t="n"/>
      <c r="C673" s="71" t="n"/>
      <c r="D673" s="71" t="n"/>
      <c r="E673" s="71" t="n"/>
      <c r="F673" s="71" t="n"/>
      <c r="G673" s="71" t="n"/>
      <c r="H673" s="71" t="n"/>
      <c r="I673" s="71" t="n"/>
      <c r="J673" s="71" t="n"/>
      <c r="K673" s="71" t="n"/>
      <c r="L673" s="71" t="n"/>
      <c r="M673" s="71" t="n"/>
      <c r="N673" s="71" t="n"/>
      <c r="O673" s="71" t="n"/>
      <c r="P673" s="71" t="n"/>
      <c r="Q673" s="71" t="n"/>
      <c r="R673" s="71" t="n"/>
      <c r="S673" s="71" t="n"/>
      <c r="T673" s="71" t="n"/>
      <c r="U673" s="71" t="n"/>
      <c r="V673" s="71" t="n"/>
      <c r="W673" s="71" t="n"/>
      <c r="X673" s="71" t="n"/>
      <c r="Y673" s="71" t="n"/>
      <c r="Z673" s="71" t="n"/>
    </row>
    <row r="674" ht="15.75" customHeight="1">
      <c r="A674" s="71" t="n"/>
      <c r="B674" s="71" t="n"/>
      <c r="C674" s="71" t="n"/>
      <c r="D674" s="71" t="n"/>
      <c r="E674" s="71" t="n"/>
      <c r="F674" s="71" t="n"/>
      <c r="G674" s="71" t="n"/>
      <c r="H674" s="71" t="n"/>
      <c r="I674" s="71" t="n"/>
      <c r="J674" s="71" t="n"/>
      <c r="K674" s="71" t="n"/>
      <c r="L674" s="71" t="n"/>
      <c r="M674" s="71" t="n"/>
      <c r="N674" s="71" t="n"/>
      <c r="O674" s="71" t="n"/>
      <c r="P674" s="71" t="n"/>
      <c r="Q674" s="71" t="n"/>
      <c r="R674" s="71" t="n"/>
      <c r="S674" s="71" t="n"/>
      <c r="T674" s="71" t="n"/>
      <c r="U674" s="71" t="n"/>
      <c r="V674" s="71" t="n"/>
      <c r="W674" s="71" t="n"/>
      <c r="X674" s="71" t="n"/>
      <c r="Y674" s="71" t="n"/>
      <c r="Z674" s="71" t="n"/>
    </row>
    <row r="675" ht="15.75" customHeight="1">
      <c r="A675" s="71" t="n"/>
      <c r="B675" s="71" t="n"/>
      <c r="C675" s="71" t="n"/>
      <c r="D675" s="71" t="n"/>
      <c r="E675" s="71" t="n"/>
      <c r="F675" s="71" t="n"/>
      <c r="G675" s="71" t="n"/>
      <c r="H675" s="71" t="n"/>
      <c r="I675" s="71" t="n"/>
      <c r="J675" s="71" t="n"/>
      <c r="K675" s="71" t="n"/>
      <c r="L675" s="71" t="n"/>
      <c r="M675" s="71" t="n"/>
      <c r="N675" s="71" t="n"/>
      <c r="O675" s="71" t="n"/>
      <c r="P675" s="71" t="n"/>
      <c r="Q675" s="71" t="n"/>
      <c r="R675" s="71" t="n"/>
      <c r="S675" s="71" t="n"/>
      <c r="T675" s="71" t="n"/>
      <c r="U675" s="71" t="n"/>
      <c r="V675" s="71" t="n"/>
      <c r="W675" s="71" t="n"/>
      <c r="X675" s="71" t="n"/>
      <c r="Y675" s="71" t="n"/>
      <c r="Z675" s="71" t="n"/>
    </row>
    <row r="676" ht="15.75" customHeight="1">
      <c r="A676" s="71" t="n"/>
      <c r="B676" s="71" t="n"/>
      <c r="C676" s="71" t="n"/>
      <c r="D676" s="71" t="n"/>
      <c r="E676" s="71" t="n"/>
      <c r="F676" s="71" t="n"/>
      <c r="G676" s="71" t="n"/>
      <c r="H676" s="71" t="n"/>
      <c r="I676" s="71" t="n"/>
      <c r="J676" s="71" t="n"/>
      <c r="K676" s="71" t="n"/>
      <c r="L676" s="71" t="n"/>
      <c r="M676" s="71" t="n"/>
      <c r="N676" s="71" t="n"/>
      <c r="O676" s="71" t="n"/>
      <c r="P676" s="71" t="n"/>
      <c r="Q676" s="71" t="n"/>
      <c r="R676" s="71" t="n"/>
      <c r="S676" s="71" t="n"/>
      <c r="T676" s="71" t="n"/>
      <c r="U676" s="71" t="n"/>
      <c r="V676" s="71" t="n"/>
      <c r="W676" s="71" t="n"/>
      <c r="X676" s="71" t="n"/>
      <c r="Y676" s="71" t="n"/>
      <c r="Z676" s="71" t="n"/>
    </row>
    <row r="677" ht="15.75" customHeight="1">
      <c r="A677" s="71" t="n"/>
      <c r="B677" s="71" t="n"/>
      <c r="C677" s="71" t="n"/>
      <c r="D677" s="71" t="n"/>
      <c r="E677" s="71" t="n"/>
      <c r="F677" s="71" t="n"/>
      <c r="G677" s="71" t="n"/>
      <c r="H677" s="71" t="n"/>
      <c r="I677" s="71" t="n"/>
      <c r="J677" s="71" t="n"/>
      <c r="K677" s="71" t="n"/>
      <c r="L677" s="71" t="n"/>
      <c r="M677" s="71" t="n"/>
      <c r="N677" s="71" t="n"/>
      <c r="O677" s="71" t="n"/>
      <c r="P677" s="71" t="n"/>
      <c r="Q677" s="71" t="n"/>
      <c r="R677" s="71" t="n"/>
      <c r="S677" s="71" t="n"/>
      <c r="T677" s="71" t="n"/>
      <c r="U677" s="71" t="n"/>
      <c r="V677" s="71" t="n"/>
      <c r="W677" s="71" t="n"/>
      <c r="X677" s="71" t="n"/>
      <c r="Y677" s="71" t="n"/>
      <c r="Z677" s="71" t="n"/>
    </row>
    <row r="678" ht="15.75" customHeight="1">
      <c r="A678" s="71" t="n"/>
      <c r="B678" s="71" t="n"/>
      <c r="C678" s="71" t="n"/>
      <c r="D678" s="71" t="n"/>
      <c r="E678" s="71" t="n"/>
      <c r="F678" s="71" t="n"/>
      <c r="G678" s="71" t="n"/>
      <c r="H678" s="71" t="n"/>
      <c r="I678" s="71" t="n"/>
      <c r="J678" s="71" t="n"/>
      <c r="K678" s="71" t="n"/>
      <c r="L678" s="71" t="n"/>
      <c r="M678" s="71" t="n"/>
      <c r="N678" s="71" t="n"/>
      <c r="O678" s="71" t="n"/>
      <c r="P678" s="71" t="n"/>
      <c r="Q678" s="71" t="n"/>
      <c r="R678" s="71" t="n"/>
      <c r="S678" s="71" t="n"/>
      <c r="T678" s="71" t="n"/>
      <c r="U678" s="71" t="n"/>
      <c r="V678" s="71" t="n"/>
      <c r="W678" s="71" t="n"/>
      <c r="X678" s="71" t="n"/>
      <c r="Y678" s="71" t="n"/>
      <c r="Z678" s="71" t="n"/>
    </row>
    <row r="679" ht="15.75" customHeight="1">
      <c r="A679" s="71" t="n"/>
      <c r="B679" s="71" t="n"/>
      <c r="C679" s="71" t="n"/>
      <c r="D679" s="71" t="n"/>
      <c r="E679" s="71" t="n"/>
      <c r="F679" s="71" t="n"/>
      <c r="G679" s="71" t="n"/>
      <c r="H679" s="71" t="n"/>
      <c r="I679" s="71" t="n"/>
      <c r="J679" s="71" t="n"/>
      <c r="K679" s="71" t="n"/>
      <c r="L679" s="71" t="n"/>
      <c r="M679" s="71" t="n"/>
      <c r="N679" s="71" t="n"/>
      <c r="O679" s="71" t="n"/>
      <c r="P679" s="71" t="n"/>
      <c r="Q679" s="71" t="n"/>
      <c r="R679" s="71" t="n"/>
      <c r="S679" s="71" t="n"/>
      <c r="T679" s="71" t="n"/>
      <c r="U679" s="71" t="n"/>
      <c r="V679" s="71" t="n"/>
      <c r="W679" s="71" t="n"/>
      <c r="X679" s="71" t="n"/>
      <c r="Y679" s="71" t="n"/>
      <c r="Z679" s="71" t="n"/>
    </row>
    <row r="680" ht="15.75" customHeight="1">
      <c r="A680" s="71" t="n"/>
      <c r="B680" s="71" t="n"/>
      <c r="C680" s="71" t="n"/>
      <c r="D680" s="71" t="n"/>
      <c r="E680" s="71" t="n"/>
      <c r="F680" s="71" t="n"/>
      <c r="G680" s="71" t="n"/>
      <c r="H680" s="71" t="n"/>
      <c r="I680" s="71" t="n"/>
      <c r="J680" s="71" t="n"/>
      <c r="K680" s="71" t="n"/>
      <c r="L680" s="71" t="n"/>
      <c r="M680" s="71" t="n"/>
      <c r="N680" s="71" t="n"/>
      <c r="O680" s="71" t="n"/>
      <c r="P680" s="71" t="n"/>
      <c r="Q680" s="71" t="n"/>
      <c r="R680" s="71" t="n"/>
      <c r="S680" s="71" t="n"/>
      <c r="T680" s="71" t="n"/>
      <c r="U680" s="71" t="n"/>
      <c r="V680" s="71" t="n"/>
      <c r="W680" s="71" t="n"/>
      <c r="X680" s="71" t="n"/>
      <c r="Y680" s="71" t="n"/>
      <c r="Z680" s="71" t="n"/>
    </row>
    <row r="681" ht="15.75" customHeight="1">
      <c r="A681" s="71" t="n"/>
      <c r="B681" s="71" t="n"/>
      <c r="C681" s="71" t="n"/>
      <c r="D681" s="71" t="n"/>
      <c r="E681" s="71" t="n"/>
      <c r="F681" s="71" t="n"/>
      <c r="G681" s="71" t="n"/>
      <c r="H681" s="71" t="n"/>
      <c r="I681" s="71" t="n"/>
      <c r="J681" s="71" t="n"/>
      <c r="K681" s="71" t="n"/>
      <c r="L681" s="71" t="n"/>
      <c r="M681" s="71" t="n"/>
      <c r="N681" s="71" t="n"/>
      <c r="O681" s="71" t="n"/>
      <c r="P681" s="71" t="n"/>
      <c r="Q681" s="71" t="n"/>
      <c r="R681" s="71" t="n"/>
      <c r="S681" s="71" t="n"/>
      <c r="T681" s="71" t="n"/>
      <c r="U681" s="71" t="n"/>
      <c r="V681" s="71" t="n"/>
      <c r="W681" s="71" t="n"/>
      <c r="X681" s="71" t="n"/>
      <c r="Y681" s="71" t="n"/>
      <c r="Z681" s="71" t="n"/>
    </row>
    <row r="682" ht="15.75" customHeight="1">
      <c r="A682" s="71" t="n"/>
      <c r="B682" s="71" t="n"/>
      <c r="C682" s="71" t="n"/>
      <c r="D682" s="71" t="n"/>
      <c r="E682" s="71" t="n"/>
      <c r="F682" s="71" t="n"/>
      <c r="G682" s="71" t="n"/>
      <c r="H682" s="71" t="n"/>
      <c r="I682" s="71" t="n"/>
      <c r="J682" s="71" t="n"/>
      <c r="K682" s="71" t="n"/>
      <c r="L682" s="71" t="n"/>
      <c r="M682" s="71" t="n"/>
      <c r="N682" s="71" t="n"/>
      <c r="O682" s="71" t="n"/>
      <c r="P682" s="71" t="n"/>
      <c r="Q682" s="71" t="n"/>
      <c r="R682" s="71" t="n"/>
      <c r="S682" s="71" t="n"/>
      <c r="T682" s="71" t="n"/>
      <c r="U682" s="71" t="n"/>
      <c r="V682" s="71" t="n"/>
      <c r="W682" s="71" t="n"/>
      <c r="X682" s="71" t="n"/>
      <c r="Y682" s="71" t="n"/>
      <c r="Z682" s="71" t="n"/>
    </row>
    <row r="683" ht="15.75" customHeight="1">
      <c r="A683" s="71" t="n"/>
      <c r="B683" s="71" t="n"/>
      <c r="C683" s="71" t="n"/>
      <c r="D683" s="71" t="n"/>
      <c r="E683" s="71" t="n"/>
      <c r="F683" s="71" t="n"/>
      <c r="G683" s="71" t="n"/>
      <c r="H683" s="71" t="n"/>
      <c r="I683" s="71" t="n"/>
      <c r="J683" s="71" t="n"/>
      <c r="K683" s="71" t="n"/>
      <c r="L683" s="71" t="n"/>
      <c r="M683" s="71" t="n"/>
      <c r="N683" s="71" t="n"/>
      <c r="O683" s="71" t="n"/>
      <c r="P683" s="71" t="n"/>
      <c r="Q683" s="71" t="n"/>
      <c r="R683" s="71" t="n"/>
      <c r="S683" s="71" t="n"/>
      <c r="T683" s="71" t="n"/>
      <c r="U683" s="71" t="n"/>
      <c r="V683" s="71" t="n"/>
      <c r="W683" s="71" t="n"/>
      <c r="X683" s="71" t="n"/>
      <c r="Y683" s="71" t="n"/>
      <c r="Z683" s="71" t="n"/>
    </row>
    <row r="684" ht="15.75" customHeight="1">
      <c r="A684" s="71" t="n"/>
      <c r="B684" s="71" t="n"/>
      <c r="C684" s="71" t="n"/>
      <c r="D684" s="71" t="n"/>
      <c r="E684" s="71" t="n"/>
      <c r="F684" s="71" t="n"/>
      <c r="G684" s="71" t="n"/>
      <c r="H684" s="71" t="n"/>
      <c r="I684" s="71" t="n"/>
      <c r="J684" s="71" t="n"/>
      <c r="K684" s="71" t="n"/>
      <c r="L684" s="71" t="n"/>
      <c r="M684" s="71" t="n"/>
      <c r="N684" s="71" t="n"/>
      <c r="O684" s="71" t="n"/>
      <c r="P684" s="71" t="n"/>
      <c r="Q684" s="71" t="n"/>
      <c r="R684" s="71" t="n"/>
      <c r="S684" s="71" t="n"/>
      <c r="T684" s="71" t="n"/>
      <c r="U684" s="71" t="n"/>
      <c r="V684" s="71" t="n"/>
      <c r="W684" s="71" t="n"/>
      <c r="X684" s="71" t="n"/>
      <c r="Y684" s="71" t="n"/>
      <c r="Z684" s="71" t="n"/>
    </row>
    <row r="685" ht="15.75" customHeight="1">
      <c r="A685" s="71" t="n"/>
      <c r="B685" s="71" t="n"/>
      <c r="C685" s="71" t="n"/>
      <c r="D685" s="71" t="n"/>
      <c r="E685" s="71" t="n"/>
      <c r="F685" s="71" t="n"/>
      <c r="G685" s="71" t="n"/>
      <c r="H685" s="71" t="n"/>
      <c r="I685" s="71" t="n"/>
      <c r="J685" s="71" t="n"/>
      <c r="K685" s="71" t="n"/>
      <c r="L685" s="71" t="n"/>
      <c r="M685" s="71" t="n"/>
      <c r="N685" s="71" t="n"/>
      <c r="O685" s="71" t="n"/>
      <c r="P685" s="71" t="n"/>
      <c r="Q685" s="71" t="n"/>
      <c r="R685" s="71" t="n"/>
      <c r="S685" s="71" t="n"/>
      <c r="T685" s="71" t="n"/>
      <c r="U685" s="71" t="n"/>
      <c r="V685" s="71" t="n"/>
      <c r="W685" s="71" t="n"/>
      <c r="X685" s="71" t="n"/>
      <c r="Y685" s="71" t="n"/>
      <c r="Z685" s="71" t="n"/>
    </row>
    <row r="686" ht="15.75" customHeight="1">
      <c r="A686" s="71" t="n"/>
      <c r="B686" s="71" t="n"/>
      <c r="C686" s="71" t="n"/>
      <c r="D686" s="71" t="n"/>
      <c r="E686" s="71" t="n"/>
      <c r="F686" s="71" t="n"/>
      <c r="G686" s="71" t="n"/>
      <c r="H686" s="71" t="n"/>
      <c r="I686" s="71" t="n"/>
      <c r="J686" s="71" t="n"/>
      <c r="K686" s="71" t="n"/>
      <c r="L686" s="71" t="n"/>
      <c r="M686" s="71" t="n"/>
      <c r="N686" s="71" t="n"/>
      <c r="O686" s="71" t="n"/>
      <c r="P686" s="71" t="n"/>
      <c r="Q686" s="71" t="n"/>
      <c r="R686" s="71" t="n"/>
      <c r="S686" s="71" t="n"/>
      <c r="T686" s="71" t="n"/>
      <c r="U686" s="71" t="n"/>
      <c r="V686" s="71" t="n"/>
      <c r="W686" s="71" t="n"/>
      <c r="X686" s="71" t="n"/>
      <c r="Y686" s="71" t="n"/>
      <c r="Z686" s="71" t="n"/>
    </row>
    <row r="687" ht="15.75" customHeight="1">
      <c r="A687" s="71" t="n"/>
      <c r="B687" s="71" t="n"/>
      <c r="C687" s="71" t="n"/>
      <c r="D687" s="71" t="n"/>
      <c r="E687" s="71" t="n"/>
      <c r="F687" s="71" t="n"/>
      <c r="G687" s="71" t="n"/>
      <c r="H687" s="71" t="n"/>
      <c r="I687" s="71" t="n"/>
      <c r="J687" s="71" t="n"/>
      <c r="K687" s="71" t="n"/>
      <c r="L687" s="71" t="n"/>
      <c r="M687" s="71" t="n"/>
      <c r="N687" s="71" t="n"/>
      <c r="O687" s="71" t="n"/>
      <c r="P687" s="71" t="n"/>
      <c r="Q687" s="71" t="n"/>
      <c r="R687" s="71" t="n"/>
      <c r="S687" s="71" t="n"/>
      <c r="T687" s="71" t="n"/>
      <c r="U687" s="71" t="n"/>
      <c r="V687" s="71" t="n"/>
      <c r="W687" s="71" t="n"/>
      <c r="X687" s="71" t="n"/>
      <c r="Y687" s="71" t="n"/>
      <c r="Z687" s="71" t="n"/>
    </row>
    <row r="688" ht="15.75" customHeight="1">
      <c r="A688" s="71" t="n"/>
      <c r="B688" s="71" t="n"/>
      <c r="C688" s="71" t="n"/>
      <c r="D688" s="71" t="n"/>
      <c r="E688" s="71" t="n"/>
      <c r="F688" s="71" t="n"/>
      <c r="G688" s="71" t="n"/>
      <c r="H688" s="71" t="n"/>
      <c r="I688" s="71" t="n"/>
      <c r="J688" s="71" t="n"/>
      <c r="K688" s="71" t="n"/>
      <c r="L688" s="71" t="n"/>
      <c r="M688" s="71" t="n"/>
      <c r="N688" s="71" t="n"/>
      <c r="O688" s="71" t="n"/>
      <c r="P688" s="71" t="n"/>
      <c r="Q688" s="71" t="n"/>
      <c r="R688" s="71" t="n"/>
      <c r="S688" s="71" t="n"/>
      <c r="T688" s="71" t="n"/>
      <c r="U688" s="71" t="n"/>
      <c r="V688" s="71" t="n"/>
      <c r="W688" s="71" t="n"/>
      <c r="X688" s="71" t="n"/>
      <c r="Y688" s="71" t="n"/>
      <c r="Z688" s="71" t="n"/>
    </row>
    <row r="689" ht="15.75" customHeight="1">
      <c r="A689" s="71" t="n"/>
      <c r="B689" s="71" t="n"/>
      <c r="C689" s="71" t="n"/>
      <c r="D689" s="71" t="n"/>
      <c r="E689" s="71" t="n"/>
      <c r="F689" s="71" t="n"/>
      <c r="G689" s="71" t="n"/>
      <c r="H689" s="71" t="n"/>
      <c r="I689" s="71" t="n"/>
      <c r="J689" s="71" t="n"/>
      <c r="K689" s="71" t="n"/>
      <c r="L689" s="71" t="n"/>
      <c r="M689" s="71" t="n"/>
      <c r="N689" s="71" t="n"/>
      <c r="O689" s="71" t="n"/>
      <c r="P689" s="71" t="n"/>
      <c r="Q689" s="71" t="n"/>
      <c r="R689" s="71" t="n"/>
      <c r="S689" s="71" t="n"/>
      <c r="T689" s="71" t="n"/>
      <c r="U689" s="71" t="n"/>
      <c r="V689" s="71" t="n"/>
      <c r="W689" s="71" t="n"/>
      <c r="X689" s="71" t="n"/>
      <c r="Y689" s="71" t="n"/>
      <c r="Z689" s="71" t="n"/>
    </row>
    <row r="690" ht="15.75" customHeight="1">
      <c r="A690" s="71" t="n"/>
      <c r="B690" s="71" t="n"/>
      <c r="C690" s="71" t="n"/>
      <c r="D690" s="71" t="n"/>
      <c r="E690" s="71" t="n"/>
      <c r="F690" s="71" t="n"/>
      <c r="G690" s="71" t="n"/>
      <c r="H690" s="71" t="n"/>
      <c r="I690" s="71" t="n"/>
      <c r="J690" s="71" t="n"/>
      <c r="K690" s="71" t="n"/>
      <c r="L690" s="71" t="n"/>
      <c r="M690" s="71" t="n"/>
      <c r="N690" s="71" t="n"/>
      <c r="O690" s="71" t="n"/>
      <c r="P690" s="71" t="n"/>
      <c r="Q690" s="71" t="n"/>
      <c r="R690" s="71" t="n"/>
      <c r="S690" s="71" t="n"/>
      <c r="T690" s="71" t="n"/>
      <c r="U690" s="71" t="n"/>
      <c r="V690" s="71" t="n"/>
      <c r="W690" s="71" t="n"/>
      <c r="X690" s="71" t="n"/>
      <c r="Y690" s="71" t="n"/>
      <c r="Z690" s="71" t="n"/>
    </row>
    <row r="691" ht="15.75" customHeight="1">
      <c r="A691" s="71" t="n"/>
      <c r="B691" s="71" t="n"/>
      <c r="C691" s="71" t="n"/>
      <c r="D691" s="71" t="n"/>
      <c r="E691" s="71" t="n"/>
      <c r="F691" s="71" t="n"/>
      <c r="G691" s="71" t="n"/>
      <c r="H691" s="71" t="n"/>
      <c r="I691" s="71" t="n"/>
      <c r="J691" s="71" t="n"/>
      <c r="K691" s="71" t="n"/>
      <c r="L691" s="71" t="n"/>
      <c r="M691" s="71" t="n"/>
      <c r="N691" s="71" t="n"/>
      <c r="O691" s="71" t="n"/>
      <c r="P691" s="71" t="n"/>
      <c r="Q691" s="71" t="n"/>
      <c r="R691" s="71" t="n"/>
      <c r="S691" s="71" t="n"/>
      <c r="T691" s="71" t="n"/>
      <c r="U691" s="71" t="n"/>
      <c r="V691" s="71" t="n"/>
      <c r="W691" s="71" t="n"/>
      <c r="X691" s="71" t="n"/>
      <c r="Y691" s="71" t="n"/>
      <c r="Z691" s="71" t="n"/>
    </row>
    <row r="692" ht="15.75" customHeight="1">
      <c r="A692" s="71" t="n"/>
      <c r="B692" s="71" t="n"/>
      <c r="C692" s="71" t="n"/>
      <c r="D692" s="71" t="n"/>
      <c r="E692" s="71" t="n"/>
      <c r="F692" s="71" t="n"/>
      <c r="G692" s="71" t="n"/>
      <c r="H692" s="71" t="n"/>
      <c r="I692" s="71" t="n"/>
      <c r="J692" s="71" t="n"/>
      <c r="K692" s="71" t="n"/>
      <c r="L692" s="71" t="n"/>
      <c r="M692" s="71" t="n"/>
      <c r="N692" s="71" t="n"/>
      <c r="O692" s="71" t="n"/>
      <c r="P692" s="71" t="n"/>
      <c r="Q692" s="71" t="n"/>
      <c r="R692" s="71" t="n"/>
      <c r="S692" s="71" t="n"/>
      <c r="T692" s="71" t="n"/>
      <c r="U692" s="71" t="n"/>
      <c r="V692" s="71" t="n"/>
      <c r="W692" s="71" t="n"/>
      <c r="X692" s="71" t="n"/>
      <c r="Y692" s="71" t="n"/>
      <c r="Z692" s="71" t="n"/>
    </row>
    <row r="693" ht="15.75" customHeight="1">
      <c r="A693" s="71" t="n"/>
      <c r="B693" s="71" t="n"/>
      <c r="C693" s="71" t="n"/>
      <c r="D693" s="71" t="n"/>
      <c r="E693" s="71" t="n"/>
      <c r="F693" s="71" t="n"/>
      <c r="G693" s="71" t="n"/>
      <c r="H693" s="71" t="n"/>
      <c r="I693" s="71" t="n"/>
      <c r="J693" s="71" t="n"/>
      <c r="K693" s="71" t="n"/>
      <c r="L693" s="71" t="n"/>
      <c r="M693" s="71" t="n"/>
      <c r="N693" s="71" t="n"/>
      <c r="O693" s="71" t="n"/>
      <c r="P693" s="71" t="n"/>
      <c r="Q693" s="71" t="n"/>
      <c r="R693" s="71" t="n"/>
      <c r="S693" s="71" t="n"/>
      <c r="T693" s="71" t="n"/>
      <c r="U693" s="71" t="n"/>
      <c r="V693" s="71" t="n"/>
      <c r="W693" s="71" t="n"/>
      <c r="X693" s="71" t="n"/>
      <c r="Y693" s="71" t="n"/>
      <c r="Z693" s="71" t="n"/>
    </row>
    <row r="694" ht="15.75" customHeight="1">
      <c r="A694" s="71" t="n"/>
      <c r="B694" s="71" t="n"/>
      <c r="C694" s="71" t="n"/>
      <c r="D694" s="71" t="n"/>
      <c r="E694" s="71" t="n"/>
      <c r="F694" s="71" t="n"/>
      <c r="G694" s="71" t="n"/>
      <c r="H694" s="71" t="n"/>
      <c r="I694" s="71" t="n"/>
      <c r="J694" s="71" t="n"/>
      <c r="K694" s="71" t="n"/>
      <c r="L694" s="71" t="n"/>
      <c r="M694" s="71" t="n"/>
      <c r="N694" s="71" t="n"/>
      <c r="O694" s="71" t="n"/>
      <c r="P694" s="71" t="n"/>
      <c r="Q694" s="71" t="n"/>
      <c r="R694" s="71" t="n"/>
      <c r="S694" s="71" t="n"/>
      <c r="T694" s="71" t="n"/>
      <c r="U694" s="71" t="n"/>
      <c r="V694" s="71" t="n"/>
      <c r="W694" s="71" t="n"/>
      <c r="X694" s="71" t="n"/>
      <c r="Y694" s="71" t="n"/>
      <c r="Z694" s="71" t="n"/>
    </row>
    <row r="695" ht="15.75" customHeight="1">
      <c r="A695" s="71" t="n"/>
      <c r="B695" s="71" t="n"/>
      <c r="C695" s="71" t="n"/>
      <c r="D695" s="71" t="n"/>
      <c r="E695" s="71" t="n"/>
      <c r="F695" s="71" t="n"/>
      <c r="G695" s="71" t="n"/>
      <c r="H695" s="71" t="n"/>
      <c r="I695" s="71" t="n"/>
      <c r="J695" s="71" t="n"/>
      <c r="K695" s="71" t="n"/>
      <c r="L695" s="71" t="n"/>
      <c r="M695" s="71" t="n"/>
      <c r="N695" s="71" t="n"/>
      <c r="O695" s="71" t="n"/>
      <c r="P695" s="71" t="n"/>
      <c r="Q695" s="71" t="n"/>
      <c r="R695" s="71" t="n"/>
      <c r="S695" s="71" t="n"/>
      <c r="T695" s="71" t="n"/>
      <c r="U695" s="71" t="n"/>
      <c r="V695" s="71" t="n"/>
      <c r="W695" s="71" t="n"/>
      <c r="X695" s="71" t="n"/>
      <c r="Y695" s="71" t="n"/>
      <c r="Z695" s="71" t="n"/>
    </row>
    <row r="696" ht="15.75" customHeight="1">
      <c r="A696" s="71" t="n"/>
      <c r="B696" s="71" t="n"/>
      <c r="C696" s="71" t="n"/>
      <c r="D696" s="71" t="n"/>
      <c r="E696" s="71" t="n"/>
      <c r="F696" s="71" t="n"/>
      <c r="G696" s="71" t="n"/>
      <c r="H696" s="71" t="n"/>
      <c r="I696" s="71" t="n"/>
      <c r="J696" s="71" t="n"/>
      <c r="K696" s="71" t="n"/>
      <c r="L696" s="71" t="n"/>
      <c r="M696" s="71" t="n"/>
      <c r="N696" s="71" t="n"/>
      <c r="O696" s="71" t="n"/>
      <c r="P696" s="71" t="n"/>
      <c r="Q696" s="71" t="n"/>
      <c r="R696" s="71" t="n"/>
      <c r="S696" s="71" t="n"/>
      <c r="T696" s="71" t="n"/>
      <c r="U696" s="71" t="n"/>
      <c r="V696" s="71" t="n"/>
      <c r="W696" s="71" t="n"/>
      <c r="X696" s="71" t="n"/>
      <c r="Y696" s="71" t="n"/>
      <c r="Z696" s="71" t="n"/>
    </row>
    <row r="697" ht="15.75" customHeight="1">
      <c r="A697" s="71" t="n"/>
      <c r="B697" s="71" t="n"/>
      <c r="C697" s="71" t="n"/>
      <c r="D697" s="71" t="n"/>
      <c r="E697" s="71" t="n"/>
      <c r="F697" s="71" t="n"/>
      <c r="G697" s="71" t="n"/>
      <c r="H697" s="71" t="n"/>
      <c r="I697" s="71" t="n"/>
      <c r="J697" s="71" t="n"/>
      <c r="K697" s="71" t="n"/>
      <c r="L697" s="71" t="n"/>
      <c r="M697" s="71" t="n"/>
      <c r="N697" s="71" t="n"/>
      <c r="O697" s="71" t="n"/>
      <c r="P697" s="71" t="n"/>
      <c r="Q697" s="71" t="n"/>
      <c r="R697" s="71" t="n"/>
      <c r="S697" s="71" t="n"/>
      <c r="T697" s="71" t="n"/>
      <c r="U697" s="71" t="n"/>
      <c r="V697" s="71" t="n"/>
      <c r="W697" s="71" t="n"/>
      <c r="X697" s="71" t="n"/>
      <c r="Y697" s="71" t="n"/>
      <c r="Z697" s="71" t="n"/>
    </row>
    <row r="698" ht="15.75" customHeight="1">
      <c r="A698" s="71" t="n"/>
      <c r="B698" s="71" t="n"/>
      <c r="C698" s="71" t="n"/>
      <c r="D698" s="71" t="n"/>
      <c r="E698" s="71" t="n"/>
      <c r="F698" s="71" t="n"/>
      <c r="G698" s="71" t="n"/>
      <c r="H698" s="71" t="n"/>
      <c r="I698" s="71" t="n"/>
      <c r="J698" s="71" t="n"/>
      <c r="K698" s="71" t="n"/>
      <c r="L698" s="71" t="n"/>
      <c r="M698" s="71" t="n"/>
      <c r="N698" s="71" t="n"/>
      <c r="O698" s="71" t="n"/>
      <c r="P698" s="71" t="n"/>
      <c r="Q698" s="71" t="n"/>
      <c r="R698" s="71" t="n"/>
      <c r="S698" s="71" t="n"/>
      <c r="T698" s="71" t="n"/>
      <c r="U698" s="71" t="n"/>
      <c r="V698" s="71" t="n"/>
      <c r="W698" s="71" t="n"/>
      <c r="X698" s="71" t="n"/>
      <c r="Y698" s="71" t="n"/>
      <c r="Z698" s="71" t="n"/>
    </row>
    <row r="699" ht="15.75" customHeight="1">
      <c r="A699" s="71" t="n"/>
      <c r="B699" s="71" t="n"/>
      <c r="C699" s="71" t="n"/>
      <c r="D699" s="71" t="n"/>
      <c r="E699" s="71" t="n"/>
      <c r="F699" s="71" t="n"/>
      <c r="G699" s="71" t="n"/>
      <c r="H699" s="71" t="n"/>
      <c r="I699" s="71" t="n"/>
      <c r="J699" s="71" t="n"/>
      <c r="K699" s="71" t="n"/>
      <c r="L699" s="71" t="n"/>
      <c r="M699" s="71" t="n"/>
      <c r="N699" s="71" t="n"/>
      <c r="O699" s="71" t="n"/>
      <c r="P699" s="71" t="n"/>
      <c r="Q699" s="71" t="n"/>
      <c r="R699" s="71" t="n"/>
      <c r="S699" s="71" t="n"/>
      <c r="T699" s="71" t="n"/>
      <c r="U699" s="71" t="n"/>
      <c r="V699" s="71" t="n"/>
      <c r="W699" s="71" t="n"/>
      <c r="X699" s="71" t="n"/>
      <c r="Y699" s="71" t="n"/>
      <c r="Z699" s="71" t="n"/>
    </row>
    <row r="700" ht="15.75" customHeight="1">
      <c r="A700" s="71" t="n"/>
      <c r="B700" s="71" t="n"/>
      <c r="C700" s="71" t="n"/>
      <c r="D700" s="71" t="n"/>
      <c r="E700" s="71" t="n"/>
      <c r="F700" s="71" t="n"/>
      <c r="G700" s="71" t="n"/>
      <c r="H700" s="71" t="n"/>
      <c r="I700" s="71" t="n"/>
      <c r="J700" s="71" t="n"/>
      <c r="K700" s="71" t="n"/>
      <c r="L700" s="71" t="n"/>
      <c r="M700" s="71" t="n"/>
      <c r="N700" s="71" t="n"/>
      <c r="O700" s="71" t="n"/>
      <c r="P700" s="71" t="n"/>
      <c r="Q700" s="71" t="n"/>
      <c r="R700" s="71" t="n"/>
      <c r="S700" s="71" t="n"/>
      <c r="T700" s="71" t="n"/>
      <c r="U700" s="71" t="n"/>
      <c r="V700" s="71" t="n"/>
      <c r="W700" s="71" t="n"/>
      <c r="X700" s="71" t="n"/>
      <c r="Y700" s="71" t="n"/>
      <c r="Z700" s="71" t="n"/>
    </row>
    <row r="701" ht="15.75" customHeight="1">
      <c r="A701" s="71" t="n"/>
      <c r="B701" s="71" t="n"/>
      <c r="C701" s="71" t="n"/>
      <c r="D701" s="71" t="n"/>
      <c r="E701" s="71" t="n"/>
      <c r="F701" s="71" t="n"/>
      <c r="G701" s="71" t="n"/>
      <c r="H701" s="71" t="n"/>
      <c r="I701" s="71" t="n"/>
      <c r="J701" s="71" t="n"/>
      <c r="K701" s="71" t="n"/>
      <c r="L701" s="71" t="n"/>
      <c r="M701" s="71" t="n"/>
      <c r="N701" s="71" t="n"/>
      <c r="O701" s="71" t="n"/>
      <c r="P701" s="71" t="n"/>
      <c r="Q701" s="71" t="n"/>
      <c r="R701" s="71" t="n"/>
      <c r="S701" s="71" t="n"/>
      <c r="T701" s="71" t="n"/>
      <c r="U701" s="71" t="n"/>
      <c r="V701" s="71" t="n"/>
      <c r="W701" s="71" t="n"/>
      <c r="X701" s="71" t="n"/>
      <c r="Y701" s="71" t="n"/>
      <c r="Z701" s="71" t="n"/>
    </row>
    <row r="702" ht="15.75" customHeight="1">
      <c r="A702" s="71" t="n"/>
      <c r="B702" s="71" t="n"/>
      <c r="C702" s="71" t="n"/>
      <c r="D702" s="71" t="n"/>
      <c r="E702" s="71" t="n"/>
      <c r="F702" s="71" t="n"/>
      <c r="G702" s="71" t="n"/>
      <c r="H702" s="71" t="n"/>
      <c r="I702" s="71" t="n"/>
      <c r="J702" s="71" t="n"/>
      <c r="K702" s="71" t="n"/>
      <c r="L702" s="71" t="n"/>
      <c r="M702" s="71" t="n"/>
      <c r="N702" s="71" t="n"/>
      <c r="O702" s="71" t="n"/>
      <c r="P702" s="71" t="n"/>
      <c r="Q702" s="71" t="n"/>
      <c r="R702" s="71" t="n"/>
      <c r="S702" s="71" t="n"/>
      <c r="T702" s="71" t="n"/>
      <c r="U702" s="71" t="n"/>
      <c r="V702" s="71" t="n"/>
      <c r="W702" s="71" t="n"/>
      <c r="X702" s="71" t="n"/>
      <c r="Y702" s="71" t="n"/>
      <c r="Z702" s="71" t="n"/>
    </row>
    <row r="703" ht="15.75" customHeight="1">
      <c r="A703" s="71" t="n"/>
      <c r="B703" s="71" t="n"/>
      <c r="C703" s="71" t="n"/>
      <c r="D703" s="71" t="n"/>
      <c r="E703" s="71" t="n"/>
      <c r="F703" s="71" t="n"/>
      <c r="G703" s="71" t="n"/>
      <c r="H703" s="71" t="n"/>
      <c r="I703" s="71" t="n"/>
      <c r="J703" s="71" t="n"/>
      <c r="K703" s="71" t="n"/>
      <c r="L703" s="71" t="n"/>
      <c r="M703" s="71" t="n"/>
      <c r="N703" s="71" t="n"/>
      <c r="O703" s="71" t="n"/>
      <c r="P703" s="71" t="n"/>
      <c r="Q703" s="71" t="n"/>
      <c r="R703" s="71" t="n"/>
      <c r="S703" s="71" t="n"/>
      <c r="T703" s="71" t="n"/>
      <c r="U703" s="71" t="n"/>
      <c r="V703" s="71" t="n"/>
      <c r="W703" s="71" t="n"/>
      <c r="X703" s="71" t="n"/>
      <c r="Y703" s="71" t="n"/>
      <c r="Z703" s="71" t="n"/>
    </row>
    <row r="704" ht="15.75" customHeight="1">
      <c r="A704" s="71" t="n"/>
      <c r="B704" s="71" t="n"/>
      <c r="C704" s="71" t="n"/>
      <c r="D704" s="71" t="n"/>
      <c r="E704" s="71" t="n"/>
      <c r="F704" s="71" t="n"/>
      <c r="G704" s="71" t="n"/>
      <c r="H704" s="71" t="n"/>
      <c r="I704" s="71" t="n"/>
      <c r="J704" s="71" t="n"/>
      <c r="K704" s="71" t="n"/>
      <c r="L704" s="71" t="n"/>
      <c r="M704" s="71" t="n"/>
      <c r="N704" s="71" t="n"/>
      <c r="O704" s="71" t="n"/>
      <c r="P704" s="71" t="n"/>
      <c r="Q704" s="71" t="n"/>
      <c r="R704" s="71" t="n"/>
      <c r="S704" s="71" t="n"/>
      <c r="T704" s="71" t="n"/>
      <c r="U704" s="71" t="n"/>
      <c r="V704" s="71" t="n"/>
      <c r="W704" s="71" t="n"/>
      <c r="X704" s="71" t="n"/>
      <c r="Y704" s="71" t="n"/>
      <c r="Z704" s="71" t="n"/>
    </row>
    <row r="705" ht="15.75" customHeight="1">
      <c r="A705" s="71" t="n"/>
      <c r="B705" s="71" t="n"/>
      <c r="C705" s="71" t="n"/>
      <c r="D705" s="71" t="n"/>
      <c r="E705" s="71" t="n"/>
      <c r="F705" s="71" t="n"/>
      <c r="G705" s="71" t="n"/>
      <c r="H705" s="71" t="n"/>
      <c r="I705" s="71" t="n"/>
      <c r="J705" s="71" t="n"/>
      <c r="K705" s="71" t="n"/>
      <c r="L705" s="71" t="n"/>
      <c r="M705" s="71" t="n"/>
      <c r="N705" s="71" t="n"/>
      <c r="O705" s="71" t="n"/>
      <c r="P705" s="71" t="n"/>
      <c r="Q705" s="71" t="n"/>
      <c r="R705" s="71" t="n"/>
      <c r="S705" s="71" t="n"/>
      <c r="T705" s="71" t="n"/>
      <c r="U705" s="71" t="n"/>
      <c r="V705" s="71" t="n"/>
      <c r="W705" s="71" t="n"/>
      <c r="X705" s="71" t="n"/>
      <c r="Y705" s="71" t="n"/>
      <c r="Z705" s="71" t="n"/>
    </row>
    <row r="706" ht="15.75" customHeight="1">
      <c r="A706" s="71" t="n"/>
      <c r="B706" s="71" t="n"/>
      <c r="C706" s="71" t="n"/>
      <c r="D706" s="71" t="n"/>
      <c r="E706" s="71" t="n"/>
      <c r="F706" s="71" t="n"/>
      <c r="G706" s="71" t="n"/>
      <c r="H706" s="71" t="n"/>
      <c r="I706" s="71" t="n"/>
      <c r="J706" s="71" t="n"/>
      <c r="K706" s="71" t="n"/>
      <c r="L706" s="71" t="n"/>
      <c r="M706" s="71" t="n"/>
      <c r="N706" s="71" t="n"/>
      <c r="O706" s="71" t="n"/>
      <c r="P706" s="71" t="n"/>
      <c r="Q706" s="71" t="n"/>
      <c r="R706" s="71" t="n"/>
      <c r="S706" s="71" t="n"/>
      <c r="T706" s="71" t="n"/>
      <c r="U706" s="71" t="n"/>
      <c r="V706" s="71" t="n"/>
      <c r="W706" s="71" t="n"/>
      <c r="X706" s="71" t="n"/>
      <c r="Y706" s="71" t="n"/>
      <c r="Z706" s="71" t="n"/>
    </row>
    <row r="707" ht="15.75" customHeight="1">
      <c r="A707" s="71" t="n"/>
      <c r="B707" s="71" t="n"/>
      <c r="C707" s="71" t="n"/>
      <c r="D707" s="71" t="n"/>
      <c r="E707" s="71" t="n"/>
      <c r="F707" s="71" t="n"/>
      <c r="G707" s="71" t="n"/>
      <c r="H707" s="71" t="n"/>
      <c r="I707" s="71" t="n"/>
      <c r="J707" s="71" t="n"/>
      <c r="K707" s="71" t="n"/>
      <c r="L707" s="71" t="n"/>
      <c r="M707" s="71" t="n"/>
      <c r="N707" s="71" t="n"/>
      <c r="O707" s="71" t="n"/>
      <c r="P707" s="71" t="n"/>
      <c r="Q707" s="71" t="n"/>
      <c r="R707" s="71" t="n"/>
      <c r="S707" s="71" t="n"/>
      <c r="T707" s="71" t="n"/>
      <c r="U707" s="71" t="n"/>
      <c r="V707" s="71" t="n"/>
      <c r="W707" s="71" t="n"/>
      <c r="X707" s="71" t="n"/>
      <c r="Y707" s="71" t="n"/>
      <c r="Z707" s="71" t="n"/>
    </row>
    <row r="708" ht="15.75" customHeight="1">
      <c r="A708" s="71" t="n"/>
      <c r="B708" s="71" t="n"/>
      <c r="C708" s="71" t="n"/>
      <c r="D708" s="71" t="n"/>
      <c r="E708" s="71" t="n"/>
      <c r="F708" s="71" t="n"/>
      <c r="G708" s="71" t="n"/>
      <c r="H708" s="71" t="n"/>
      <c r="I708" s="71" t="n"/>
      <c r="J708" s="71" t="n"/>
      <c r="K708" s="71" t="n"/>
      <c r="L708" s="71" t="n"/>
      <c r="M708" s="71" t="n"/>
      <c r="N708" s="71" t="n"/>
      <c r="O708" s="71" t="n"/>
      <c r="P708" s="71" t="n"/>
      <c r="Q708" s="71" t="n"/>
      <c r="R708" s="71" t="n"/>
      <c r="S708" s="71" t="n"/>
      <c r="T708" s="71" t="n"/>
      <c r="U708" s="71" t="n"/>
      <c r="V708" s="71" t="n"/>
      <c r="W708" s="71" t="n"/>
      <c r="X708" s="71" t="n"/>
      <c r="Y708" s="71" t="n"/>
      <c r="Z708" s="71" t="n"/>
    </row>
    <row r="709" ht="15.75" customHeight="1">
      <c r="A709" s="71" t="n"/>
      <c r="B709" s="71" t="n"/>
      <c r="C709" s="71" t="n"/>
      <c r="D709" s="71" t="n"/>
      <c r="E709" s="71" t="n"/>
      <c r="F709" s="71" t="n"/>
      <c r="G709" s="71" t="n"/>
      <c r="H709" s="71" t="n"/>
      <c r="I709" s="71" t="n"/>
      <c r="J709" s="71" t="n"/>
      <c r="K709" s="71" t="n"/>
      <c r="L709" s="71" t="n"/>
      <c r="M709" s="71" t="n"/>
      <c r="N709" s="71" t="n"/>
      <c r="O709" s="71" t="n"/>
      <c r="P709" s="71" t="n"/>
      <c r="Q709" s="71" t="n"/>
      <c r="R709" s="71" t="n"/>
      <c r="S709" s="71" t="n"/>
      <c r="T709" s="71" t="n"/>
      <c r="U709" s="71" t="n"/>
      <c r="V709" s="71" t="n"/>
      <c r="W709" s="71" t="n"/>
      <c r="X709" s="71" t="n"/>
      <c r="Y709" s="71" t="n"/>
      <c r="Z709" s="71" t="n"/>
    </row>
    <row r="710" ht="15.75" customHeight="1">
      <c r="A710" s="71" t="n"/>
      <c r="B710" s="71" t="n"/>
      <c r="C710" s="71" t="n"/>
      <c r="D710" s="71" t="n"/>
      <c r="E710" s="71" t="n"/>
      <c r="F710" s="71" t="n"/>
      <c r="G710" s="71" t="n"/>
      <c r="H710" s="71" t="n"/>
      <c r="I710" s="71" t="n"/>
      <c r="J710" s="71" t="n"/>
      <c r="K710" s="71" t="n"/>
      <c r="L710" s="71" t="n"/>
      <c r="M710" s="71" t="n"/>
      <c r="N710" s="71" t="n"/>
      <c r="O710" s="71" t="n"/>
      <c r="P710" s="71" t="n"/>
      <c r="Q710" s="71" t="n"/>
      <c r="R710" s="71" t="n"/>
      <c r="S710" s="71" t="n"/>
      <c r="T710" s="71" t="n"/>
      <c r="U710" s="71" t="n"/>
      <c r="V710" s="71" t="n"/>
      <c r="W710" s="71" t="n"/>
      <c r="X710" s="71" t="n"/>
      <c r="Y710" s="71" t="n"/>
      <c r="Z710" s="71" t="n"/>
    </row>
    <row r="711" ht="15.75" customHeight="1">
      <c r="A711" s="71" t="n"/>
      <c r="B711" s="71" t="n"/>
      <c r="C711" s="71" t="n"/>
      <c r="D711" s="71" t="n"/>
      <c r="E711" s="71" t="n"/>
      <c r="F711" s="71" t="n"/>
      <c r="G711" s="71" t="n"/>
      <c r="H711" s="71" t="n"/>
      <c r="I711" s="71" t="n"/>
      <c r="J711" s="71" t="n"/>
      <c r="K711" s="71" t="n"/>
      <c r="L711" s="71" t="n"/>
      <c r="M711" s="71" t="n"/>
      <c r="N711" s="71" t="n"/>
      <c r="O711" s="71" t="n"/>
      <c r="P711" s="71" t="n"/>
      <c r="Q711" s="71" t="n"/>
      <c r="R711" s="71" t="n"/>
      <c r="S711" s="71" t="n"/>
      <c r="T711" s="71" t="n"/>
      <c r="U711" s="71" t="n"/>
      <c r="V711" s="71" t="n"/>
      <c r="W711" s="71" t="n"/>
      <c r="X711" s="71" t="n"/>
      <c r="Y711" s="71" t="n"/>
      <c r="Z711" s="71" t="n"/>
    </row>
    <row r="712" ht="15.75" customHeight="1">
      <c r="A712" s="71" t="n"/>
      <c r="B712" s="71" t="n"/>
      <c r="C712" s="71" t="n"/>
      <c r="D712" s="71" t="n"/>
      <c r="E712" s="71" t="n"/>
      <c r="F712" s="71" t="n"/>
      <c r="G712" s="71" t="n"/>
      <c r="H712" s="71" t="n"/>
      <c r="I712" s="71" t="n"/>
      <c r="J712" s="71" t="n"/>
      <c r="K712" s="71" t="n"/>
      <c r="L712" s="71" t="n"/>
      <c r="M712" s="71" t="n"/>
      <c r="N712" s="71" t="n"/>
      <c r="O712" s="71" t="n"/>
      <c r="P712" s="71" t="n"/>
      <c r="Q712" s="71" t="n"/>
      <c r="R712" s="71" t="n"/>
      <c r="S712" s="71" t="n"/>
      <c r="T712" s="71" t="n"/>
      <c r="U712" s="71" t="n"/>
      <c r="V712" s="71" t="n"/>
      <c r="W712" s="71" t="n"/>
      <c r="X712" s="71" t="n"/>
      <c r="Y712" s="71" t="n"/>
      <c r="Z712" s="71" t="n"/>
    </row>
    <row r="713" ht="15.75" customHeight="1">
      <c r="A713" s="71" t="n"/>
      <c r="B713" s="71" t="n"/>
      <c r="C713" s="71" t="n"/>
      <c r="D713" s="71" t="n"/>
      <c r="E713" s="71" t="n"/>
      <c r="F713" s="71" t="n"/>
      <c r="G713" s="71" t="n"/>
      <c r="H713" s="71" t="n"/>
      <c r="I713" s="71" t="n"/>
      <c r="J713" s="71" t="n"/>
      <c r="K713" s="71" t="n"/>
      <c r="L713" s="71" t="n"/>
      <c r="M713" s="71" t="n"/>
      <c r="N713" s="71" t="n"/>
      <c r="O713" s="71" t="n"/>
      <c r="P713" s="71" t="n"/>
      <c r="Q713" s="71" t="n"/>
      <c r="R713" s="71" t="n"/>
      <c r="S713" s="71" t="n"/>
      <c r="T713" s="71" t="n"/>
      <c r="U713" s="71" t="n"/>
      <c r="V713" s="71" t="n"/>
      <c r="W713" s="71" t="n"/>
      <c r="X713" s="71" t="n"/>
      <c r="Y713" s="71" t="n"/>
      <c r="Z713" s="71" t="n"/>
    </row>
    <row r="714" ht="15.75" customHeight="1">
      <c r="A714" s="71" t="n"/>
      <c r="B714" s="71" t="n"/>
      <c r="C714" s="71" t="n"/>
      <c r="D714" s="71" t="n"/>
      <c r="E714" s="71" t="n"/>
      <c r="F714" s="71" t="n"/>
      <c r="G714" s="71" t="n"/>
      <c r="H714" s="71" t="n"/>
      <c r="I714" s="71" t="n"/>
      <c r="J714" s="71" t="n"/>
      <c r="K714" s="71" t="n"/>
      <c r="L714" s="71" t="n"/>
      <c r="M714" s="71" t="n"/>
      <c r="N714" s="71" t="n"/>
      <c r="O714" s="71" t="n"/>
      <c r="P714" s="71" t="n"/>
      <c r="Q714" s="71" t="n"/>
      <c r="R714" s="71" t="n"/>
      <c r="S714" s="71" t="n"/>
      <c r="T714" s="71" t="n"/>
      <c r="U714" s="71" t="n"/>
      <c r="V714" s="71" t="n"/>
      <c r="W714" s="71" t="n"/>
      <c r="X714" s="71" t="n"/>
      <c r="Y714" s="71" t="n"/>
      <c r="Z714" s="71" t="n"/>
    </row>
    <row r="715" ht="15.75" customHeight="1">
      <c r="A715" s="71" t="n"/>
      <c r="B715" s="71" t="n"/>
      <c r="C715" s="71" t="n"/>
      <c r="D715" s="71" t="n"/>
      <c r="E715" s="71" t="n"/>
      <c r="F715" s="71" t="n"/>
      <c r="G715" s="71" t="n"/>
      <c r="H715" s="71" t="n"/>
      <c r="I715" s="71" t="n"/>
      <c r="J715" s="71" t="n"/>
      <c r="K715" s="71" t="n"/>
      <c r="L715" s="71" t="n"/>
      <c r="M715" s="71" t="n"/>
      <c r="N715" s="71" t="n"/>
      <c r="O715" s="71" t="n"/>
      <c r="P715" s="71" t="n"/>
      <c r="Q715" s="71" t="n"/>
      <c r="R715" s="71" t="n"/>
      <c r="S715" s="71" t="n"/>
      <c r="T715" s="71" t="n"/>
      <c r="U715" s="71" t="n"/>
      <c r="V715" s="71" t="n"/>
      <c r="W715" s="71" t="n"/>
      <c r="X715" s="71" t="n"/>
      <c r="Y715" s="71" t="n"/>
      <c r="Z715" s="71" t="n"/>
    </row>
    <row r="716" ht="15.75" customHeight="1">
      <c r="A716" s="71" t="n"/>
      <c r="B716" s="71" t="n"/>
      <c r="C716" s="71" t="n"/>
      <c r="D716" s="71" t="n"/>
      <c r="E716" s="71" t="n"/>
      <c r="F716" s="71" t="n"/>
      <c r="G716" s="71" t="n"/>
      <c r="H716" s="71" t="n"/>
      <c r="I716" s="71" t="n"/>
      <c r="J716" s="71" t="n"/>
      <c r="K716" s="71" t="n"/>
      <c r="L716" s="71" t="n"/>
      <c r="M716" s="71" t="n"/>
      <c r="N716" s="71" t="n"/>
      <c r="O716" s="71" t="n"/>
      <c r="P716" s="71" t="n"/>
      <c r="Q716" s="71" t="n"/>
      <c r="R716" s="71" t="n"/>
      <c r="S716" s="71" t="n"/>
      <c r="T716" s="71" t="n"/>
      <c r="U716" s="71" t="n"/>
      <c r="V716" s="71" t="n"/>
      <c r="W716" s="71" t="n"/>
      <c r="X716" s="71" t="n"/>
      <c r="Y716" s="71" t="n"/>
      <c r="Z716" s="71" t="n"/>
    </row>
    <row r="717" ht="15.75" customHeight="1">
      <c r="A717" s="71" t="n"/>
      <c r="B717" s="71" t="n"/>
      <c r="C717" s="71" t="n"/>
      <c r="D717" s="71" t="n"/>
      <c r="E717" s="71" t="n"/>
      <c r="F717" s="71" t="n"/>
      <c r="G717" s="71" t="n"/>
      <c r="H717" s="71" t="n"/>
      <c r="I717" s="71" t="n"/>
      <c r="J717" s="71" t="n"/>
      <c r="K717" s="71" t="n"/>
      <c r="L717" s="71" t="n"/>
      <c r="M717" s="71" t="n"/>
      <c r="N717" s="71" t="n"/>
      <c r="O717" s="71" t="n"/>
      <c r="P717" s="71" t="n"/>
      <c r="Q717" s="71" t="n"/>
      <c r="R717" s="71" t="n"/>
      <c r="S717" s="71" t="n"/>
      <c r="T717" s="71" t="n"/>
      <c r="U717" s="71" t="n"/>
      <c r="V717" s="71" t="n"/>
      <c r="W717" s="71" t="n"/>
      <c r="X717" s="71" t="n"/>
      <c r="Y717" s="71" t="n"/>
      <c r="Z717" s="71" t="n"/>
    </row>
    <row r="718" ht="15.75" customHeight="1">
      <c r="A718" s="71" t="n"/>
      <c r="B718" s="71" t="n"/>
      <c r="C718" s="71" t="n"/>
      <c r="D718" s="71" t="n"/>
      <c r="E718" s="71" t="n"/>
      <c r="F718" s="71" t="n"/>
      <c r="G718" s="71" t="n"/>
      <c r="H718" s="71" t="n"/>
      <c r="I718" s="71" t="n"/>
      <c r="J718" s="71" t="n"/>
      <c r="K718" s="71" t="n"/>
      <c r="L718" s="71" t="n"/>
      <c r="M718" s="71" t="n"/>
      <c r="N718" s="71" t="n"/>
      <c r="O718" s="71" t="n"/>
      <c r="P718" s="71" t="n"/>
      <c r="Q718" s="71" t="n"/>
      <c r="R718" s="71" t="n"/>
      <c r="S718" s="71" t="n"/>
      <c r="T718" s="71" t="n"/>
      <c r="U718" s="71" t="n"/>
      <c r="V718" s="71" t="n"/>
      <c r="W718" s="71" t="n"/>
      <c r="X718" s="71" t="n"/>
      <c r="Y718" s="71" t="n"/>
      <c r="Z718" s="71" t="n"/>
    </row>
    <row r="719" ht="15.75" customHeight="1">
      <c r="A719" s="71" t="n"/>
      <c r="B719" s="71" t="n"/>
      <c r="C719" s="71" t="n"/>
      <c r="D719" s="71" t="n"/>
      <c r="E719" s="71" t="n"/>
      <c r="F719" s="71" t="n"/>
      <c r="G719" s="71" t="n"/>
      <c r="H719" s="71" t="n"/>
      <c r="I719" s="71" t="n"/>
      <c r="J719" s="71" t="n"/>
      <c r="K719" s="71" t="n"/>
      <c r="L719" s="71" t="n"/>
      <c r="M719" s="71" t="n"/>
      <c r="N719" s="71" t="n"/>
      <c r="O719" s="71" t="n"/>
      <c r="P719" s="71" t="n"/>
      <c r="Q719" s="71" t="n"/>
      <c r="R719" s="71" t="n"/>
      <c r="S719" s="71" t="n"/>
      <c r="T719" s="71" t="n"/>
      <c r="U719" s="71" t="n"/>
      <c r="V719" s="71" t="n"/>
      <c r="W719" s="71" t="n"/>
      <c r="X719" s="71" t="n"/>
      <c r="Y719" s="71" t="n"/>
      <c r="Z719" s="71" t="n"/>
    </row>
    <row r="720" ht="15.75" customHeight="1">
      <c r="A720" s="71" t="n"/>
      <c r="B720" s="71" t="n"/>
      <c r="C720" s="71" t="n"/>
      <c r="D720" s="71" t="n"/>
      <c r="E720" s="71" t="n"/>
      <c r="F720" s="71" t="n"/>
      <c r="G720" s="71" t="n"/>
      <c r="H720" s="71" t="n"/>
      <c r="I720" s="71" t="n"/>
      <c r="J720" s="71" t="n"/>
      <c r="K720" s="71" t="n"/>
      <c r="L720" s="71" t="n"/>
      <c r="M720" s="71" t="n"/>
      <c r="N720" s="71" t="n"/>
      <c r="O720" s="71" t="n"/>
      <c r="P720" s="71" t="n"/>
      <c r="Q720" s="71" t="n"/>
      <c r="R720" s="71" t="n"/>
      <c r="S720" s="71" t="n"/>
      <c r="T720" s="71" t="n"/>
      <c r="U720" s="71" t="n"/>
      <c r="V720" s="71" t="n"/>
      <c r="W720" s="71" t="n"/>
      <c r="X720" s="71" t="n"/>
      <c r="Y720" s="71" t="n"/>
      <c r="Z720" s="71" t="n"/>
    </row>
    <row r="721" ht="15.75" customHeight="1">
      <c r="A721" s="71" t="n"/>
      <c r="B721" s="71" t="n"/>
      <c r="C721" s="71" t="n"/>
      <c r="D721" s="71" t="n"/>
      <c r="E721" s="71" t="n"/>
      <c r="F721" s="71" t="n"/>
      <c r="G721" s="71" t="n"/>
      <c r="H721" s="71" t="n"/>
      <c r="I721" s="71" t="n"/>
      <c r="J721" s="71" t="n"/>
      <c r="K721" s="71" t="n"/>
      <c r="L721" s="71" t="n"/>
      <c r="M721" s="71" t="n"/>
      <c r="N721" s="71" t="n"/>
      <c r="O721" s="71" t="n"/>
      <c r="P721" s="71" t="n"/>
      <c r="Q721" s="71" t="n"/>
      <c r="R721" s="71" t="n"/>
      <c r="S721" s="71" t="n"/>
      <c r="T721" s="71" t="n"/>
      <c r="U721" s="71" t="n"/>
      <c r="V721" s="71" t="n"/>
      <c r="W721" s="71" t="n"/>
      <c r="X721" s="71" t="n"/>
      <c r="Y721" s="71" t="n"/>
      <c r="Z721" s="71" t="n"/>
    </row>
    <row r="722" ht="15.75" customHeight="1">
      <c r="A722" s="71" t="n"/>
      <c r="B722" s="71" t="n"/>
      <c r="C722" s="71" t="n"/>
      <c r="D722" s="71" t="n"/>
      <c r="E722" s="71" t="n"/>
      <c r="F722" s="71" t="n"/>
      <c r="G722" s="71" t="n"/>
      <c r="H722" s="71" t="n"/>
      <c r="I722" s="71" t="n"/>
      <c r="J722" s="71" t="n"/>
      <c r="K722" s="71" t="n"/>
      <c r="L722" s="71" t="n"/>
      <c r="M722" s="71" t="n"/>
      <c r="N722" s="71" t="n"/>
      <c r="O722" s="71" t="n"/>
      <c r="P722" s="71" t="n"/>
      <c r="Q722" s="71" t="n"/>
      <c r="R722" s="71" t="n"/>
      <c r="S722" s="71" t="n"/>
      <c r="T722" s="71" t="n"/>
      <c r="U722" s="71" t="n"/>
      <c r="V722" s="71" t="n"/>
      <c r="W722" s="71" t="n"/>
      <c r="X722" s="71" t="n"/>
      <c r="Y722" s="71" t="n"/>
      <c r="Z722" s="71" t="n"/>
    </row>
    <row r="723" ht="15.75" customHeight="1">
      <c r="A723" s="71" t="n"/>
      <c r="B723" s="71" t="n"/>
      <c r="C723" s="71" t="n"/>
      <c r="D723" s="71" t="n"/>
      <c r="E723" s="71" t="n"/>
      <c r="F723" s="71" t="n"/>
      <c r="G723" s="71" t="n"/>
      <c r="H723" s="71" t="n"/>
      <c r="I723" s="71" t="n"/>
      <c r="J723" s="71" t="n"/>
      <c r="K723" s="71" t="n"/>
      <c r="L723" s="71" t="n"/>
      <c r="M723" s="71" t="n"/>
      <c r="N723" s="71" t="n"/>
      <c r="O723" s="71" t="n"/>
      <c r="P723" s="71" t="n"/>
      <c r="Q723" s="71" t="n"/>
      <c r="R723" s="71" t="n"/>
      <c r="S723" s="71" t="n"/>
      <c r="T723" s="71" t="n"/>
      <c r="U723" s="71" t="n"/>
      <c r="V723" s="71" t="n"/>
      <c r="W723" s="71" t="n"/>
      <c r="X723" s="71" t="n"/>
      <c r="Y723" s="71" t="n"/>
      <c r="Z723" s="71" t="n"/>
    </row>
    <row r="724" ht="15.75" customHeight="1">
      <c r="A724" s="71" t="n"/>
      <c r="B724" s="71" t="n"/>
      <c r="C724" s="71" t="n"/>
      <c r="D724" s="71" t="n"/>
      <c r="E724" s="71" t="n"/>
      <c r="F724" s="71" t="n"/>
      <c r="G724" s="71" t="n"/>
      <c r="H724" s="71" t="n"/>
      <c r="I724" s="71" t="n"/>
      <c r="J724" s="71" t="n"/>
      <c r="K724" s="71" t="n"/>
      <c r="L724" s="71" t="n"/>
      <c r="M724" s="71" t="n"/>
      <c r="N724" s="71" t="n"/>
      <c r="O724" s="71" t="n"/>
      <c r="P724" s="71" t="n"/>
      <c r="Q724" s="71" t="n"/>
      <c r="R724" s="71" t="n"/>
      <c r="S724" s="71" t="n"/>
      <c r="T724" s="71" t="n"/>
      <c r="U724" s="71" t="n"/>
      <c r="V724" s="71" t="n"/>
      <c r="W724" s="71" t="n"/>
      <c r="X724" s="71" t="n"/>
      <c r="Y724" s="71" t="n"/>
      <c r="Z724" s="71" t="n"/>
    </row>
    <row r="725" ht="15.75" customHeight="1">
      <c r="A725" s="71" t="n"/>
      <c r="B725" s="71" t="n"/>
      <c r="C725" s="71" t="n"/>
      <c r="D725" s="71" t="n"/>
      <c r="E725" s="71" t="n"/>
      <c r="F725" s="71" t="n"/>
      <c r="G725" s="71" t="n"/>
      <c r="H725" s="71" t="n"/>
      <c r="I725" s="71" t="n"/>
      <c r="J725" s="71" t="n"/>
      <c r="K725" s="71" t="n"/>
      <c r="L725" s="71" t="n"/>
      <c r="M725" s="71" t="n"/>
      <c r="N725" s="71" t="n"/>
      <c r="O725" s="71" t="n"/>
      <c r="P725" s="71" t="n"/>
      <c r="Q725" s="71" t="n"/>
      <c r="R725" s="71" t="n"/>
      <c r="S725" s="71" t="n"/>
      <c r="T725" s="71" t="n"/>
      <c r="U725" s="71" t="n"/>
      <c r="V725" s="71" t="n"/>
      <c r="W725" s="71" t="n"/>
      <c r="X725" s="71" t="n"/>
      <c r="Y725" s="71" t="n"/>
      <c r="Z725" s="71" t="n"/>
    </row>
    <row r="726" ht="15.75" customHeight="1">
      <c r="A726" s="71" t="n"/>
      <c r="B726" s="71" t="n"/>
      <c r="C726" s="71" t="n"/>
      <c r="D726" s="71" t="n"/>
      <c r="E726" s="71" t="n"/>
      <c r="F726" s="71" t="n"/>
      <c r="G726" s="71" t="n"/>
      <c r="H726" s="71" t="n"/>
      <c r="I726" s="71" t="n"/>
      <c r="J726" s="71" t="n"/>
      <c r="K726" s="71" t="n"/>
      <c r="L726" s="71" t="n"/>
      <c r="M726" s="71" t="n"/>
      <c r="N726" s="71" t="n"/>
      <c r="O726" s="71" t="n"/>
      <c r="P726" s="71" t="n"/>
      <c r="Q726" s="71" t="n"/>
      <c r="R726" s="71" t="n"/>
      <c r="S726" s="71" t="n"/>
      <c r="T726" s="71" t="n"/>
      <c r="U726" s="71" t="n"/>
      <c r="V726" s="71" t="n"/>
      <c r="W726" s="71" t="n"/>
      <c r="X726" s="71" t="n"/>
      <c r="Y726" s="71" t="n"/>
      <c r="Z726" s="71" t="n"/>
    </row>
    <row r="727" ht="15.75" customHeight="1">
      <c r="A727" s="71" t="n"/>
      <c r="B727" s="71" t="n"/>
      <c r="C727" s="71" t="n"/>
      <c r="D727" s="71" t="n"/>
      <c r="E727" s="71" t="n"/>
      <c r="F727" s="71" t="n"/>
      <c r="G727" s="71" t="n"/>
      <c r="H727" s="71" t="n"/>
      <c r="I727" s="71" t="n"/>
      <c r="J727" s="71" t="n"/>
      <c r="K727" s="71" t="n"/>
      <c r="L727" s="71" t="n"/>
      <c r="M727" s="71" t="n"/>
      <c r="N727" s="71" t="n"/>
      <c r="O727" s="71" t="n"/>
      <c r="P727" s="71" t="n"/>
      <c r="Q727" s="71" t="n"/>
      <c r="R727" s="71" t="n"/>
      <c r="S727" s="71" t="n"/>
      <c r="T727" s="71" t="n"/>
      <c r="U727" s="71" t="n"/>
      <c r="V727" s="71" t="n"/>
      <c r="W727" s="71" t="n"/>
      <c r="X727" s="71" t="n"/>
      <c r="Y727" s="71" t="n"/>
      <c r="Z727" s="71" t="n"/>
    </row>
    <row r="728" ht="15.75" customHeight="1">
      <c r="A728" s="71" t="n"/>
      <c r="B728" s="71" t="n"/>
      <c r="C728" s="71" t="n"/>
      <c r="D728" s="71" t="n"/>
      <c r="E728" s="71" t="n"/>
      <c r="F728" s="71" t="n"/>
      <c r="G728" s="71" t="n"/>
      <c r="H728" s="71" t="n"/>
      <c r="I728" s="71" t="n"/>
      <c r="J728" s="71" t="n"/>
      <c r="K728" s="71" t="n"/>
      <c r="L728" s="71" t="n"/>
      <c r="M728" s="71" t="n"/>
      <c r="N728" s="71" t="n"/>
      <c r="O728" s="71" t="n"/>
      <c r="P728" s="71" t="n"/>
      <c r="Q728" s="71" t="n"/>
      <c r="R728" s="71" t="n"/>
      <c r="S728" s="71" t="n"/>
      <c r="T728" s="71" t="n"/>
      <c r="U728" s="71" t="n"/>
      <c r="V728" s="71" t="n"/>
      <c r="W728" s="71" t="n"/>
      <c r="X728" s="71" t="n"/>
      <c r="Y728" s="71" t="n"/>
      <c r="Z728" s="71" t="n"/>
    </row>
    <row r="729" ht="15.75" customHeight="1">
      <c r="A729" s="71" t="n"/>
      <c r="B729" s="71" t="n"/>
      <c r="C729" s="71" t="n"/>
      <c r="D729" s="71" t="n"/>
      <c r="E729" s="71" t="n"/>
      <c r="F729" s="71" t="n"/>
      <c r="G729" s="71" t="n"/>
      <c r="H729" s="71" t="n"/>
      <c r="I729" s="71" t="n"/>
      <c r="J729" s="71" t="n"/>
      <c r="K729" s="71" t="n"/>
      <c r="L729" s="71" t="n"/>
      <c r="M729" s="71" t="n"/>
      <c r="N729" s="71" t="n"/>
      <c r="O729" s="71" t="n"/>
      <c r="P729" s="71" t="n"/>
      <c r="Q729" s="71" t="n"/>
      <c r="R729" s="71" t="n"/>
      <c r="S729" s="71" t="n"/>
      <c r="T729" s="71" t="n"/>
      <c r="U729" s="71" t="n"/>
      <c r="V729" s="71" t="n"/>
      <c r="W729" s="71" t="n"/>
      <c r="X729" s="71" t="n"/>
      <c r="Y729" s="71" t="n"/>
      <c r="Z729" s="71" t="n"/>
    </row>
    <row r="730" ht="15.75" customHeight="1">
      <c r="A730" s="71" t="n"/>
      <c r="B730" s="71" t="n"/>
      <c r="C730" s="71" t="n"/>
      <c r="D730" s="71" t="n"/>
      <c r="E730" s="71" t="n"/>
      <c r="F730" s="71" t="n"/>
      <c r="G730" s="71" t="n"/>
      <c r="H730" s="71" t="n"/>
      <c r="I730" s="71" t="n"/>
      <c r="J730" s="71" t="n"/>
      <c r="K730" s="71" t="n"/>
      <c r="L730" s="71" t="n"/>
      <c r="M730" s="71" t="n"/>
      <c r="N730" s="71" t="n"/>
      <c r="O730" s="71" t="n"/>
      <c r="P730" s="71" t="n"/>
      <c r="Q730" s="71" t="n"/>
      <c r="R730" s="71" t="n"/>
      <c r="S730" s="71" t="n"/>
      <c r="T730" s="71" t="n"/>
      <c r="U730" s="71" t="n"/>
      <c r="V730" s="71" t="n"/>
      <c r="W730" s="71" t="n"/>
      <c r="X730" s="71" t="n"/>
      <c r="Y730" s="71" t="n"/>
      <c r="Z730" s="71" t="n"/>
    </row>
    <row r="731" ht="15.75" customHeight="1">
      <c r="A731" s="71" t="n"/>
      <c r="B731" s="71" t="n"/>
      <c r="C731" s="71" t="n"/>
      <c r="D731" s="71" t="n"/>
      <c r="E731" s="71" t="n"/>
      <c r="F731" s="71" t="n"/>
      <c r="G731" s="71" t="n"/>
      <c r="H731" s="71" t="n"/>
      <c r="I731" s="71" t="n"/>
      <c r="J731" s="71" t="n"/>
      <c r="K731" s="71" t="n"/>
      <c r="L731" s="71" t="n"/>
      <c r="M731" s="71" t="n"/>
      <c r="N731" s="71" t="n"/>
      <c r="O731" s="71" t="n"/>
      <c r="P731" s="71" t="n"/>
      <c r="Q731" s="71" t="n"/>
      <c r="R731" s="71" t="n"/>
      <c r="S731" s="71" t="n"/>
      <c r="T731" s="71" t="n"/>
      <c r="U731" s="71" t="n"/>
      <c r="V731" s="71" t="n"/>
      <c r="W731" s="71" t="n"/>
      <c r="X731" s="71" t="n"/>
      <c r="Y731" s="71" t="n"/>
      <c r="Z731" s="71" t="n"/>
    </row>
    <row r="732" ht="15.75" customHeight="1">
      <c r="A732" s="71" t="n"/>
      <c r="B732" s="71" t="n"/>
      <c r="C732" s="71" t="n"/>
      <c r="D732" s="71" t="n"/>
      <c r="E732" s="71" t="n"/>
      <c r="F732" s="71" t="n"/>
      <c r="G732" s="71" t="n"/>
      <c r="H732" s="71" t="n"/>
      <c r="I732" s="71" t="n"/>
      <c r="J732" s="71" t="n"/>
      <c r="K732" s="71" t="n"/>
      <c r="L732" s="71" t="n"/>
      <c r="M732" s="71" t="n"/>
      <c r="N732" s="71" t="n"/>
      <c r="O732" s="71" t="n"/>
      <c r="P732" s="71" t="n"/>
      <c r="Q732" s="71" t="n"/>
      <c r="R732" s="71" t="n"/>
      <c r="S732" s="71" t="n"/>
      <c r="T732" s="71" t="n"/>
      <c r="U732" s="71" t="n"/>
      <c r="V732" s="71" t="n"/>
      <c r="W732" s="71" t="n"/>
      <c r="X732" s="71" t="n"/>
      <c r="Y732" s="71" t="n"/>
      <c r="Z732" s="71" t="n"/>
    </row>
    <row r="733" ht="15.75" customHeight="1">
      <c r="A733" s="71" t="n"/>
      <c r="B733" s="71" t="n"/>
      <c r="C733" s="71" t="n"/>
      <c r="D733" s="71" t="n"/>
      <c r="E733" s="71" t="n"/>
      <c r="F733" s="71" t="n"/>
      <c r="G733" s="71" t="n"/>
      <c r="H733" s="71" t="n"/>
      <c r="I733" s="71" t="n"/>
      <c r="J733" s="71" t="n"/>
      <c r="K733" s="71" t="n"/>
      <c r="L733" s="71" t="n"/>
      <c r="M733" s="71" t="n"/>
      <c r="N733" s="71" t="n"/>
      <c r="O733" s="71" t="n"/>
      <c r="P733" s="71" t="n"/>
      <c r="Q733" s="71" t="n"/>
      <c r="R733" s="71" t="n"/>
      <c r="S733" s="71" t="n"/>
      <c r="T733" s="71" t="n"/>
      <c r="U733" s="71" t="n"/>
      <c r="V733" s="71" t="n"/>
      <c r="W733" s="71" t="n"/>
      <c r="X733" s="71" t="n"/>
      <c r="Y733" s="71" t="n"/>
      <c r="Z733" s="71" t="n"/>
    </row>
    <row r="734" ht="15.75" customHeight="1">
      <c r="A734" s="71" t="n"/>
      <c r="B734" s="71" t="n"/>
      <c r="C734" s="71" t="n"/>
      <c r="D734" s="71" t="n"/>
      <c r="E734" s="71" t="n"/>
      <c r="F734" s="71" t="n"/>
      <c r="G734" s="71" t="n"/>
      <c r="H734" s="71" t="n"/>
      <c r="I734" s="71" t="n"/>
      <c r="J734" s="71" t="n"/>
      <c r="K734" s="71" t="n"/>
      <c r="L734" s="71" t="n"/>
      <c r="M734" s="71" t="n"/>
      <c r="N734" s="71" t="n"/>
      <c r="O734" s="71" t="n"/>
      <c r="P734" s="71" t="n"/>
      <c r="Q734" s="71" t="n"/>
      <c r="R734" s="71" t="n"/>
      <c r="S734" s="71" t="n"/>
      <c r="T734" s="71" t="n"/>
      <c r="U734" s="71" t="n"/>
      <c r="V734" s="71" t="n"/>
      <c r="W734" s="71" t="n"/>
      <c r="X734" s="71" t="n"/>
      <c r="Y734" s="71" t="n"/>
      <c r="Z734" s="71" t="n"/>
    </row>
    <row r="735" ht="15.75" customHeight="1">
      <c r="A735" s="71" t="n"/>
      <c r="B735" s="71" t="n"/>
      <c r="C735" s="71" t="n"/>
      <c r="D735" s="71" t="n"/>
      <c r="E735" s="71" t="n"/>
      <c r="F735" s="71" t="n"/>
      <c r="G735" s="71" t="n"/>
      <c r="H735" s="71" t="n"/>
      <c r="I735" s="71" t="n"/>
      <c r="J735" s="71" t="n"/>
      <c r="K735" s="71" t="n"/>
      <c r="L735" s="71" t="n"/>
      <c r="M735" s="71" t="n"/>
      <c r="N735" s="71" t="n"/>
      <c r="O735" s="71" t="n"/>
      <c r="P735" s="71" t="n"/>
      <c r="Q735" s="71" t="n"/>
      <c r="R735" s="71" t="n"/>
      <c r="S735" s="71" t="n"/>
      <c r="T735" s="71" t="n"/>
      <c r="U735" s="71" t="n"/>
      <c r="V735" s="71" t="n"/>
      <c r="W735" s="71" t="n"/>
      <c r="X735" s="71" t="n"/>
      <c r="Y735" s="71" t="n"/>
      <c r="Z735" s="71" t="n"/>
    </row>
    <row r="736" ht="15.75" customHeight="1">
      <c r="A736" s="71" t="n"/>
      <c r="B736" s="71" t="n"/>
      <c r="C736" s="71" t="n"/>
      <c r="D736" s="71" t="n"/>
      <c r="E736" s="71" t="n"/>
      <c r="F736" s="71" t="n"/>
      <c r="G736" s="71" t="n"/>
      <c r="H736" s="71" t="n"/>
      <c r="I736" s="71" t="n"/>
      <c r="J736" s="71" t="n"/>
      <c r="K736" s="71" t="n"/>
      <c r="L736" s="71" t="n"/>
      <c r="M736" s="71" t="n"/>
      <c r="N736" s="71" t="n"/>
      <c r="O736" s="71" t="n"/>
      <c r="P736" s="71" t="n"/>
      <c r="Q736" s="71" t="n"/>
      <c r="R736" s="71" t="n"/>
      <c r="S736" s="71" t="n"/>
      <c r="T736" s="71" t="n"/>
      <c r="U736" s="71" t="n"/>
      <c r="V736" s="71" t="n"/>
      <c r="W736" s="71" t="n"/>
      <c r="X736" s="71" t="n"/>
      <c r="Y736" s="71" t="n"/>
      <c r="Z736" s="71" t="n"/>
    </row>
    <row r="737" ht="15.75" customHeight="1">
      <c r="A737" s="71" t="n"/>
      <c r="B737" s="71" t="n"/>
      <c r="C737" s="71" t="n"/>
      <c r="D737" s="71" t="n"/>
      <c r="E737" s="71" t="n"/>
      <c r="F737" s="71" t="n"/>
      <c r="G737" s="71" t="n"/>
      <c r="H737" s="71" t="n"/>
      <c r="I737" s="71" t="n"/>
      <c r="J737" s="71" t="n"/>
      <c r="K737" s="71" t="n"/>
      <c r="L737" s="71" t="n"/>
      <c r="M737" s="71" t="n"/>
      <c r="N737" s="71" t="n"/>
      <c r="O737" s="71" t="n"/>
      <c r="P737" s="71" t="n"/>
      <c r="Q737" s="71" t="n"/>
      <c r="R737" s="71" t="n"/>
      <c r="S737" s="71" t="n"/>
      <c r="T737" s="71" t="n"/>
      <c r="U737" s="71" t="n"/>
      <c r="V737" s="71" t="n"/>
      <c r="W737" s="71" t="n"/>
      <c r="X737" s="71" t="n"/>
      <c r="Y737" s="71" t="n"/>
      <c r="Z737" s="71" t="n"/>
    </row>
    <row r="738" ht="15.75" customHeight="1">
      <c r="A738" s="71" t="n"/>
      <c r="B738" s="71" t="n"/>
      <c r="C738" s="71" t="n"/>
      <c r="D738" s="71" t="n"/>
      <c r="E738" s="71" t="n"/>
      <c r="F738" s="71" t="n"/>
      <c r="G738" s="71" t="n"/>
      <c r="H738" s="71" t="n"/>
      <c r="I738" s="71" t="n"/>
      <c r="J738" s="71" t="n"/>
      <c r="K738" s="71" t="n"/>
      <c r="L738" s="71" t="n"/>
      <c r="M738" s="71" t="n"/>
      <c r="N738" s="71" t="n"/>
      <c r="O738" s="71" t="n"/>
      <c r="P738" s="71" t="n"/>
      <c r="Q738" s="71" t="n"/>
      <c r="R738" s="71" t="n"/>
      <c r="S738" s="71" t="n"/>
      <c r="T738" s="71" t="n"/>
      <c r="U738" s="71" t="n"/>
      <c r="V738" s="71" t="n"/>
      <c r="W738" s="71" t="n"/>
      <c r="X738" s="71" t="n"/>
      <c r="Y738" s="71" t="n"/>
      <c r="Z738" s="71" t="n"/>
    </row>
    <row r="739" ht="15.75" customHeight="1">
      <c r="A739" s="71" t="n"/>
      <c r="B739" s="71" t="n"/>
      <c r="C739" s="71" t="n"/>
      <c r="D739" s="71" t="n"/>
      <c r="E739" s="71" t="n"/>
      <c r="F739" s="71" t="n"/>
      <c r="G739" s="71" t="n"/>
      <c r="H739" s="71" t="n"/>
      <c r="I739" s="71" t="n"/>
      <c r="J739" s="71" t="n"/>
      <c r="K739" s="71" t="n"/>
      <c r="L739" s="71" t="n"/>
      <c r="M739" s="71" t="n"/>
      <c r="N739" s="71" t="n"/>
      <c r="O739" s="71" t="n"/>
      <c r="P739" s="71" t="n"/>
      <c r="Q739" s="71" t="n"/>
      <c r="R739" s="71" t="n"/>
      <c r="S739" s="71" t="n"/>
      <c r="T739" s="71" t="n"/>
      <c r="U739" s="71" t="n"/>
      <c r="V739" s="71" t="n"/>
      <c r="W739" s="71" t="n"/>
      <c r="X739" s="71" t="n"/>
      <c r="Y739" s="71" t="n"/>
      <c r="Z739" s="71" t="n"/>
    </row>
    <row r="740" ht="15.75" customHeight="1">
      <c r="A740" s="71" t="n"/>
      <c r="B740" s="71" t="n"/>
      <c r="C740" s="71" t="n"/>
      <c r="D740" s="71" t="n"/>
      <c r="E740" s="71" t="n"/>
      <c r="F740" s="71" t="n"/>
      <c r="G740" s="71" t="n"/>
      <c r="H740" s="71" t="n"/>
      <c r="I740" s="71" t="n"/>
      <c r="J740" s="71" t="n"/>
      <c r="K740" s="71" t="n"/>
      <c r="L740" s="71" t="n"/>
      <c r="M740" s="71" t="n"/>
      <c r="N740" s="71" t="n"/>
      <c r="O740" s="71" t="n"/>
      <c r="P740" s="71" t="n"/>
      <c r="Q740" s="71" t="n"/>
      <c r="R740" s="71" t="n"/>
      <c r="S740" s="71" t="n"/>
      <c r="T740" s="71" t="n"/>
      <c r="U740" s="71" t="n"/>
      <c r="V740" s="71" t="n"/>
      <c r="W740" s="71" t="n"/>
      <c r="X740" s="71" t="n"/>
      <c r="Y740" s="71" t="n"/>
      <c r="Z740" s="71" t="n"/>
    </row>
    <row r="741" ht="15.75" customHeight="1">
      <c r="A741" s="71" t="n"/>
      <c r="B741" s="71" t="n"/>
      <c r="C741" s="71" t="n"/>
      <c r="D741" s="71" t="n"/>
      <c r="E741" s="71" t="n"/>
      <c r="F741" s="71" t="n"/>
      <c r="G741" s="71" t="n"/>
      <c r="H741" s="71" t="n"/>
      <c r="I741" s="71" t="n"/>
      <c r="J741" s="71" t="n"/>
      <c r="K741" s="71" t="n"/>
      <c r="L741" s="71" t="n"/>
      <c r="M741" s="71" t="n"/>
      <c r="N741" s="71" t="n"/>
      <c r="O741" s="71" t="n"/>
      <c r="P741" s="71" t="n"/>
      <c r="Q741" s="71" t="n"/>
      <c r="R741" s="71" t="n"/>
      <c r="S741" s="71" t="n"/>
      <c r="T741" s="71" t="n"/>
      <c r="U741" s="71" t="n"/>
      <c r="V741" s="71" t="n"/>
      <c r="W741" s="71" t="n"/>
      <c r="X741" s="71" t="n"/>
      <c r="Y741" s="71" t="n"/>
      <c r="Z741" s="71" t="n"/>
    </row>
    <row r="742" ht="15.75" customHeight="1">
      <c r="A742" s="71" t="n"/>
      <c r="B742" s="71" t="n"/>
      <c r="C742" s="71" t="n"/>
      <c r="D742" s="71" t="n"/>
      <c r="E742" s="71" t="n"/>
      <c r="F742" s="71" t="n"/>
      <c r="G742" s="71" t="n"/>
      <c r="H742" s="71" t="n"/>
      <c r="I742" s="71" t="n"/>
      <c r="J742" s="71" t="n"/>
      <c r="K742" s="71" t="n"/>
      <c r="L742" s="71" t="n"/>
      <c r="M742" s="71" t="n"/>
      <c r="N742" s="71" t="n"/>
      <c r="O742" s="71" t="n"/>
      <c r="P742" s="71" t="n"/>
      <c r="Q742" s="71" t="n"/>
      <c r="R742" s="71" t="n"/>
      <c r="S742" s="71" t="n"/>
      <c r="T742" s="71" t="n"/>
      <c r="U742" s="71" t="n"/>
      <c r="V742" s="71" t="n"/>
      <c r="W742" s="71" t="n"/>
      <c r="X742" s="71" t="n"/>
      <c r="Y742" s="71" t="n"/>
      <c r="Z742" s="71" t="n"/>
    </row>
    <row r="743" ht="15.75" customHeight="1">
      <c r="A743" s="71" t="n"/>
      <c r="B743" s="71" t="n"/>
      <c r="C743" s="71" t="n"/>
      <c r="D743" s="71" t="n"/>
      <c r="E743" s="71" t="n"/>
      <c r="F743" s="71" t="n"/>
      <c r="G743" s="71" t="n"/>
      <c r="H743" s="71" t="n"/>
      <c r="I743" s="71" t="n"/>
      <c r="J743" s="71" t="n"/>
      <c r="K743" s="71" t="n"/>
      <c r="L743" s="71" t="n"/>
      <c r="M743" s="71" t="n"/>
      <c r="N743" s="71" t="n"/>
      <c r="O743" s="71" t="n"/>
      <c r="P743" s="71" t="n"/>
      <c r="Q743" s="71" t="n"/>
      <c r="R743" s="71" t="n"/>
      <c r="S743" s="71" t="n"/>
      <c r="T743" s="71" t="n"/>
      <c r="U743" s="71" t="n"/>
      <c r="V743" s="71" t="n"/>
      <c r="W743" s="71" t="n"/>
      <c r="X743" s="71" t="n"/>
      <c r="Y743" s="71" t="n"/>
      <c r="Z743" s="71" t="n"/>
    </row>
    <row r="744" ht="15.75" customHeight="1">
      <c r="A744" s="71" t="n"/>
      <c r="B744" s="71" t="n"/>
      <c r="C744" s="71" t="n"/>
      <c r="D744" s="71" t="n"/>
      <c r="E744" s="71" t="n"/>
      <c r="F744" s="71" t="n"/>
      <c r="G744" s="71" t="n"/>
      <c r="H744" s="71" t="n"/>
      <c r="I744" s="71" t="n"/>
      <c r="J744" s="71" t="n"/>
      <c r="K744" s="71" t="n"/>
      <c r="L744" s="71" t="n"/>
      <c r="M744" s="71" t="n"/>
      <c r="N744" s="71" t="n"/>
      <c r="O744" s="71" t="n"/>
      <c r="P744" s="71" t="n"/>
      <c r="Q744" s="71" t="n"/>
      <c r="R744" s="71" t="n"/>
      <c r="S744" s="71" t="n"/>
      <c r="T744" s="71" t="n"/>
      <c r="U744" s="71" t="n"/>
      <c r="V744" s="71" t="n"/>
      <c r="W744" s="71" t="n"/>
      <c r="X744" s="71" t="n"/>
      <c r="Y744" s="71" t="n"/>
      <c r="Z744" s="71" t="n"/>
    </row>
    <row r="745" ht="15.75" customHeight="1">
      <c r="A745" s="71" t="n"/>
      <c r="B745" s="71" t="n"/>
      <c r="C745" s="71" t="n"/>
      <c r="D745" s="71" t="n"/>
      <c r="E745" s="71" t="n"/>
      <c r="F745" s="71" t="n"/>
      <c r="G745" s="71" t="n"/>
      <c r="H745" s="71" t="n"/>
      <c r="I745" s="71" t="n"/>
      <c r="J745" s="71" t="n"/>
      <c r="K745" s="71" t="n"/>
      <c r="L745" s="71" t="n"/>
      <c r="M745" s="71" t="n"/>
      <c r="N745" s="71" t="n"/>
      <c r="O745" s="71" t="n"/>
      <c r="P745" s="71" t="n"/>
      <c r="Q745" s="71" t="n"/>
      <c r="R745" s="71" t="n"/>
      <c r="S745" s="71" t="n"/>
      <c r="T745" s="71" t="n"/>
      <c r="U745" s="71" t="n"/>
      <c r="V745" s="71" t="n"/>
      <c r="W745" s="71" t="n"/>
      <c r="X745" s="71" t="n"/>
      <c r="Y745" s="71" t="n"/>
      <c r="Z745" s="71" t="n"/>
    </row>
    <row r="746" ht="15.75" customHeight="1">
      <c r="A746" s="71" t="n"/>
      <c r="B746" s="71" t="n"/>
      <c r="C746" s="71" t="n"/>
      <c r="D746" s="71" t="n"/>
      <c r="E746" s="71" t="n"/>
      <c r="F746" s="71" t="n"/>
      <c r="G746" s="71" t="n"/>
      <c r="H746" s="71" t="n"/>
      <c r="I746" s="71" t="n"/>
      <c r="J746" s="71" t="n"/>
      <c r="K746" s="71" t="n"/>
      <c r="L746" s="71" t="n"/>
      <c r="M746" s="71" t="n"/>
      <c r="N746" s="71" t="n"/>
      <c r="O746" s="71" t="n"/>
      <c r="P746" s="71" t="n"/>
      <c r="Q746" s="71" t="n"/>
      <c r="R746" s="71" t="n"/>
      <c r="S746" s="71" t="n"/>
      <c r="T746" s="71" t="n"/>
      <c r="U746" s="71" t="n"/>
      <c r="V746" s="71" t="n"/>
      <c r="W746" s="71" t="n"/>
      <c r="X746" s="71" t="n"/>
      <c r="Y746" s="71" t="n"/>
      <c r="Z746" s="71" t="n"/>
    </row>
    <row r="747" ht="15.75" customHeight="1">
      <c r="A747" s="71" t="n"/>
      <c r="B747" s="71" t="n"/>
      <c r="C747" s="71" t="n"/>
      <c r="D747" s="71" t="n"/>
      <c r="E747" s="71" t="n"/>
      <c r="F747" s="71" t="n"/>
      <c r="G747" s="71" t="n"/>
      <c r="H747" s="71" t="n"/>
      <c r="I747" s="71" t="n"/>
      <c r="J747" s="71" t="n"/>
      <c r="K747" s="71" t="n"/>
      <c r="L747" s="71" t="n"/>
      <c r="M747" s="71" t="n"/>
      <c r="N747" s="71" t="n"/>
      <c r="O747" s="71" t="n"/>
      <c r="P747" s="71" t="n"/>
      <c r="Q747" s="71" t="n"/>
      <c r="R747" s="71" t="n"/>
      <c r="S747" s="71" t="n"/>
      <c r="T747" s="71" t="n"/>
      <c r="U747" s="71" t="n"/>
      <c r="V747" s="71" t="n"/>
      <c r="W747" s="71" t="n"/>
      <c r="X747" s="71" t="n"/>
      <c r="Y747" s="71" t="n"/>
      <c r="Z747" s="71" t="n"/>
    </row>
    <row r="748" ht="15.75" customHeight="1">
      <c r="A748" s="71" t="n"/>
      <c r="B748" s="71" t="n"/>
      <c r="C748" s="71" t="n"/>
      <c r="D748" s="71" t="n"/>
      <c r="E748" s="71" t="n"/>
      <c r="F748" s="71" t="n"/>
      <c r="G748" s="71" t="n"/>
      <c r="H748" s="71" t="n"/>
      <c r="I748" s="71" t="n"/>
      <c r="J748" s="71" t="n"/>
      <c r="K748" s="71" t="n"/>
      <c r="L748" s="71" t="n"/>
      <c r="M748" s="71" t="n"/>
      <c r="N748" s="71" t="n"/>
      <c r="O748" s="71" t="n"/>
      <c r="P748" s="71" t="n"/>
      <c r="Q748" s="71" t="n"/>
      <c r="R748" s="71" t="n"/>
      <c r="S748" s="71" t="n"/>
      <c r="T748" s="71" t="n"/>
      <c r="U748" s="71" t="n"/>
      <c r="V748" s="71" t="n"/>
      <c r="W748" s="71" t="n"/>
      <c r="X748" s="71" t="n"/>
      <c r="Y748" s="71" t="n"/>
      <c r="Z748" s="71" t="n"/>
    </row>
    <row r="749" ht="15.75" customHeight="1">
      <c r="A749" s="71" t="n"/>
      <c r="B749" s="71" t="n"/>
      <c r="C749" s="71" t="n"/>
      <c r="D749" s="71" t="n"/>
      <c r="E749" s="71" t="n"/>
      <c r="F749" s="71" t="n"/>
      <c r="G749" s="71" t="n"/>
      <c r="H749" s="71" t="n"/>
      <c r="I749" s="71" t="n"/>
      <c r="J749" s="71" t="n"/>
      <c r="K749" s="71" t="n"/>
      <c r="L749" s="71" t="n"/>
      <c r="M749" s="71" t="n"/>
      <c r="N749" s="71" t="n"/>
      <c r="O749" s="71" t="n"/>
      <c r="P749" s="71" t="n"/>
      <c r="Q749" s="71" t="n"/>
      <c r="R749" s="71" t="n"/>
      <c r="S749" s="71" t="n"/>
      <c r="T749" s="71" t="n"/>
      <c r="U749" s="71" t="n"/>
      <c r="V749" s="71" t="n"/>
      <c r="W749" s="71" t="n"/>
      <c r="X749" s="71" t="n"/>
      <c r="Y749" s="71" t="n"/>
      <c r="Z749" s="71" t="n"/>
    </row>
    <row r="750" ht="15.75" customHeight="1">
      <c r="A750" s="71" t="n"/>
      <c r="B750" s="71" t="n"/>
      <c r="C750" s="71" t="n"/>
      <c r="D750" s="71" t="n"/>
      <c r="E750" s="71" t="n"/>
      <c r="F750" s="71" t="n"/>
      <c r="G750" s="71" t="n"/>
      <c r="H750" s="71" t="n"/>
      <c r="I750" s="71" t="n"/>
      <c r="J750" s="71" t="n"/>
      <c r="K750" s="71" t="n"/>
      <c r="L750" s="71" t="n"/>
      <c r="M750" s="71" t="n"/>
      <c r="N750" s="71" t="n"/>
      <c r="O750" s="71" t="n"/>
      <c r="P750" s="71" t="n"/>
      <c r="Q750" s="71" t="n"/>
      <c r="R750" s="71" t="n"/>
      <c r="S750" s="71" t="n"/>
      <c r="T750" s="71" t="n"/>
      <c r="U750" s="71" t="n"/>
      <c r="V750" s="71" t="n"/>
      <c r="W750" s="71" t="n"/>
      <c r="X750" s="71" t="n"/>
      <c r="Y750" s="71" t="n"/>
      <c r="Z750" s="71" t="n"/>
    </row>
    <row r="751" ht="15.75" customHeight="1">
      <c r="A751" s="71" t="n"/>
      <c r="B751" s="71" t="n"/>
      <c r="C751" s="71" t="n"/>
      <c r="D751" s="71" t="n"/>
      <c r="E751" s="71" t="n"/>
      <c r="F751" s="71" t="n"/>
      <c r="G751" s="71" t="n"/>
      <c r="H751" s="71" t="n"/>
      <c r="I751" s="71" t="n"/>
      <c r="J751" s="71" t="n"/>
      <c r="K751" s="71" t="n"/>
      <c r="L751" s="71" t="n"/>
      <c r="M751" s="71" t="n"/>
      <c r="N751" s="71" t="n"/>
      <c r="O751" s="71" t="n"/>
      <c r="P751" s="71" t="n"/>
      <c r="Q751" s="71" t="n"/>
      <c r="R751" s="71" t="n"/>
      <c r="S751" s="71" t="n"/>
      <c r="T751" s="71" t="n"/>
      <c r="U751" s="71" t="n"/>
      <c r="V751" s="71" t="n"/>
      <c r="W751" s="71" t="n"/>
      <c r="X751" s="71" t="n"/>
      <c r="Y751" s="71" t="n"/>
      <c r="Z751" s="71" t="n"/>
    </row>
    <row r="752" ht="15.75" customHeight="1">
      <c r="A752" s="71" t="n"/>
      <c r="B752" s="71" t="n"/>
      <c r="C752" s="71" t="n"/>
      <c r="D752" s="71" t="n"/>
      <c r="E752" s="71" t="n"/>
      <c r="F752" s="71" t="n"/>
      <c r="G752" s="71" t="n"/>
      <c r="H752" s="71" t="n"/>
      <c r="I752" s="71" t="n"/>
      <c r="J752" s="71" t="n"/>
      <c r="K752" s="71" t="n"/>
      <c r="L752" s="71" t="n"/>
      <c r="M752" s="71" t="n"/>
      <c r="N752" s="71" t="n"/>
      <c r="O752" s="71" t="n"/>
      <c r="P752" s="71" t="n"/>
      <c r="Q752" s="71" t="n"/>
      <c r="R752" s="71" t="n"/>
      <c r="S752" s="71" t="n"/>
      <c r="T752" s="71" t="n"/>
      <c r="U752" s="71" t="n"/>
      <c r="V752" s="71" t="n"/>
      <c r="W752" s="71" t="n"/>
      <c r="X752" s="71" t="n"/>
      <c r="Y752" s="71" t="n"/>
      <c r="Z752" s="71" t="n"/>
    </row>
    <row r="753" ht="15.75" customHeight="1">
      <c r="A753" s="71" t="n"/>
      <c r="B753" s="71" t="n"/>
      <c r="C753" s="71" t="n"/>
      <c r="D753" s="71" t="n"/>
      <c r="E753" s="71" t="n"/>
      <c r="F753" s="71" t="n"/>
      <c r="G753" s="71" t="n"/>
      <c r="H753" s="71" t="n"/>
      <c r="I753" s="71" t="n"/>
      <c r="J753" s="71" t="n"/>
      <c r="K753" s="71" t="n"/>
      <c r="L753" s="71" t="n"/>
      <c r="M753" s="71" t="n"/>
      <c r="N753" s="71" t="n"/>
      <c r="O753" s="71" t="n"/>
      <c r="P753" s="71" t="n"/>
      <c r="Q753" s="71" t="n"/>
      <c r="R753" s="71" t="n"/>
      <c r="S753" s="71" t="n"/>
      <c r="T753" s="71" t="n"/>
      <c r="U753" s="71" t="n"/>
      <c r="V753" s="71" t="n"/>
      <c r="W753" s="71" t="n"/>
      <c r="X753" s="71" t="n"/>
      <c r="Y753" s="71" t="n"/>
      <c r="Z753" s="71" t="n"/>
    </row>
    <row r="754" ht="15.75" customHeight="1">
      <c r="A754" s="71" t="n"/>
      <c r="B754" s="71" t="n"/>
      <c r="C754" s="71" t="n"/>
      <c r="D754" s="71" t="n"/>
      <c r="E754" s="71" t="n"/>
      <c r="F754" s="71" t="n"/>
      <c r="G754" s="71" t="n"/>
      <c r="H754" s="71" t="n"/>
      <c r="I754" s="71" t="n"/>
      <c r="J754" s="71" t="n"/>
      <c r="K754" s="71" t="n"/>
      <c r="L754" s="71" t="n"/>
      <c r="M754" s="71" t="n"/>
      <c r="N754" s="71" t="n"/>
      <c r="O754" s="71" t="n"/>
      <c r="P754" s="71" t="n"/>
      <c r="Q754" s="71" t="n"/>
      <c r="R754" s="71" t="n"/>
      <c r="S754" s="71" t="n"/>
      <c r="T754" s="71" t="n"/>
      <c r="U754" s="71" t="n"/>
      <c r="V754" s="71" t="n"/>
      <c r="W754" s="71" t="n"/>
      <c r="X754" s="71" t="n"/>
      <c r="Y754" s="71" t="n"/>
      <c r="Z754" s="71" t="n"/>
    </row>
    <row r="755" ht="15.75" customHeight="1">
      <c r="A755" s="71" t="n"/>
      <c r="B755" s="71" t="n"/>
      <c r="C755" s="71" t="n"/>
      <c r="D755" s="71" t="n"/>
      <c r="E755" s="71" t="n"/>
      <c r="F755" s="71" t="n"/>
      <c r="G755" s="71" t="n"/>
      <c r="H755" s="71" t="n"/>
      <c r="I755" s="71" t="n"/>
      <c r="J755" s="71" t="n"/>
      <c r="K755" s="71" t="n"/>
      <c r="L755" s="71" t="n"/>
      <c r="M755" s="71" t="n"/>
      <c r="N755" s="71" t="n"/>
      <c r="O755" s="71" t="n"/>
      <c r="P755" s="71" t="n"/>
      <c r="Q755" s="71" t="n"/>
      <c r="R755" s="71" t="n"/>
      <c r="S755" s="71" t="n"/>
      <c r="T755" s="71" t="n"/>
      <c r="U755" s="71" t="n"/>
      <c r="V755" s="71" t="n"/>
      <c r="W755" s="71" t="n"/>
      <c r="X755" s="71" t="n"/>
      <c r="Y755" s="71" t="n"/>
      <c r="Z755" s="71" t="n"/>
    </row>
    <row r="756" ht="15.75" customHeight="1">
      <c r="A756" s="71" t="n"/>
      <c r="B756" s="71" t="n"/>
      <c r="C756" s="71" t="n"/>
      <c r="D756" s="71" t="n"/>
      <c r="E756" s="71" t="n"/>
      <c r="F756" s="71" t="n"/>
      <c r="G756" s="71" t="n"/>
      <c r="H756" s="71" t="n"/>
      <c r="I756" s="71" t="n"/>
      <c r="J756" s="71" t="n"/>
      <c r="K756" s="71" t="n"/>
      <c r="L756" s="71" t="n"/>
      <c r="M756" s="71" t="n"/>
      <c r="N756" s="71" t="n"/>
      <c r="O756" s="71" t="n"/>
      <c r="P756" s="71" t="n"/>
      <c r="Q756" s="71" t="n"/>
      <c r="R756" s="71" t="n"/>
      <c r="S756" s="71" t="n"/>
      <c r="T756" s="71" t="n"/>
      <c r="U756" s="71" t="n"/>
      <c r="V756" s="71" t="n"/>
      <c r="W756" s="71" t="n"/>
      <c r="X756" s="71" t="n"/>
      <c r="Y756" s="71" t="n"/>
      <c r="Z756" s="71" t="n"/>
    </row>
    <row r="757" ht="15.75" customHeight="1">
      <c r="A757" s="71" t="n"/>
      <c r="B757" s="71" t="n"/>
      <c r="C757" s="71" t="n"/>
      <c r="D757" s="71" t="n"/>
      <c r="E757" s="71" t="n"/>
      <c r="F757" s="71" t="n"/>
      <c r="G757" s="71" t="n"/>
      <c r="H757" s="71" t="n"/>
      <c r="I757" s="71" t="n"/>
      <c r="J757" s="71" t="n"/>
      <c r="K757" s="71" t="n"/>
      <c r="L757" s="71" t="n"/>
      <c r="M757" s="71" t="n"/>
      <c r="N757" s="71" t="n"/>
      <c r="O757" s="71" t="n"/>
      <c r="P757" s="71" t="n"/>
      <c r="Q757" s="71" t="n"/>
      <c r="R757" s="71" t="n"/>
      <c r="S757" s="71" t="n"/>
      <c r="T757" s="71" t="n"/>
      <c r="U757" s="71" t="n"/>
      <c r="V757" s="71" t="n"/>
      <c r="W757" s="71" t="n"/>
      <c r="X757" s="71" t="n"/>
      <c r="Y757" s="71" t="n"/>
      <c r="Z757" s="71" t="n"/>
    </row>
    <row r="758" ht="15.75" customHeight="1">
      <c r="A758" s="71" t="n"/>
      <c r="B758" s="71" t="n"/>
      <c r="C758" s="71" t="n"/>
      <c r="D758" s="71" t="n"/>
      <c r="E758" s="71" t="n"/>
      <c r="F758" s="71" t="n"/>
      <c r="G758" s="71" t="n"/>
      <c r="H758" s="71" t="n"/>
      <c r="I758" s="71" t="n"/>
      <c r="J758" s="71" t="n"/>
      <c r="K758" s="71" t="n"/>
      <c r="L758" s="71" t="n"/>
      <c r="M758" s="71" t="n"/>
      <c r="N758" s="71" t="n"/>
      <c r="O758" s="71" t="n"/>
      <c r="P758" s="71" t="n"/>
      <c r="Q758" s="71" t="n"/>
      <c r="R758" s="71" t="n"/>
      <c r="S758" s="71" t="n"/>
      <c r="T758" s="71" t="n"/>
      <c r="U758" s="71" t="n"/>
      <c r="V758" s="71" t="n"/>
      <c r="W758" s="71" t="n"/>
      <c r="X758" s="71" t="n"/>
      <c r="Y758" s="71" t="n"/>
      <c r="Z758" s="71" t="n"/>
    </row>
    <row r="759" ht="15.75" customHeight="1">
      <c r="A759" s="71" t="n"/>
      <c r="B759" s="71" t="n"/>
      <c r="C759" s="71" t="n"/>
      <c r="D759" s="71" t="n"/>
      <c r="E759" s="71" t="n"/>
      <c r="F759" s="71" t="n"/>
      <c r="G759" s="71" t="n"/>
      <c r="H759" s="71" t="n"/>
      <c r="I759" s="71" t="n"/>
      <c r="J759" s="71" t="n"/>
      <c r="K759" s="71" t="n"/>
      <c r="L759" s="71" t="n"/>
      <c r="M759" s="71" t="n"/>
      <c r="N759" s="71" t="n"/>
      <c r="O759" s="71" t="n"/>
      <c r="P759" s="71" t="n"/>
      <c r="Q759" s="71" t="n"/>
      <c r="R759" s="71" t="n"/>
      <c r="S759" s="71" t="n"/>
      <c r="T759" s="71" t="n"/>
      <c r="U759" s="71" t="n"/>
      <c r="V759" s="71" t="n"/>
      <c r="W759" s="71" t="n"/>
      <c r="X759" s="71" t="n"/>
      <c r="Y759" s="71" t="n"/>
      <c r="Z759" s="71" t="n"/>
    </row>
    <row r="760" ht="15.75" customHeight="1">
      <c r="A760" s="71" t="n"/>
      <c r="B760" s="71" t="n"/>
      <c r="C760" s="71" t="n"/>
      <c r="D760" s="71" t="n"/>
      <c r="E760" s="71" t="n"/>
      <c r="F760" s="71" t="n"/>
      <c r="G760" s="71" t="n"/>
      <c r="H760" s="71" t="n"/>
      <c r="I760" s="71" t="n"/>
      <c r="J760" s="71" t="n"/>
      <c r="K760" s="71" t="n"/>
      <c r="L760" s="71" t="n"/>
      <c r="M760" s="71" t="n"/>
      <c r="N760" s="71" t="n"/>
      <c r="O760" s="71" t="n"/>
      <c r="P760" s="71" t="n"/>
      <c r="Q760" s="71" t="n"/>
      <c r="R760" s="71" t="n"/>
      <c r="S760" s="71" t="n"/>
      <c r="T760" s="71" t="n"/>
      <c r="U760" s="71" t="n"/>
      <c r="V760" s="71" t="n"/>
      <c r="W760" s="71" t="n"/>
      <c r="X760" s="71" t="n"/>
      <c r="Y760" s="71" t="n"/>
      <c r="Z760" s="71" t="n"/>
    </row>
    <row r="761" ht="15.75" customHeight="1">
      <c r="A761" s="71" t="n"/>
      <c r="B761" s="71" t="n"/>
      <c r="C761" s="71" t="n"/>
      <c r="D761" s="71" t="n"/>
      <c r="E761" s="71" t="n"/>
      <c r="F761" s="71" t="n"/>
      <c r="G761" s="71" t="n"/>
      <c r="H761" s="71" t="n"/>
      <c r="I761" s="71" t="n"/>
      <c r="J761" s="71" t="n"/>
      <c r="K761" s="71" t="n"/>
      <c r="L761" s="71" t="n"/>
      <c r="M761" s="71" t="n"/>
      <c r="N761" s="71" t="n"/>
      <c r="O761" s="71" t="n"/>
      <c r="P761" s="71" t="n"/>
      <c r="Q761" s="71" t="n"/>
      <c r="R761" s="71" t="n"/>
      <c r="S761" s="71" t="n"/>
      <c r="T761" s="71" t="n"/>
      <c r="U761" s="71" t="n"/>
      <c r="V761" s="71" t="n"/>
      <c r="W761" s="71" t="n"/>
      <c r="X761" s="71" t="n"/>
      <c r="Y761" s="71" t="n"/>
      <c r="Z761" s="71" t="n"/>
    </row>
    <row r="762" ht="15.75" customHeight="1">
      <c r="A762" s="71" t="n"/>
      <c r="B762" s="71" t="n"/>
      <c r="C762" s="71" t="n"/>
      <c r="D762" s="71" t="n"/>
      <c r="E762" s="71" t="n"/>
      <c r="F762" s="71" t="n"/>
      <c r="G762" s="71" t="n"/>
      <c r="H762" s="71" t="n"/>
      <c r="I762" s="71" t="n"/>
      <c r="J762" s="71" t="n"/>
      <c r="K762" s="71" t="n"/>
      <c r="L762" s="71" t="n"/>
      <c r="M762" s="71" t="n"/>
      <c r="N762" s="71" t="n"/>
      <c r="O762" s="71" t="n"/>
      <c r="P762" s="71" t="n"/>
      <c r="Q762" s="71" t="n"/>
      <c r="R762" s="71" t="n"/>
      <c r="S762" s="71" t="n"/>
      <c r="T762" s="71" t="n"/>
      <c r="U762" s="71" t="n"/>
      <c r="V762" s="71" t="n"/>
      <c r="W762" s="71" t="n"/>
      <c r="X762" s="71" t="n"/>
      <c r="Y762" s="71" t="n"/>
      <c r="Z762" s="71" t="n"/>
    </row>
    <row r="763" ht="15.75" customHeight="1">
      <c r="A763" s="71" t="n"/>
      <c r="B763" s="71" t="n"/>
      <c r="C763" s="71" t="n"/>
      <c r="D763" s="71" t="n"/>
      <c r="E763" s="71" t="n"/>
      <c r="F763" s="71" t="n"/>
      <c r="G763" s="71" t="n"/>
      <c r="H763" s="71" t="n"/>
      <c r="I763" s="71" t="n"/>
      <c r="J763" s="71" t="n"/>
      <c r="K763" s="71" t="n"/>
      <c r="L763" s="71" t="n"/>
      <c r="M763" s="71" t="n"/>
      <c r="N763" s="71" t="n"/>
      <c r="O763" s="71" t="n"/>
      <c r="P763" s="71" t="n"/>
      <c r="Q763" s="71" t="n"/>
      <c r="R763" s="71" t="n"/>
      <c r="S763" s="71" t="n"/>
      <c r="T763" s="71" t="n"/>
      <c r="U763" s="71" t="n"/>
      <c r="V763" s="71" t="n"/>
      <c r="W763" s="71" t="n"/>
      <c r="X763" s="71" t="n"/>
      <c r="Y763" s="71" t="n"/>
      <c r="Z763" s="71" t="n"/>
    </row>
    <row r="764" ht="15.75" customHeight="1">
      <c r="A764" s="71" t="n"/>
      <c r="B764" s="71" t="n"/>
      <c r="C764" s="71" t="n"/>
      <c r="D764" s="71" t="n"/>
      <c r="E764" s="71" t="n"/>
      <c r="F764" s="71" t="n"/>
      <c r="G764" s="71" t="n"/>
      <c r="H764" s="71" t="n"/>
      <c r="I764" s="71" t="n"/>
      <c r="J764" s="71" t="n"/>
      <c r="K764" s="71" t="n"/>
      <c r="L764" s="71" t="n"/>
      <c r="M764" s="71" t="n"/>
      <c r="N764" s="71" t="n"/>
      <c r="O764" s="71" t="n"/>
      <c r="P764" s="71" t="n"/>
      <c r="Q764" s="71" t="n"/>
      <c r="R764" s="71" t="n"/>
      <c r="S764" s="71" t="n"/>
      <c r="T764" s="71" t="n"/>
      <c r="U764" s="71" t="n"/>
      <c r="V764" s="71" t="n"/>
      <c r="W764" s="71" t="n"/>
      <c r="X764" s="71" t="n"/>
      <c r="Y764" s="71" t="n"/>
      <c r="Z764" s="71" t="n"/>
    </row>
    <row r="765" ht="15.75" customHeight="1">
      <c r="A765" s="71" t="n"/>
      <c r="B765" s="71" t="n"/>
      <c r="C765" s="71" t="n"/>
      <c r="D765" s="71" t="n"/>
      <c r="E765" s="71" t="n"/>
      <c r="F765" s="71" t="n"/>
      <c r="G765" s="71" t="n"/>
      <c r="H765" s="71" t="n"/>
      <c r="I765" s="71" t="n"/>
      <c r="J765" s="71" t="n"/>
      <c r="K765" s="71" t="n"/>
      <c r="L765" s="71" t="n"/>
      <c r="M765" s="71" t="n"/>
      <c r="N765" s="71" t="n"/>
      <c r="O765" s="71" t="n"/>
      <c r="P765" s="71" t="n"/>
      <c r="Q765" s="71" t="n"/>
      <c r="R765" s="71" t="n"/>
      <c r="S765" s="71" t="n"/>
      <c r="T765" s="71" t="n"/>
      <c r="U765" s="71" t="n"/>
      <c r="V765" s="71" t="n"/>
      <c r="W765" s="71" t="n"/>
      <c r="X765" s="71" t="n"/>
      <c r="Y765" s="71" t="n"/>
      <c r="Z765" s="71" t="n"/>
    </row>
    <row r="766" ht="15.75" customHeight="1">
      <c r="A766" s="71" t="n"/>
      <c r="B766" s="71" t="n"/>
      <c r="C766" s="71" t="n"/>
      <c r="D766" s="71" t="n"/>
      <c r="E766" s="71" t="n"/>
      <c r="F766" s="71" t="n"/>
      <c r="G766" s="71" t="n"/>
      <c r="H766" s="71" t="n"/>
      <c r="I766" s="71" t="n"/>
      <c r="J766" s="71" t="n"/>
      <c r="K766" s="71" t="n"/>
      <c r="L766" s="71" t="n"/>
      <c r="M766" s="71" t="n"/>
      <c r="N766" s="71" t="n"/>
      <c r="O766" s="71" t="n"/>
      <c r="P766" s="71" t="n"/>
      <c r="Q766" s="71" t="n"/>
      <c r="R766" s="71" t="n"/>
      <c r="S766" s="71" t="n"/>
      <c r="T766" s="71" t="n"/>
      <c r="U766" s="71" t="n"/>
      <c r="V766" s="71" t="n"/>
      <c r="W766" s="71" t="n"/>
      <c r="X766" s="71" t="n"/>
      <c r="Y766" s="71" t="n"/>
      <c r="Z766" s="71" t="n"/>
    </row>
    <row r="767" ht="15.75" customHeight="1">
      <c r="A767" s="71" t="n"/>
      <c r="B767" s="71" t="n"/>
      <c r="C767" s="71" t="n"/>
      <c r="D767" s="71" t="n"/>
      <c r="E767" s="71" t="n"/>
      <c r="F767" s="71" t="n"/>
      <c r="G767" s="71" t="n"/>
      <c r="H767" s="71" t="n"/>
      <c r="I767" s="71" t="n"/>
      <c r="J767" s="71" t="n"/>
      <c r="K767" s="71" t="n"/>
      <c r="L767" s="71" t="n"/>
      <c r="M767" s="71" t="n"/>
      <c r="N767" s="71" t="n"/>
      <c r="O767" s="71" t="n"/>
      <c r="P767" s="71" t="n"/>
      <c r="Q767" s="71" t="n"/>
      <c r="R767" s="71" t="n"/>
      <c r="S767" s="71" t="n"/>
      <c r="T767" s="71" t="n"/>
      <c r="U767" s="71" t="n"/>
      <c r="V767" s="71" t="n"/>
      <c r="W767" s="71" t="n"/>
      <c r="X767" s="71" t="n"/>
      <c r="Y767" s="71" t="n"/>
      <c r="Z767" s="71" t="n"/>
    </row>
    <row r="768" ht="15.75" customHeight="1">
      <c r="A768" s="71" t="n"/>
      <c r="B768" s="71" t="n"/>
      <c r="C768" s="71" t="n"/>
      <c r="D768" s="71" t="n"/>
      <c r="E768" s="71" t="n"/>
      <c r="F768" s="71" t="n"/>
      <c r="G768" s="71" t="n"/>
      <c r="H768" s="71" t="n"/>
      <c r="I768" s="71" t="n"/>
      <c r="J768" s="71" t="n"/>
      <c r="K768" s="71" t="n"/>
      <c r="L768" s="71" t="n"/>
      <c r="M768" s="71" t="n"/>
      <c r="N768" s="71" t="n"/>
      <c r="O768" s="71" t="n"/>
      <c r="P768" s="71" t="n"/>
      <c r="Q768" s="71" t="n"/>
      <c r="R768" s="71" t="n"/>
      <c r="S768" s="71" t="n"/>
      <c r="T768" s="71" t="n"/>
      <c r="U768" s="71" t="n"/>
      <c r="V768" s="71" t="n"/>
      <c r="W768" s="71" t="n"/>
      <c r="X768" s="71" t="n"/>
      <c r="Y768" s="71" t="n"/>
      <c r="Z768" s="71" t="n"/>
    </row>
    <row r="769" ht="15.75" customHeight="1">
      <c r="A769" s="71" t="n"/>
      <c r="B769" s="71" t="n"/>
      <c r="C769" s="71" t="n"/>
      <c r="D769" s="71" t="n"/>
      <c r="E769" s="71" t="n"/>
      <c r="F769" s="71" t="n"/>
      <c r="G769" s="71" t="n"/>
      <c r="H769" s="71" t="n"/>
      <c r="I769" s="71" t="n"/>
      <c r="J769" s="71" t="n"/>
      <c r="K769" s="71" t="n"/>
      <c r="L769" s="71" t="n"/>
      <c r="M769" s="71" t="n"/>
      <c r="N769" s="71" t="n"/>
      <c r="O769" s="71" t="n"/>
      <c r="P769" s="71" t="n"/>
      <c r="Q769" s="71" t="n"/>
      <c r="R769" s="71" t="n"/>
      <c r="S769" s="71" t="n"/>
      <c r="T769" s="71" t="n"/>
      <c r="U769" s="71" t="n"/>
      <c r="V769" s="71" t="n"/>
      <c r="W769" s="71" t="n"/>
      <c r="X769" s="71" t="n"/>
      <c r="Y769" s="71" t="n"/>
      <c r="Z769" s="71" t="n"/>
    </row>
    <row r="770" ht="15.75" customHeight="1">
      <c r="A770" s="71" t="n"/>
      <c r="B770" s="71" t="n"/>
      <c r="C770" s="71" t="n"/>
      <c r="D770" s="71" t="n"/>
      <c r="E770" s="71" t="n"/>
      <c r="F770" s="71" t="n"/>
      <c r="G770" s="71" t="n"/>
      <c r="H770" s="71" t="n"/>
      <c r="I770" s="71" t="n"/>
      <c r="J770" s="71" t="n"/>
      <c r="K770" s="71" t="n"/>
      <c r="L770" s="71" t="n"/>
      <c r="M770" s="71" t="n"/>
      <c r="N770" s="71" t="n"/>
      <c r="O770" s="71" t="n"/>
      <c r="P770" s="71" t="n"/>
      <c r="Q770" s="71" t="n"/>
      <c r="R770" s="71" t="n"/>
      <c r="S770" s="71" t="n"/>
      <c r="T770" s="71" t="n"/>
      <c r="U770" s="71" t="n"/>
      <c r="V770" s="71" t="n"/>
      <c r="W770" s="71" t="n"/>
      <c r="X770" s="71" t="n"/>
      <c r="Y770" s="71" t="n"/>
      <c r="Z770" s="71" t="n"/>
    </row>
    <row r="771" ht="15.75" customHeight="1">
      <c r="A771" s="71" t="n"/>
      <c r="B771" s="71" t="n"/>
      <c r="C771" s="71" t="n"/>
      <c r="D771" s="71" t="n"/>
      <c r="E771" s="71" t="n"/>
      <c r="F771" s="71" t="n"/>
      <c r="G771" s="71" t="n"/>
      <c r="H771" s="71" t="n"/>
      <c r="I771" s="71" t="n"/>
      <c r="J771" s="71" t="n"/>
      <c r="K771" s="71" t="n"/>
      <c r="L771" s="71" t="n"/>
      <c r="M771" s="71" t="n"/>
      <c r="N771" s="71" t="n"/>
      <c r="O771" s="71" t="n"/>
      <c r="P771" s="71" t="n"/>
      <c r="Q771" s="71" t="n"/>
      <c r="R771" s="71" t="n"/>
      <c r="S771" s="71" t="n"/>
      <c r="T771" s="71" t="n"/>
      <c r="U771" s="71" t="n"/>
      <c r="V771" s="71" t="n"/>
      <c r="W771" s="71" t="n"/>
      <c r="X771" s="71" t="n"/>
      <c r="Y771" s="71" t="n"/>
      <c r="Z771" s="71" t="n"/>
    </row>
    <row r="772" ht="15.75" customHeight="1">
      <c r="A772" s="71" t="n"/>
      <c r="B772" s="71" t="n"/>
      <c r="C772" s="71" t="n"/>
      <c r="D772" s="71" t="n"/>
      <c r="E772" s="71" t="n"/>
      <c r="F772" s="71" t="n"/>
      <c r="G772" s="71" t="n"/>
      <c r="H772" s="71" t="n"/>
      <c r="I772" s="71" t="n"/>
      <c r="J772" s="71" t="n"/>
      <c r="K772" s="71" t="n"/>
      <c r="L772" s="71" t="n"/>
      <c r="M772" s="71" t="n"/>
      <c r="N772" s="71" t="n"/>
      <c r="O772" s="71" t="n"/>
      <c r="P772" s="71" t="n"/>
      <c r="Q772" s="71" t="n"/>
      <c r="R772" s="71" t="n"/>
      <c r="S772" s="71" t="n"/>
      <c r="T772" s="71" t="n"/>
      <c r="U772" s="71" t="n"/>
      <c r="V772" s="71" t="n"/>
      <c r="W772" s="71" t="n"/>
      <c r="X772" s="71" t="n"/>
      <c r="Y772" s="71" t="n"/>
      <c r="Z772" s="71" t="n"/>
    </row>
    <row r="773" ht="15.75" customHeight="1">
      <c r="A773" s="71" t="n"/>
      <c r="B773" s="71" t="n"/>
      <c r="C773" s="71" t="n"/>
      <c r="D773" s="71" t="n"/>
      <c r="E773" s="71" t="n"/>
      <c r="F773" s="71" t="n"/>
      <c r="G773" s="71" t="n"/>
      <c r="H773" s="71" t="n"/>
      <c r="I773" s="71" t="n"/>
      <c r="J773" s="71" t="n"/>
      <c r="K773" s="71" t="n"/>
      <c r="L773" s="71" t="n"/>
      <c r="M773" s="71" t="n"/>
      <c r="N773" s="71" t="n"/>
      <c r="O773" s="71" t="n"/>
      <c r="P773" s="71" t="n"/>
      <c r="Q773" s="71" t="n"/>
      <c r="R773" s="71" t="n"/>
      <c r="S773" s="71" t="n"/>
      <c r="T773" s="71" t="n"/>
      <c r="U773" s="71" t="n"/>
      <c r="V773" s="71" t="n"/>
      <c r="W773" s="71" t="n"/>
      <c r="X773" s="71" t="n"/>
      <c r="Y773" s="71" t="n"/>
      <c r="Z773" s="71" t="n"/>
    </row>
    <row r="774" ht="15.75" customHeight="1">
      <c r="A774" s="71" t="n"/>
      <c r="B774" s="71" t="n"/>
      <c r="C774" s="71" t="n"/>
      <c r="D774" s="71" t="n"/>
      <c r="E774" s="71" t="n"/>
      <c r="F774" s="71" t="n"/>
      <c r="G774" s="71" t="n"/>
      <c r="H774" s="71" t="n"/>
      <c r="I774" s="71" t="n"/>
      <c r="J774" s="71" t="n"/>
      <c r="K774" s="71" t="n"/>
      <c r="L774" s="71" t="n"/>
      <c r="M774" s="71" t="n"/>
      <c r="N774" s="71" t="n"/>
      <c r="O774" s="71" t="n"/>
      <c r="P774" s="71" t="n"/>
      <c r="Q774" s="71" t="n"/>
      <c r="R774" s="71" t="n"/>
      <c r="S774" s="71" t="n"/>
      <c r="T774" s="71" t="n"/>
      <c r="U774" s="71" t="n"/>
      <c r="V774" s="71" t="n"/>
      <c r="W774" s="71" t="n"/>
      <c r="X774" s="71" t="n"/>
      <c r="Y774" s="71" t="n"/>
      <c r="Z774" s="71" t="n"/>
    </row>
    <row r="775" ht="15.75" customHeight="1">
      <c r="A775" s="71" t="n"/>
      <c r="B775" s="71" t="n"/>
      <c r="C775" s="71" t="n"/>
      <c r="D775" s="71" t="n"/>
      <c r="E775" s="71" t="n"/>
      <c r="F775" s="71" t="n"/>
      <c r="G775" s="71" t="n"/>
      <c r="H775" s="71" t="n"/>
      <c r="I775" s="71" t="n"/>
      <c r="J775" s="71" t="n"/>
      <c r="K775" s="71" t="n"/>
      <c r="L775" s="71" t="n"/>
      <c r="M775" s="71" t="n"/>
      <c r="N775" s="71" t="n"/>
      <c r="O775" s="71" t="n"/>
      <c r="P775" s="71" t="n"/>
      <c r="Q775" s="71" t="n"/>
      <c r="R775" s="71" t="n"/>
      <c r="S775" s="71" t="n"/>
      <c r="T775" s="71" t="n"/>
      <c r="U775" s="71" t="n"/>
      <c r="V775" s="71" t="n"/>
      <c r="W775" s="71" t="n"/>
      <c r="X775" s="71" t="n"/>
      <c r="Y775" s="71" t="n"/>
      <c r="Z775" s="71" t="n"/>
    </row>
    <row r="776" ht="15.75" customHeight="1">
      <c r="A776" s="71" t="n"/>
      <c r="B776" s="71" t="n"/>
      <c r="C776" s="71" t="n"/>
      <c r="D776" s="71" t="n"/>
      <c r="E776" s="71" t="n"/>
      <c r="F776" s="71" t="n"/>
      <c r="G776" s="71" t="n"/>
      <c r="H776" s="71" t="n"/>
      <c r="I776" s="71" t="n"/>
      <c r="J776" s="71" t="n"/>
      <c r="K776" s="71" t="n"/>
      <c r="L776" s="71" t="n"/>
      <c r="M776" s="71" t="n"/>
      <c r="N776" s="71" t="n"/>
      <c r="O776" s="71" t="n"/>
      <c r="P776" s="71" t="n"/>
      <c r="Q776" s="71" t="n"/>
      <c r="R776" s="71" t="n"/>
      <c r="S776" s="71" t="n"/>
      <c r="T776" s="71" t="n"/>
      <c r="U776" s="71" t="n"/>
      <c r="V776" s="71" t="n"/>
      <c r="W776" s="71" t="n"/>
      <c r="X776" s="71" t="n"/>
      <c r="Y776" s="71" t="n"/>
      <c r="Z776" s="71" t="n"/>
    </row>
    <row r="777" ht="15.75" customHeight="1">
      <c r="A777" s="71" t="n"/>
      <c r="B777" s="71" t="n"/>
      <c r="C777" s="71" t="n"/>
      <c r="D777" s="71" t="n"/>
      <c r="E777" s="71" t="n"/>
      <c r="F777" s="71" t="n"/>
      <c r="G777" s="71" t="n"/>
      <c r="H777" s="71" t="n"/>
      <c r="I777" s="71" t="n"/>
      <c r="J777" s="71" t="n"/>
      <c r="K777" s="71" t="n"/>
      <c r="L777" s="71" t="n"/>
      <c r="M777" s="71" t="n"/>
      <c r="N777" s="71" t="n"/>
      <c r="O777" s="71" t="n"/>
      <c r="P777" s="71" t="n"/>
      <c r="Q777" s="71" t="n"/>
      <c r="R777" s="71" t="n"/>
      <c r="S777" s="71" t="n"/>
      <c r="T777" s="71" t="n"/>
      <c r="U777" s="71" t="n"/>
      <c r="V777" s="71" t="n"/>
      <c r="W777" s="71" t="n"/>
      <c r="X777" s="71" t="n"/>
      <c r="Y777" s="71" t="n"/>
      <c r="Z777" s="71" t="n"/>
    </row>
    <row r="778" ht="15.75" customHeight="1">
      <c r="A778" s="71" t="n"/>
      <c r="B778" s="71" t="n"/>
      <c r="C778" s="71" t="n"/>
      <c r="D778" s="71" t="n"/>
      <c r="E778" s="71" t="n"/>
      <c r="F778" s="71" t="n"/>
      <c r="G778" s="71" t="n"/>
      <c r="H778" s="71" t="n"/>
      <c r="I778" s="71" t="n"/>
      <c r="J778" s="71" t="n"/>
      <c r="K778" s="71" t="n"/>
      <c r="L778" s="71" t="n"/>
      <c r="M778" s="71" t="n"/>
      <c r="N778" s="71" t="n"/>
      <c r="O778" s="71" t="n"/>
      <c r="P778" s="71" t="n"/>
      <c r="Q778" s="71" t="n"/>
      <c r="R778" s="71" t="n"/>
      <c r="S778" s="71" t="n"/>
      <c r="T778" s="71" t="n"/>
      <c r="U778" s="71" t="n"/>
      <c r="V778" s="71" t="n"/>
      <c r="W778" s="71" t="n"/>
      <c r="X778" s="71" t="n"/>
      <c r="Y778" s="71" t="n"/>
      <c r="Z778" s="71" t="n"/>
    </row>
    <row r="779" ht="15.75" customHeight="1">
      <c r="A779" s="71" t="n"/>
      <c r="B779" s="71" t="n"/>
      <c r="C779" s="71" t="n"/>
      <c r="D779" s="71" t="n"/>
      <c r="E779" s="71" t="n"/>
      <c r="F779" s="71" t="n"/>
      <c r="G779" s="71" t="n"/>
      <c r="H779" s="71" t="n"/>
      <c r="I779" s="71" t="n"/>
      <c r="J779" s="71" t="n"/>
      <c r="K779" s="71" t="n"/>
      <c r="L779" s="71" t="n"/>
      <c r="M779" s="71" t="n"/>
      <c r="N779" s="71" t="n"/>
      <c r="O779" s="71" t="n"/>
      <c r="P779" s="71" t="n"/>
      <c r="Q779" s="71" t="n"/>
      <c r="R779" s="71" t="n"/>
      <c r="S779" s="71" t="n"/>
      <c r="T779" s="71" t="n"/>
      <c r="U779" s="71" t="n"/>
      <c r="V779" s="71" t="n"/>
      <c r="W779" s="71" t="n"/>
      <c r="X779" s="71" t="n"/>
      <c r="Y779" s="71" t="n"/>
      <c r="Z779" s="71" t="n"/>
    </row>
    <row r="780" ht="15.75" customHeight="1">
      <c r="A780" s="71" t="n"/>
      <c r="B780" s="71" t="n"/>
      <c r="C780" s="71" t="n"/>
      <c r="D780" s="71" t="n"/>
      <c r="E780" s="71" t="n"/>
      <c r="F780" s="71" t="n"/>
      <c r="G780" s="71" t="n"/>
      <c r="H780" s="71" t="n"/>
      <c r="I780" s="71" t="n"/>
      <c r="J780" s="71" t="n"/>
      <c r="K780" s="71" t="n"/>
      <c r="L780" s="71" t="n"/>
      <c r="M780" s="71" t="n"/>
      <c r="N780" s="71" t="n"/>
      <c r="O780" s="71" t="n"/>
      <c r="P780" s="71" t="n"/>
      <c r="Q780" s="71" t="n"/>
      <c r="R780" s="71" t="n"/>
      <c r="S780" s="71" t="n"/>
      <c r="T780" s="71" t="n"/>
      <c r="U780" s="71" t="n"/>
      <c r="V780" s="71" t="n"/>
      <c r="W780" s="71" t="n"/>
      <c r="X780" s="71" t="n"/>
      <c r="Y780" s="71" t="n"/>
      <c r="Z780" s="71" t="n"/>
    </row>
    <row r="781" ht="15.75" customHeight="1">
      <c r="A781" s="71" t="n"/>
      <c r="B781" s="71" t="n"/>
      <c r="C781" s="71" t="n"/>
      <c r="D781" s="71" t="n"/>
      <c r="E781" s="71" t="n"/>
      <c r="F781" s="71" t="n"/>
      <c r="G781" s="71" t="n"/>
      <c r="H781" s="71" t="n"/>
      <c r="I781" s="71" t="n"/>
      <c r="J781" s="71" t="n"/>
      <c r="K781" s="71" t="n"/>
      <c r="L781" s="71" t="n"/>
      <c r="M781" s="71" t="n"/>
      <c r="N781" s="71" t="n"/>
      <c r="O781" s="71" t="n"/>
      <c r="P781" s="71" t="n"/>
      <c r="Q781" s="71" t="n"/>
      <c r="R781" s="71" t="n"/>
      <c r="S781" s="71" t="n"/>
      <c r="T781" s="71" t="n"/>
      <c r="U781" s="71" t="n"/>
      <c r="V781" s="71" t="n"/>
      <c r="W781" s="71" t="n"/>
      <c r="X781" s="71" t="n"/>
      <c r="Y781" s="71" t="n"/>
      <c r="Z781" s="71" t="n"/>
    </row>
    <row r="782" ht="15.75" customHeight="1">
      <c r="A782" s="71" t="n"/>
      <c r="B782" s="71" t="n"/>
      <c r="C782" s="71" t="n"/>
      <c r="D782" s="71" t="n"/>
      <c r="E782" s="71" t="n"/>
      <c r="F782" s="71" t="n"/>
      <c r="G782" s="71" t="n"/>
      <c r="H782" s="71" t="n"/>
      <c r="I782" s="71" t="n"/>
      <c r="J782" s="71" t="n"/>
      <c r="K782" s="71" t="n"/>
      <c r="L782" s="71" t="n"/>
      <c r="M782" s="71" t="n"/>
      <c r="N782" s="71" t="n"/>
      <c r="O782" s="71" t="n"/>
      <c r="P782" s="71" t="n"/>
      <c r="Q782" s="71" t="n"/>
      <c r="R782" s="71" t="n"/>
      <c r="S782" s="71" t="n"/>
      <c r="T782" s="71" t="n"/>
      <c r="U782" s="71" t="n"/>
      <c r="V782" s="71" t="n"/>
      <c r="W782" s="71" t="n"/>
      <c r="X782" s="71" t="n"/>
      <c r="Y782" s="71" t="n"/>
      <c r="Z782" s="71" t="n"/>
    </row>
    <row r="783" ht="15.75" customHeight="1">
      <c r="A783" s="71" t="n"/>
      <c r="B783" s="71" t="n"/>
      <c r="C783" s="71" t="n"/>
      <c r="D783" s="71" t="n"/>
      <c r="E783" s="71" t="n"/>
      <c r="F783" s="71" t="n"/>
      <c r="G783" s="71" t="n"/>
      <c r="H783" s="71" t="n"/>
      <c r="I783" s="71" t="n"/>
      <c r="J783" s="71" t="n"/>
      <c r="K783" s="71" t="n"/>
      <c r="L783" s="71" t="n"/>
      <c r="M783" s="71" t="n"/>
      <c r="N783" s="71" t="n"/>
      <c r="O783" s="71" t="n"/>
      <c r="P783" s="71" t="n"/>
      <c r="Q783" s="71" t="n"/>
      <c r="R783" s="71" t="n"/>
      <c r="S783" s="71" t="n"/>
      <c r="T783" s="71" t="n"/>
      <c r="U783" s="71" t="n"/>
      <c r="V783" s="71" t="n"/>
      <c r="W783" s="71" t="n"/>
      <c r="X783" s="71" t="n"/>
      <c r="Y783" s="71" t="n"/>
      <c r="Z783" s="71" t="n"/>
    </row>
    <row r="784" ht="15.75" customHeight="1">
      <c r="A784" s="71" t="n"/>
      <c r="B784" s="71" t="n"/>
      <c r="C784" s="71" t="n"/>
      <c r="D784" s="71" t="n"/>
      <c r="E784" s="71" t="n"/>
      <c r="F784" s="71" t="n"/>
      <c r="G784" s="71" t="n"/>
      <c r="H784" s="71" t="n"/>
      <c r="I784" s="71" t="n"/>
      <c r="J784" s="71" t="n"/>
      <c r="K784" s="71" t="n"/>
      <c r="L784" s="71" t="n"/>
      <c r="M784" s="71" t="n"/>
      <c r="N784" s="71" t="n"/>
      <c r="O784" s="71" t="n"/>
      <c r="P784" s="71" t="n"/>
      <c r="Q784" s="71" t="n"/>
      <c r="R784" s="71" t="n"/>
      <c r="S784" s="71" t="n"/>
      <c r="T784" s="71" t="n"/>
      <c r="U784" s="71" t="n"/>
      <c r="V784" s="71" t="n"/>
      <c r="W784" s="71" t="n"/>
      <c r="X784" s="71" t="n"/>
      <c r="Y784" s="71" t="n"/>
      <c r="Z784" s="71" t="n"/>
    </row>
    <row r="785" ht="15.75" customHeight="1">
      <c r="A785" s="71" t="n"/>
      <c r="B785" s="71" t="n"/>
      <c r="C785" s="71" t="n"/>
      <c r="D785" s="71" t="n"/>
      <c r="E785" s="71" t="n"/>
      <c r="F785" s="71" t="n"/>
      <c r="G785" s="71" t="n"/>
      <c r="H785" s="71" t="n"/>
      <c r="I785" s="71" t="n"/>
      <c r="J785" s="71" t="n"/>
      <c r="K785" s="71" t="n"/>
      <c r="L785" s="71" t="n"/>
      <c r="M785" s="71" t="n"/>
      <c r="N785" s="71" t="n"/>
      <c r="O785" s="71" t="n"/>
      <c r="P785" s="71" t="n"/>
      <c r="Q785" s="71" t="n"/>
      <c r="R785" s="71" t="n"/>
      <c r="S785" s="71" t="n"/>
      <c r="T785" s="71" t="n"/>
      <c r="U785" s="71" t="n"/>
      <c r="V785" s="71" t="n"/>
      <c r="W785" s="71" t="n"/>
      <c r="X785" s="71" t="n"/>
      <c r="Y785" s="71" t="n"/>
      <c r="Z785" s="71" t="n"/>
    </row>
    <row r="786" ht="15.75" customHeight="1">
      <c r="A786" s="71" t="n"/>
      <c r="B786" s="71" t="n"/>
      <c r="C786" s="71" t="n"/>
      <c r="D786" s="71" t="n"/>
      <c r="E786" s="71" t="n"/>
      <c r="F786" s="71" t="n"/>
      <c r="G786" s="71" t="n"/>
      <c r="H786" s="71" t="n"/>
      <c r="I786" s="71" t="n"/>
      <c r="J786" s="71" t="n"/>
      <c r="K786" s="71" t="n"/>
      <c r="L786" s="71" t="n"/>
      <c r="M786" s="71" t="n"/>
      <c r="N786" s="71" t="n"/>
      <c r="O786" s="71" t="n"/>
      <c r="P786" s="71" t="n"/>
      <c r="Q786" s="71" t="n"/>
      <c r="R786" s="71" t="n"/>
      <c r="S786" s="71" t="n"/>
      <c r="T786" s="71" t="n"/>
      <c r="U786" s="71" t="n"/>
      <c r="V786" s="71" t="n"/>
      <c r="W786" s="71" t="n"/>
      <c r="X786" s="71" t="n"/>
      <c r="Y786" s="71" t="n"/>
      <c r="Z786" s="71" t="n"/>
    </row>
    <row r="787" ht="15.75" customHeight="1">
      <c r="A787" s="71" t="n"/>
      <c r="B787" s="71" t="n"/>
      <c r="C787" s="71" t="n"/>
      <c r="D787" s="71" t="n"/>
      <c r="E787" s="71" t="n"/>
      <c r="F787" s="71" t="n"/>
      <c r="G787" s="71" t="n"/>
      <c r="H787" s="71" t="n"/>
      <c r="I787" s="71" t="n"/>
      <c r="J787" s="71" t="n"/>
      <c r="K787" s="71" t="n"/>
      <c r="L787" s="71" t="n"/>
      <c r="M787" s="71" t="n"/>
      <c r="N787" s="71" t="n"/>
      <c r="O787" s="71" t="n"/>
      <c r="P787" s="71" t="n"/>
      <c r="Q787" s="71" t="n"/>
      <c r="R787" s="71" t="n"/>
      <c r="S787" s="71" t="n"/>
      <c r="T787" s="71" t="n"/>
      <c r="U787" s="71" t="n"/>
      <c r="V787" s="71" t="n"/>
      <c r="W787" s="71" t="n"/>
      <c r="X787" s="71" t="n"/>
      <c r="Y787" s="71" t="n"/>
      <c r="Z787" s="71" t="n"/>
    </row>
    <row r="788" ht="15.75" customHeight="1">
      <c r="A788" s="71" t="n"/>
      <c r="B788" s="71" t="n"/>
      <c r="C788" s="71" t="n"/>
      <c r="D788" s="71" t="n"/>
      <c r="E788" s="71" t="n"/>
      <c r="F788" s="71" t="n"/>
      <c r="G788" s="71" t="n"/>
      <c r="H788" s="71" t="n"/>
      <c r="I788" s="71" t="n"/>
      <c r="J788" s="71" t="n"/>
      <c r="K788" s="71" t="n"/>
      <c r="L788" s="71" t="n"/>
      <c r="M788" s="71" t="n"/>
      <c r="N788" s="71" t="n"/>
      <c r="O788" s="71" t="n"/>
      <c r="P788" s="71" t="n"/>
      <c r="Q788" s="71" t="n"/>
      <c r="R788" s="71" t="n"/>
      <c r="S788" s="71" t="n"/>
      <c r="T788" s="71" t="n"/>
      <c r="U788" s="71" t="n"/>
      <c r="V788" s="71" t="n"/>
      <c r="W788" s="71" t="n"/>
      <c r="X788" s="71" t="n"/>
      <c r="Y788" s="71" t="n"/>
      <c r="Z788" s="71" t="n"/>
    </row>
    <row r="789" ht="15.75" customHeight="1">
      <c r="A789" s="71" t="n"/>
      <c r="B789" s="71" t="n"/>
      <c r="C789" s="71" t="n"/>
      <c r="D789" s="71" t="n"/>
      <c r="E789" s="71" t="n"/>
      <c r="F789" s="71" t="n"/>
      <c r="G789" s="71" t="n"/>
      <c r="H789" s="71" t="n"/>
      <c r="I789" s="71" t="n"/>
      <c r="J789" s="71" t="n"/>
      <c r="K789" s="71" t="n"/>
      <c r="L789" s="71" t="n"/>
      <c r="M789" s="71" t="n"/>
      <c r="N789" s="71" t="n"/>
      <c r="O789" s="71" t="n"/>
      <c r="P789" s="71" t="n"/>
      <c r="Q789" s="71" t="n"/>
      <c r="R789" s="71" t="n"/>
      <c r="S789" s="71" t="n"/>
      <c r="T789" s="71" t="n"/>
      <c r="U789" s="71" t="n"/>
      <c r="V789" s="71" t="n"/>
      <c r="W789" s="71" t="n"/>
      <c r="X789" s="71" t="n"/>
      <c r="Y789" s="71" t="n"/>
      <c r="Z789" s="71" t="n"/>
    </row>
    <row r="790" ht="15.75" customHeight="1">
      <c r="A790" s="71" t="n"/>
      <c r="B790" s="71" t="n"/>
      <c r="C790" s="71" t="n"/>
      <c r="D790" s="71" t="n"/>
      <c r="E790" s="71" t="n"/>
      <c r="F790" s="71" t="n"/>
      <c r="G790" s="71" t="n"/>
      <c r="H790" s="71" t="n"/>
      <c r="I790" s="71" t="n"/>
      <c r="J790" s="71" t="n"/>
      <c r="K790" s="71" t="n"/>
      <c r="L790" s="71" t="n"/>
      <c r="M790" s="71" t="n"/>
      <c r="N790" s="71" t="n"/>
      <c r="O790" s="71" t="n"/>
      <c r="P790" s="71" t="n"/>
      <c r="Q790" s="71" t="n"/>
      <c r="R790" s="71" t="n"/>
      <c r="S790" s="71" t="n"/>
      <c r="T790" s="71" t="n"/>
      <c r="U790" s="71" t="n"/>
      <c r="V790" s="71" t="n"/>
      <c r="W790" s="71" t="n"/>
      <c r="X790" s="71" t="n"/>
      <c r="Y790" s="71" t="n"/>
      <c r="Z790" s="71" t="n"/>
    </row>
    <row r="791" ht="15.75" customHeight="1">
      <c r="A791" s="71" t="n"/>
      <c r="B791" s="71" t="n"/>
      <c r="C791" s="71" t="n"/>
      <c r="D791" s="71" t="n"/>
      <c r="E791" s="71" t="n"/>
      <c r="F791" s="71" t="n"/>
      <c r="G791" s="71" t="n"/>
      <c r="H791" s="71" t="n"/>
      <c r="I791" s="71" t="n"/>
      <c r="J791" s="71" t="n"/>
      <c r="K791" s="71" t="n"/>
      <c r="L791" s="71" t="n"/>
      <c r="M791" s="71" t="n"/>
      <c r="N791" s="71" t="n"/>
      <c r="O791" s="71" t="n"/>
      <c r="P791" s="71" t="n"/>
      <c r="Q791" s="71" t="n"/>
      <c r="R791" s="71" t="n"/>
      <c r="S791" s="71" t="n"/>
      <c r="T791" s="71" t="n"/>
      <c r="U791" s="71" t="n"/>
      <c r="V791" s="71" t="n"/>
      <c r="W791" s="71" t="n"/>
      <c r="X791" s="71" t="n"/>
      <c r="Y791" s="71" t="n"/>
      <c r="Z791" s="71" t="n"/>
    </row>
    <row r="792" ht="15.75" customHeight="1">
      <c r="A792" s="71" t="n"/>
      <c r="B792" s="71" t="n"/>
      <c r="C792" s="71" t="n"/>
      <c r="D792" s="71" t="n"/>
      <c r="E792" s="71" t="n"/>
      <c r="F792" s="71" t="n"/>
      <c r="G792" s="71" t="n"/>
      <c r="H792" s="71" t="n"/>
      <c r="I792" s="71" t="n"/>
      <c r="J792" s="71" t="n"/>
      <c r="K792" s="71" t="n"/>
      <c r="L792" s="71" t="n"/>
      <c r="M792" s="71" t="n"/>
      <c r="N792" s="71" t="n"/>
      <c r="O792" s="71" t="n"/>
      <c r="P792" s="71" t="n"/>
      <c r="Q792" s="71" t="n"/>
      <c r="R792" s="71" t="n"/>
      <c r="S792" s="71" t="n"/>
      <c r="T792" s="71" t="n"/>
      <c r="U792" s="71" t="n"/>
      <c r="V792" s="71" t="n"/>
      <c r="W792" s="71" t="n"/>
      <c r="X792" s="71" t="n"/>
      <c r="Y792" s="71" t="n"/>
      <c r="Z792" s="71" t="n"/>
    </row>
    <row r="793" ht="15.75" customHeight="1">
      <c r="A793" s="71" t="n"/>
      <c r="B793" s="71" t="n"/>
      <c r="C793" s="71" t="n"/>
      <c r="D793" s="71" t="n"/>
      <c r="E793" s="71" t="n"/>
      <c r="F793" s="71" t="n"/>
      <c r="G793" s="71" t="n"/>
      <c r="H793" s="71" t="n"/>
      <c r="I793" s="71" t="n"/>
      <c r="J793" s="71" t="n"/>
      <c r="K793" s="71" t="n"/>
      <c r="L793" s="71" t="n"/>
      <c r="M793" s="71" t="n"/>
      <c r="N793" s="71" t="n"/>
      <c r="O793" s="71" t="n"/>
      <c r="P793" s="71" t="n"/>
      <c r="Q793" s="71" t="n"/>
      <c r="R793" s="71" t="n"/>
      <c r="S793" s="71" t="n"/>
      <c r="T793" s="71" t="n"/>
      <c r="U793" s="71" t="n"/>
      <c r="V793" s="71" t="n"/>
      <c r="W793" s="71" t="n"/>
      <c r="X793" s="71" t="n"/>
      <c r="Y793" s="71" t="n"/>
      <c r="Z793" s="71" t="n"/>
    </row>
    <row r="794" ht="15.75" customHeight="1">
      <c r="A794" s="71" t="n"/>
      <c r="B794" s="71" t="n"/>
      <c r="C794" s="71" t="n"/>
      <c r="D794" s="71" t="n"/>
      <c r="E794" s="71" t="n"/>
      <c r="F794" s="71" t="n"/>
      <c r="G794" s="71" t="n"/>
      <c r="H794" s="71" t="n"/>
      <c r="I794" s="71" t="n"/>
      <c r="J794" s="71" t="n"/>
      <c r="K794" s="71" t="n"/>
      <c r="L794" s="71" t="n"/>
      <c r="M794" s="71" t="n"/>
      <c r="N794" s="71" t="n"/>
      <c r="O794" s="71" t="n"/>
      <c r="P794" s="71" t="n"/>
      <c r="Q794" s="71" t="n"/>
      <c r="R794" s="71" t="n"/>
      <c r="S794" s="71" t="n"/>
      <c r="T794" s="71" t="n"/>
      <c r="U794" s="71" t="n"/>
      <c r="V794" s="71" t="n"/>
      <c r="W794" s="71" t="n"/>
      <c r="X794" s="71" t="n"/>
      <c r="Y794" s="71" t="n"/>
      <c r="Z794" s="71" t="n"/>
    </row>
    <row r="795" ht="15.75" customHeight="1">
      <c r="A795" s="71" t="n"/>
      <c r="B795" s="71" t="n"/>
      <c r="C795" s="71" t="n"/>
      <c r="D795" s="71" t="n"/>
      <c r="E795" s="71" t="n"/>
      <c r="F795" s="71" t="n"/>
      <c r="G795" s="71" t="n"/>
      <c r="H795" s="71" t="n"/>
      <c r="I795" s="71" t="n"/>
      <c r="J795" s="71" t="n"/>
      <c r="K795" s="71" t="n"/>
      <c r="L795" s="71" t="n"/>
      <c r="M795" s="71" t="n"/>
      <c r="N795" s="71" t="n"/>
      <c r="O795" s="71" t="n"/>
      <c r="P795" s="71" t="n"/>
      <c r="Q795" s="71" t="n"/>
      <c r="R795" s="71" t="n"/>
      <c r="S795" s="71" t="n"/>
      <c r="T795" s="71" t="n"/>
      <c r="U795" s="71" t="n"/>
      <c r="V795" s="71" t="n"/>
      <c r="W795" s="71" t="n"/>
      <c r="X795" s="71" t="n"/>
      <c r="Y795" s="71" t="n"/>
      <c r="Z795" s="71" t="n"/>
    </row>
    <row r="796" ht="15.75" customHeight="1">
      <c r="A796" s="71" t="n"/>
      <c r="B796" s="71" t="n"/>
      <c r="C796" s="71" t="n"/>
      <c r="D796" s="71" t="n"/>
      <c r="E796" s="71" t="n"/>
      <c r="F796" s="71" t="n"/>
      <c r="G796" s="71" t="n"/>
      <c r="H796" s="71" t="n"/>
      <c r="I796" s="71" t="n"/>
      <c r="J796" s="71" t="n"/>
      <c r="K796" s="71" t="n"/>
      <c r="L796" s="71" t="n"/>
      <c r="M796" s="71" t="n"/>
      <c r="N796" s="71" t="n"/>
      <c r="O796" s="71" t="n"/>
      <c r="P796" s="71" t="n"/>
      <c r="Q796" s="71" t="n"/>
      <c r="R796" s="71" t="n"/>
      <c r="S796" s="71" t="n"/>
      <c r="T796" s="71" t="n"/>
      <c r="U796" s="71" t="n"/>
      <c r="V796" s="71" t="n"/>
      <c r="W796" s="71" t="n"/>
      <c r="X796" s="71" t="n"/>
      <c r="Y796" s="71" t="n"/>
      <c r="Z796" s="71" t="n"/>
    </row>
    <row r="797" ht="15.75" customHeight="1">
      <c r="A797" s="71" t="n"/>
      <c r="B797" s="71" t="n"/>
      <c r="C797" s="71" t="n"/>
      <c r="D797" s="71" t="n"/>
      <c r="E797" s="71" t="n"/>
      <c r="F797" s="71" t="n"/>
      <c r="G797" s="71" t="n"/>
      <c r="H797" s="71" t="n"/>
      <c r="I797" s="71" t="n"/>
      <c r="J797" s="71" t="n"/>
      <c r="K797" s="71" t="n"/>
      <c r="L797" s="71" t="n"/>
      <c r="M797" s="71" t="n"/>
      <c r="N797" s="71" t="n"/>
      <c r="O797" s="71" t="n"/>
      <c r="P797" s="71" t="n"/>
      <c r="Q797" s="71" t="n"/>
      <c r="R797" s="71" t="n"/>
      <c r="S797" s="71" t="n"/>
      <c r="T797" s="71" t="n"/>
      <c r="U797" s="71" t="n"/>
      <c r="V797" s="71" t="n"/>
      <c r="W797" s="71" t="n"/>
      <c r="X797" s="71" t="n"/>
      <c r="Y797" s="71" t="n"/>
      <c r="Z797" s="71" t="n"/>
    </row>
    <row r="798" ht="15.75" customHeight="1">
      <c r="A798" s="71" t="n"/>
      <c r="B798" s="71" t="n"/>
      <c r="C798" s="71" t="n"/>
      <c r="D798" s="71" t="n"/>
      <c r="E798" s="71" t="n"/>
      <c r="F798" s="71" t="n"/>
      <c r="G798" s="71" t="n"/>
      <c r="H798" s="71" t="n"/>
      <c r="I798" s="71" t="n"/>
      <c r="J798" s="71" t="n"/>
      <c r="K798" s="71" t="n"/>
      <c r="L798" s="71" t="n"/>
      <c r="M798" s="71" t="n"/>
      <c r="N798" s="71" t="n"/>
      <c r="O798" s="71" t="n"/>
      <c r="P798" s="71" t="n"/>
      <c r="Q798" s="71" t="n"/>
      <c r="R798" s="71" t="n"/>
      <c r="S798" s="71" t="n"/>
      <c r="T798" s="71" t="n"/>
      <c r="U798" s="71" t="n"/>
      <c r="V798" s="71" t="n"/>
      <c r="W798" s="71" t="n"/>
      <c r="X798" s="71" t="n"/>
      <c r="Y798" s="71" t="n"/>
      <c r="Z798" s="71" t="n"/>
    </row>
    <row r="799" ht="15.75" customHeight="1">
      <c r="A799" s="71" t="n"/>
      <c r="B799" s="71" t="n"/>
      <c r="C799" s="71" t="n"/>
      <c r="D799" s="71" t="n"/>
      <c r="E799" s="71" t="n"/>
      <c r="F799" s="71" t="n"/>
      <c r="G799" s="71" t="n"/>
      <c r="H799" s="71" t="n"/>
      <c r="I799" s="71" t="n"/>
      <c r="J799" s="71" t="n"/>
      <c r="K799" s="71" t="n"/>
      <c r="L799" s="71" t="n"/>
      <c r="M799" s="71" t="n"/>
      <c r="N799" s="71" t="n"/>
      <c r="O799" s="71" t="n"/>
      <c r="P799" s="71" t="n"/>
      <c r="Q799" s="71" t="n"/>
      <c r="R799" s="71" t="n"/>
      <c r="S799" s="71" t="n"/>
      <c r="T799" s="71" t="n"/>
      <c r="U799" s="71" t="n"/>
      <c r="V799" s="71" t="n"/>
      <c r="W799" s="71" t="n"/>
      <c r="X799" s="71" t="n"/>
      <c r="Y799" s="71" t="n"/>
      <c r="Z799" s="71" t="n"/>
    </row>
    <row r="800" ht="15.75" customHeight="1">
      <c r="A800" s="71" t="n"/>
      <c r="B800" s="71" t="n"/>
      <c r="C800" s="71" t="n"/>
      <c r="D800" s="71" t="n"/>
      <c r="E800" s="71" t="n"/>
      <c r="F800" s="71" t="n"/>
      <c r="G800" s="71" t="n"/>
      <c r="H800" s="71" t="n"/>
      <c r="I800" s="71" t="n"/>
      <c r="J800" s="71" t="n"/>
      <c r="K800" s="71" t="n"/>
      <c r="L800" s="71" t="n"/>
      <c r="M800" s="71" t="n"/>
      <c r="N800" s="71" t="n"/>
      <c r="O800" s="71" t="n"/>
      <c r="P800" s="71" t="n"/>
      <c r="Q800" s="71" t="n"/>
      <c r="R800" s="71" t="n"/>
      <c r="S800" s="71" t="n"/>
      <c r="T800" s="71" t="n"/>
      <c r="U800" s="71" t="n"/>
      <c r="V800" s="71" t="n"/>
      <c r="W800" s="71" t="n"/>
      <c r="X800" s="71" t="n"/>
      <c r="Y800" s="71" t="n"/>
      <c r="Z800" s="71" t="n"/>
    </row>
    <row r="801" ht="15.75" customHeight="1">
      <c r="A801" s="71" t="n"/>
      <c r="B801" s="71" t="n"/>
      <c r="C801" s="71" t="n"/>
      <c r="D801" s="71" t="n"/>
      <c r="E801" s="71" t="n"/>
      <c r="F801" s="71" t="n"/>
      <c r="G801" s="71" t="n"/>
      <c r="H801" s="71" t="n"/>
      <c r="I801" s="71" t="n"/>
      <c r="J801" s="71" t="n"/>
      <c r="K801" s="71" t="n"/>
      <c r="L801" s="71" t="n"/>
      <c r="M801" s="71" t="n"/>
      <c r="N801" s="71" t="n"/>
      <c r="O801" s="71" t="n"/>
      <c r="P801" s="71" t="n"/>
      <c r="Q801" s="71" t="n"/>
      <c r="R801" s="71" t="n"/>
      <c r="S801" s="71" t="n"/>
      <c r="T801" s="71" t="n"/>
      <c r="U801" s="71" t="n"/>
      <c r="V801" s="71" t="n"/>
      <c r="W801" s="71" t="n"/>
      <c r="X801" s="71" t="n"/>
      <c r="Y801" s="71" t="n"/>
      <c r="Z801" s="71" t="n"/>
    </row>
    <row r="802" ht="15.75" customHeight="1">
      <c r="A802" s="71" t="n"/>
      <c r="B802" s="71" t="n"/>
      <c r="C802" s="71" t="n"/>
      <c r="D802" s="71" t="n"/>
      <c r="E802" s="71" t="n"/>
      <c r="F802" s="71" t="n"/>
      <c r="G802" s="71" t="n"/>
      <c r="H802" s="71" t="n"/>
      <c r="I802" s="71" t="n"/>
      <c r="J802" s="71" t="n"/>
      <c r="K802" s="71" t="n"/>
      <c r="L802" s="71" t="n"/>
      <c r="M802" s="71" t="n"/>
      <c r="N802" s="71" t="n"/>
      <c r="O802" s="71" t="n"/>
      <c r="P802" s="71" t="n"/>
      <c r="Q802" s="71" t="n"/>
      <c r="R802" s="71" t="n"/>
      <c r="S802" s="71" t="n"/>
      <c r="T802" s="71" t="n"/>
      <c r="U802" s="71" t="n"/>
      <c r="V802" s="71" t="n"/>
      <c r="W802" s="71" t="n"/>
      <c r="X802" s="71" t="n"/>
      <c r="Y802" s="71" t="n"/>
      <c r="Z802" s="71" t="n"/>
    </row>
    <row r="803" ht="15.75" customHeight="1">
      <c r="A803" s="71" t="n"/>
      <c r="B803" s="71" t="n"/>
      <c r="C803" s="71" t="n"/>
      <c r="D803" s="71" t="n"/>
      <c r="E803" s="71" t="n"/>
      <c r="F803" s="71" t="n"/>
      <c r="G803" s="71" t="n"/>
      <c r="H803" s="71" t="n"/>
      <c r="I803" s="71" t="n"/>
      <c r="J803" s="71" t="n"/>
      <c r="K803" s="71" t="n"/>
      <c r="L803" s="71" t="n"/>
      <c r="M803" s="71" t="n"/>
      <c r="N803" s="71" t="n"/>
      <c r="O803" s="71" t="n"/>
      <c r="P803" s="71" t="n"/>
      <c r="Q803" s="71" t="n"/>
      <c r="R803" s="71" t="n"/>
      <c r="S803" s="71" t="n"/>
      <c r="T803" s="71" t="n"/>
      <c r="U803" s="71" t="n"/>
      <c r="V803" s="71" t="n"/>
      <c r="W803" s="71" t="n"/>
      <c r="X803" s="71" t="n"/>
      <c r="Y803" s="71" t="n"/>
      <c r="Z803" s="71" t="n"/>
    </row>
    <row r="804" ht="15.75" customHeight="1">
      <c r="A804" s="71" t="n"/>
      <c r="B804" s="71" t="n"/>
      <c r="C804" s="71" t="n"/>
      <c r="D804" s="71" t="n"/>
      <c r="E804" s="71" t="n"/>
      <c r="F804" s="71" t="n"/>
      <c r="G804" s="71" t="n"/>
      <c r="H804" s="71" t="n"/>
      <c r="I804" s="71" t="n"/>
      <c r="J804" s="71" t="n"/>
      <c r="K804" s="71" t="n"/>
      <c r="L804" s="71" t="n"/>
      <c r="M804" s="71" t="n"/>
      <c r="N804" s="71" t="n"/>
      <c r="O804" s="71" t="n"/>
      <c r="P804" s="71" t="n"/>
      <c r="Q804" s="71" t="n"/>
      <c r="R804" s="71" t="n"/>
      <c r="S804" s="71" t="n"/>
      <c r="T804" s="71" t="n"/>
      <c r="U804" s="71" t="n"/>
      <c r="V804" s="71" t="n"/>
      <c r="W804" s="71" t="n"/>
      <c r="X804" s="71" t="n"/>
      <c r="Y804" s="71" t="n"/>
      <c r="Z804" s="71" t="n"/>
    </row>
    <row r="805" ht="15.75" customHeight="1">
      <c r="A805" s="71" t="n"/>
      <c r="B805" s="71" t="n"/>
      <c r="C805" s="71" t="n"/>
      <c r="D805" s="71" t="n"/>
      <c r="E805" s="71" t="n"/>
      <c r="F805" s="71" t="n"/>
      <c r="G805" s="71" t="n"/>
      <c r="H805" s="71" t="n"/>
      <c r="I805" s="71" t="n"/>
      <c r="J805" s="71" t="n"/>
      <c r="K805" s="71" t="n"/>
      <c r="L805" s="71" t="n"/>
      <c r="M805" s="71" t="n"/>
      <c r="N805" s="71" t="n"/>
      <c r="O805" s="71" t="n"/>
      <c r="P805" s="71" t="n"/>
      <c r="Q805" s="71" t="n"/>
      <c r="R805" s="71" t="n"/>
      <c r="S805" s="71" t="n"/>
      <c r="T805" s="71" t="n"/>
      <c r="U805" s="71" t="n"/>
      <c r="V805" s="71" t="n"/>
      <c r="W805" s="71" t="n"/>
      <c r="X805" s="71" t="n"/>
      <c r="Y805" s="71" t="n"/>
      <c r="Z805" s="71" t="n"/>
    </row>
    <row r="806" ht="15.75" customHeight="1">
      <c r="A806" s="71" t="n"/>
      <c r="B806" s="71" t="n"/>
      <c r="C806" s="71" t="n"/>
      <c r="D806" s="71" t="n"/>
      <c r="E806" s="71" t="n"/>
      <c r="F806" s="71" t="n"/>
      <c r="G806" s="71" t="n"/>
      <c r="H806" s="71" t="n"/>
      <c r="I806" s="71" t="n"/>
      <c r="J806" s="71" t="n"/>
      <c r="K806" s="71" t="n"/>
      <c r="L806" s="71" t="n"/>
      <c r="M806" s="71" t="n"/>
      <c r="N806" s="71" t="n"/>
      <c r="O806" s="71" t="n"/>
      <c r="P806" s="71" t="n"/>
      <c r="Q806" s="71" t="n"/>
      <c r="R806" s="71" t="n"/>
      <c r="S806" s="71" t="n"/>
      <c r="T806" s="71" t="n"/>
      <c r="U806" s="71" t="n"/>
      <c r="V806" s="71" t="n"/>
      <c r="W806" s="71" t="n"/>
      <c r="X806" s="71" t="n"/>
      <c r="Y806" s="71" t="n"/>
      <c r="Z806" s="71" t="n"/>
    </row>
    <row r="807" ht="15.75" customHeight="1">
      <c r="A807" s="71" t="n"/>
      <c r="B807" s="71" t="n"/>
      <c r="C807" s="71" t="n"/>
      <c r="D807" s="71" t="n"/>
      <c r="E807" s="71" t="n"/>
      <c r="F807" s="71" t="n"/>
      <c r="G807" s="71" t="n"/>
      <c r="H807" s="71" t="n"/>
      <c r="I807" s="71" t="n"/>
      <c r="J807" s="71" t="n"/>
      <c r="K807" s="71" t="n"/>
      <c r="L807" s="71" t="n"/>
      <c r="M807" s="71" t="n"/>
      <c r="N807" s="71" t="n"/>
      <c r="O807" s="71" t="n"/>
      <c r="P807" s="71" t="n"/>
      <c r="Q807" s="71" t="n"/>
      <c r="R807" s="71" t="n"/>
      <c r="S807" s="71" t="n"/>
      <c r="T807" s="71" t="n"/>
      <c r="U807" s="71" t="n"/>
      <c r="V807" s="71" t="n"/>
      <c r="W807" s="71" t="n"/>
      <c r="X807" s="71" t="n"/>
      <c r="Y807" s="71" t="n"/>
      <c r="Z807" s="71" t="n"/>
    </row>
    <row r="808" ht="15.75" customHeight="1">
      <c r="A808" s="71" t="n"/>
      <c r="B808" s="71" t="n"/>
      <c r="C808" s="71" t="n"/>
      <c r="D808" s="71" t="n"/>
      <c r="E808" s="71" t="n"/>
      <c r="F808" s="71" t="n"/>
      <c r="G808" s="71" t="n"/>
      <c r="H808" s="71" t="n"/>
      <c r="I808" s="71" t="n"/>
      <c r="J808" s="71" t="n"/>
      <c r="K808" s="71" t="n"/>
      <c r="L808" s="71" t="n"/>
      <c r="M808" s="71" t="n"/>
      <c r="N808" s="71" t="n"/>
      <c r="O808" s="71" t="n"/>
      <c r="P808" s="71" t="n"/>
      <c r="Q808" s="71" t="n"/>
      <c r="R808" s="71" t="n"/>
      <c r="S808" s="71" t="n"/>
      <c r="T808" s="71" t="n"/>
      <c r="U808" s="71" t="n"/>
      <c r="V808" s="71" t="n"/>
      <c r="W808" s="71" t="n"/>
      <c r="X808" s="71" t="n"/>
      <c r="Y808" s="71" t="n"/>
      <c r="Z808" s="71" t="n"/>
    </row>
    <row r="809" ht="15.75" customHeight="1">
      <c r="A809" s="71" t="n"/>
      <c r="B809" s="71" t="n"/>
      <c r="C809" s="71" t="n"/>
      <c r="D809" s="71" t="n"/>
      <c r="E809" s="71" t="n"/>
      <c r="F809" s="71" t="n"/>
      <c r="G809" s="71" t="n"/>
      <c r="H809" s="71" t="n"/>
      <c r="I809" s="71" t="n"/>
      <c r="J809" s="71" t="n"/>
      <c r="K809" s="71" t="n"/>
      <c r="L809" s="71" t="n"/>
      <c r="M809" s="71" t="n"/>
      <c r="N809" s="71" t="n"/>
      <c r="O809" s="71" t="n"/>
      <c r="P809" s="71" t="n"/>
      <c r="Q809" s="71" t="n"/>
      <c r="R809" s="71" t="n"/>
      <c r="S809" s="71" t="n"/>
      <c r="T809" s="71" t="n"/>
      <c r="U809" s="71" t="n"/>
      <c r="V809" s="71" t="n"/>
      <c r="W809" s="71" t="n"/>
      <c r="X809" s="71" t="n"/>
      <c r="Y809" s="71" t="n"/>
      <c r="Z809" s="71" t="n"/>
    </row>
    <row r="810" ht="15.75" customHeight="1">
      <c r="A810" s="71" t="n"/>
      <c r="B810" s="71" t="n"/>
      <c r="C810" s="71" t="n"/>
      <c r="D810" s="71" t="n"/>
      <c r="E810" s="71" t="n"/>
      <c r="F810" s="71" t="n"/>
      <c r="G810" s="71" t="n"/>
      <c r="H810" s="71" t="n"/>
      <c r="I810" s="71" t="n"/>
      <c r="J810" s="71" t="n"/>
      <c r="K810" s="71" t="n"/>
      <c r="L810" s="71" t="n"/>
      <c r="M810" s="71" t="n"/>
      <c r="N810" s="71" t="n"/>
      <c r="O810" s="71" t="n"/>
      <c r="P810" s="71" t="n"/>
      <c r="Q810" s="71" t="n"/>
      <c r="R810" s="71" t="n"/>
      <c r="S810" s="71" t="n"/>
      <c r="T810" s="71" t="n"/>
      <c r="U810" s="71" t="n"/>
      <c r="V810" s="71" t="n"/>
      <c r="W810" s="71" t="n"/>
      <c r="X810" s="71" t="n"/>
      <c r="Y810" s="71" t="n"/>
      <c r="Z810" s="71" t="n"/>
    </row>
    <row r="811" ht="15.75" customHeight="1">
      <c r="A811" s="71" t="n"/>
      <c r="B811" s="71" t="n"/>
      <c r="C811" s="71" t="n"/>
      <c r="D811" s="71" t="n"/>
      <c r="E811" s="71" t="n"/>
      <c r="F811" s="71" t="n"/>
      <c r="G811" s="71" t="n"/>
      <c r="H811" s="71" t="n"/>
      <c r="I811" s="71" t="n"/>
      <c r="J811" s="71" t="n"/>
      <c r="K811" s="71" t="n"/>
      <c r="L811" s="71" t="n"/>
      <c r="M811" s="71" t="n"/>
      <c r="N811" s="71" t="n"/>
      <c r="O811" s="71" t="n"/>
      <c r="P811" s="71" t="n"/>
      <c r="Q811" s="71" t="n"/>
      <c r="R811" s="71" t="n"/>
      <c r="S811" s="71" t="n"/>
      <c r="T811" s="71" t="n"/>
      <c r="U811" s="71" t="n"/>
      <c r="V811" s="71" t="n"/>
      <c r="W811" s="71" t="n"/>
      <c r="X811" s="71" t="n"/>
      <c r="Y811" s="71" t="n"/>
      <c r="Z811" s="71" t="n"/>
    </row>
    <row r="812" ht="15.75" customHeight="1">
      <c r="A812" s="71" t="n"/>
      <c r="B812" s="71" t="n"/>
      <c r="C812" s="71" t="n"/>
      <c r="D812" s="71" t="n"/>
      <c r="E812" s="71" t="n"/>
      <c r="F812" s="71" t="n"/>
      <c r="G812" s="71" t="n"/>
      <c r="H812" s="71" t="n"/>
      <c r="I812" s="71" t="n"/>
      <c r="J812" s="71" t="n"/>
      <c r="K812" s="71" t="n"/>
      <c r="L812" s="71" t="n"/>
      <c r="M812" s="71" t="n"/>
      <c r="N812" s="71" t="n"/>
      <c r="O812" s="71" t="n"/>
      <c r="P812" s="71" t="n"/>
      <c r="Q812" s="71" t="n"/>
      <c r="R812" s="71" t="n"/>
      <c r="S812" s="71" t="n"/>
      <c r="T812" s="71" t="n"/>
      <c r="U812" s="71" t="n"/>
      <c r="V812" s="71" t="n"/>
      <c r="W812" s="71" t="n"/>
      <c r="X812" s="71" t="n"/>
      <c r="Y812" s="71" t="n"/>
      <c r="Z812" s="71" t="n"/>
    </row>
    <row r="813" ht="15.75" customHeight="1">
      <c r="A813" s="71" t="n"/>
      <c r="B813" s="71" t="n"/>
      <c r="C813" s="71" t="n"/>
      <c r="D813" s="71" t="n"/>
      <c r="E813" s="71" t="n"/>
      <c r="F813" s="71" t="n"/>
      <c r="G813" s="71" t="n"/>
      <c r="H813" s="71" t="n"/>
      <c r="I813" s="71" t="n"/>
      <c r="J813" s="71" t="n"/>
      <c r="K813" s="71" t="n"/>
      <c r="L813" s="71" t="n"/>
      <c r="M813" s="71" t="n"/>
      <c r="N813" s="71" t="n"/>
      <c r="O813" s="71" t="n"/>
      <c r="P813" s="71" t="n"/>
      <c r="Q813" s="71" t="n"/>
      <c r="R813" s="71" t="n"/>
      <c r="S813" s="71" t="n"/>
      <c r="T813" s="71" t="n"/>
      <c r="U813" s="71" t="n"/>
      <c r="V813" s="71" t="n"/>
      <c r="W813" s="71" t="n"/>
      <c r="X813" s="71" t="n"/>
      <c r="Y813" s="71" t="n"/>
      <c r="Z813" s="71" t="n"/>
    </row>
    <row r="814" ht="15.75" customHeight="1">
      <c r="A814" s="71" t="n"/>
      <c r="B814" s="71" t="n"/>
      <c r="C814" s="71" t="n"/>
      <c r="D814" s="71" t="n"/>
      <c r="E814" s="71" t="n"/>
      <c r="F814" s="71" t="n"/>
      <c r="G814" s="71" t="n"/>
      <c r="H814" s="71" t="n"/>
      <c r="I814" s="71" t="n"/>
      <c r="J814" s="71" t="n"/>
      <c r="K814" s="71" t="n"/>
      <c r="L814" s="71" t="n"/>
      <c r="M814" s="71" t="n"/>
      <c r="N814" s="71" t="n"/>
      <c r="O814" s="71" t="n"/>
      <c r="P814" s="71" t="n"/>
      <c r="Q814" s="71" t="n"/>
      <c r="R814" s="71" t="n"/>
      <c r="S814" s="71" t="n"/>
      <c r="T814" s="71" t="n"/>
      <c r="U814" s="71" t="n"/>
      <c r="V814" s="71" t="n"/>
      <c r="W814" s="71" t="n"/>
      <c r="X814" s="71" t="n"/>
      <c r="Y814" s="71" t="n"/>
      <c r="Z814" s="71" t="n"/>
    </row>
    <row r="815" ht="15.75" customHeight="1">
      <c r="A815" s="71" t="n"/>
      <c r="B815" s="71" t="n"/>
      <c r="C815" s="71" t="n"/>
      <c r="D815" s="71" t="n"/>
      <c r="E815" s="71" t="n"/>
      <c r="F815" s="71" t="n"/>
      <c r="G815" s="71" t="n"/>
      <c r="H815" s="71" t="n"/>
      <c r="I815" s="71" t="n"/>
      <c r="J815" s="71" t="n"/>
      <c r="K815" s="71" t="n"/>
      <c r="L815" s="71" t="n"/>
      <c r="M815" s="71" t="n"/>
      <c r="N815" s="71" t="n"/>
      <c r="O815" s="71" t="n"/>
      <c r="P815" s="71" t="n"/>
      <c r="Q815" s="71" t="n"/>
      <c r="R815" s="71" t="n"/>
      <c r="S815" s="71" t="n"/>
      <c r="T815" s="71" t="n"/>
      <c r="U815" s="71" t="n"/>
      <c r="V815" s="71" t="n"/>
      <c r="W815" s="71" t="n"/>
      <c r="X815" s="71" t="n"/>
      <c r="Y815" s="71" t="n"/>
      <c r="Z815" s="71" t="n"/>
    </row>
    <row r="816" ht="15.75" customHeight="1">
      <c r="A816" s="71" t="n"/>
      <c r="B816" s="71" t="n"/>
      <c r="C816" s="71" t="n"/>
      <c r="D816" s="71" t="n"/>
      <c r="E816" s="71" t="n"/>
      <c r="F816" s="71" t="n"/>
      <c r="G816" s="71" t="n"/>
      <c r="H816" s="71" t="n"/>
      <c r="I816" s="71" t="n"/>
      <c r="J816" s="71" t="n"/>
      <c r="K816" s="71" t="n"/>
      <c r="L816" s="71" t="n"/>
      <c r="M816" s="71" t="n"/>
      <c r="N816" s="71" t="n"/>
      <c r="O816" s="71" t="n"/>
      <c r="P816" s="71" t="n"/>
      <c r="Q816" s="71" t="n"/>
      <c r="R816" s="71" t="n"/>
      <c r="S816" s="71" t="n"/>
      <c r="T816" s="71" t="n"/>
      <c r="U816" s="71" t="n"/>
      <c r="V816" s="71" t="n"/>
      <c r="W816" s="71" t="n"/>
      <c r="X816" s="71" t="n"/>
      <c r="Y816" s="71" t="n"/>
      <c r="Z816" s="71" t="n"/>
    </row>
    <row r="817" ht="15.75" customHeight="1">
      <c r="A817" s="71" t="n"/>
      <c r="B817" s="71" t="n"/>
      <c r="C817" s="71" t="n"/>
      <c r="D817" s="71" t="n"/>
      <c r="E817" s="71" t="n"/>
      <c r="F817" s="71" t="n"/>
      <c r="G817" s="71" t="n"/>
      <c r="H817" s="71" t="n"/>
      <c r="I817" s="71" t="n"/>
      <c r="J817" s="71" t="n"/>
      <c r="K817" s="71" t="n"/>
      <c r="L817" s="71" t="n"/>
      <c r="M817" s="71" t="n"/>
      <c r="N817" s="71" t="n"/>
      <c r="O817" s="71" t="n"/>
      <c r="P817" s="71" t="n"/>
      <c r="Q817" s="71" t="n"/>
      <c r="R817" s="71" t="n"/>
      <c r="S817" s="71" t="n"/>
      <c r="T817" s="71" t="n"/>
      <c r="U817" s="71" t="n"/>
      <c r="V817" s="71" t="n"/>
      <c r="W817" s="71" t="n"/>
      <c r="X817" s="71" t="n"/>
      <c r="Y817" s="71" t="n"/>
      <c r="Z817" s="71" t="n"/>
    </row>
    <row r="818" ht="15.75" customHeight="1">
      <c r="A818" s="71" t="n"/>
      <c r="B818" s="71" t="n"/>
      <c r="C818" s="71" t="n"/>
      <c r="D818" s="71" t="n"/>
      <c r="E818" s="71" t="n"/>
      <c r="F818" s="71" t="n"/>
      <c r="G818" s="71" t="n"/>
      <c r="H818" s="71" t="n"/>
      <c r="I818" s="71" t="n"/>
      <c r="J818" s="71" t="n"/>
      <c r="K818" s="71" t="n"/>
      <c r="L818" s="71" t="n"/>
      <c r="M818" s="71" t="n"/>
      <c r="N818" s="71" t="n"/>
      <c r="O818" s="71" t="n"/>
      <c r="P818" s="71" t="n"/>
      <c r="Q818" s="71" t="n"/>
      <c r="R818" s="71" t="n"/>
      <c r="S818" s="71" t="n"/>
      <c r="T818" s="71" t="n"/>
      <c r="U818" s="71" t="n"/>
      <c r="V818" s="71" t="n"/>
      <c r="W818" s="71" t="n"/>
      <c r="X818" s="71" t="n"/>
      <c r="Y818" s="71" t="n"/>
      <c r="Z818" s="71" t="n"/>
    </row>
    <row r="819" ht="15.75" customHeight="1">
      <c r="A819" s="71" t="n"/>
      <c r="B819" s="71" t="n"/>
      <c r="C819" s="71" t="n"/>
      <c r="D819" s="71" t="n"/>
      <c r="E819" s="71" t="n"/>
      <c r="F819" s="71" t="n"/>
      <c r="G819" s="71" t="n"/>
      <c r="H819" s="71" t="n"/>
      <c r="I819" s="71" t="n"/>
      <c r="J819" s="71" t="n"/>
      <c r="K819" s="71" t="n"/>
      <c r="L819" s="71" t="n"/>
      <c r="M819" s="71" t="n"/>
      <c r="N819" s="71" t="n"/>
      <c r="O819" s="71" t="n"/>
      <c r="P819" s="71" t="n"/>
      <c r="Q819" s="71" t="n"/>
      <c r="R819" s="71" t="n"/>
      <c r="S819" s="71" t="n"/>
      <c r="T819" s="71" t="n"/>
      <c r="U819" s="71" t="n"/>
      <c r="V819" s="71" t="n"/>
      <c r="W819" s="71" t="n"/>
      <c r="X819" s="71" t="n"/>
      <c r="Y819" s="71" t="n"/>
      <c r="Z819" s="71" t="n"/>
    </row>
    <row r="820" ht="15.75" customHeight="1">
      <c r="A820" s="71" t="n"/>
      <c r="B820" s="71" t="n"/>
      <c r="C820" s="71" t="n"/>
      <c r="D820" s="71" t="n"/>
      <c r="E820" s="71" t="n"/>
      <c r="F820" s="71" t="n"/>
      <c r="G820" s="71" t="n"/>
      <c r="H820" s="71" t="n"/>
      <c r="I820" s="71" t="n"/>
      <c r="J820" s="71" t="n"/>
      <c r="K820" s="71" t="n"/>
      <c r="L820" s="71" t="n"/>
      <c r="M820" s="71" t="n"/>
      <c r="N820" s="71" t="n"/>
      <c r="O820" s="71" t="n"/>
      <c r="P820" s="71" t="n"/>
      <c r="Q820" s="71" t="n"/>
      <c r="R820" s="71" t="n"/>
      <c r="S820" s="71" t="n"/>
      <c r="T820" s="71" t="n"/>
      <c r="U820" s="71" t="n"/>
      <c r="V820" s="71" t="n"/>
      <c r="W820" s="71" t="n"/>
      <c r="X820" s="71" t="n"/>
      <c r="Y820" s="71" t="n"/>
      <c r="Z820" s="71" t="n"/>
    </row>
    <row r="821" ht="15.75" customHeight="1">
      <c r="A821" s="71" t="n"/>
      <c r="B821" s="71" t="n"/>
      <c r="C821" s="71" t="n"/>
      <c r="D821" s="71" t="n"/>
      <c r="E821" s="71" t="n"/>
      <c r="F821" s="71" t="n"/>
      <c r="G821" s="71" t="n"/>
      <c r="H821" s="71" t="n"/>
      <c r="I821" s="71" t="n"/>
      <c r="J821" s="71" t="n"/>
      <c r="K821" s="71" t="n"/>
      <c r="L821" s="71" t="n"/>
      <c r="M821" s="71" t="n"/>
      <c r="N821" s="71" t="n"/>
      <c r="O821" s="71" t="n"/>
      <c r="P821" s="71" t="n"/>
      <c r="Q821" s="71" t="n"/>
      <c r="R821" s="71" t="n"/>
      <c r="S821" s="71" t="n"/>
      <c r="T821" s="71" t="n"/>
      <c r="U821" s="71" t="n"/>
      <c r="V821" s="71" t="n"/>
      <c r="W821" s="71" t="n"/>
      <c r="X821" s="71" t="n"/>
      <c r="Y821" s="71" t="n"/>
      <c r="Z821" s="71" t="n"/>
    </row>
    <row r="822" ht="15.75" customHeight="1">
      <c r="A822" s="71" t="n"/>
      <c r="B822" s="71" t="n"/>
      <c r="C822" s="71" t="n"/>
      <c r="D822" s="71" t="n"/>
      <c r="E822" s="71" t="n"/>
      <c r="F822" s="71" t="n"/>
      <c r="G822" s="71" t="n"/>
      <c r="H822" s="71" t="n"/>
      <c r="I822" s="71" t="n"/>
      <c r="J822" s="71" t="n"/>
      <c r="K822" s="71" t="n"/>
      <c r="L822" s="71" t="n"/>
      <c r="M822" s="71" t="n"/>
      <c r="N822" s="71" t="n"/>
      <c r="O822" s="71" t="n"/>
      <c r="P822" s="71" t="n"/>
      <c r="Q822" s="71" t="n"/>
      <c r="R822" s="71" t="n"/>
      <c r="S822" s="71" t="n"/>
      <c r="T822" s="71" t="n"/>
      <c r="U822" s="71" t="n"/>
      <c r="V822" s="71" t="n"/>
      <c r="W822" s="71" t="n"/>
      <c r="X822" s="71" t="n"/>
      <c r="Y822" s="71" t="n"/>
      <c r="Z822" s="71" t="n"/>
    </row>
    <row r="823" ht="15.75" customHeight="1">
      <c r="A823" s="71" t="n"/>
      <c r="B823" s="71" t="n"/>
      <c r="C823" s="71" t="n"/>
      <c r="D823" s="71" t="n"/>
      <c r="E823" s="71" t="n"/>
      <c r="F823" s="71" t="n"/>
      <c r="G823" s="71" t="n"/>
      <c r="H823" s="71" t="n"/>
      <c r="I823" s="71" t="n"/>
      <c r="J823" s="71" t="n"/>
      <c r="K823" s="71" t="n"/>
      <c r="L823" s="71" t="n"/>
      <c r="M823" s="71" t="n"/>
      <c r="N823" s="71" t="n"/>
      <c r="O823" s="71" t="n"/>
      <c r="P823" s="71" t="n"/>
      <c r="Q823" s="71" t="n"/>
      <c r="R823" s="71" t="n"/>
      <c r="S823" s="71" t="n"/>
      <c r="T823" s="71" t="n"/>
      <c r="U823" s="71" t="n"/>
      <c r="V823" s="71" t="n"/>
      <c r="W823" s="71" t="n"/>
      <c r="X823" s="71" t="n"/>
      <c r="Y823" s="71" t="n"/>
      <c r="Z823" s="71" t="n"/>
    </row>
    <row r="824" ht="15.75" customHeight="1">
      <c r="A824" s="71" t="n"/>
      <c r="B824" s="71" t="n"/>
      <c r="C824" s="71" t="n"/>
      <c r="D824" s="71" t="n"/>
      <c r="E824" s="71" t="n"/>
      <c r="F824" s="71" t="n"/>
      <c r="G824" s="71" t="n"/>
      <c r="H824" s="71" t="n"/>
      <c r="I824" s="71" t="n"/>
      <c r="J824" s="71" t="n"/>
      <c r="K824" s="71" t="n"/>
      <c r="L824" s="71" t="n"/>
      <c r="M824" s="71" t="n"/>
      <c r="N824" s="71" t="n"/>
      <c r="O824" s="71" t="n"/>
      <c r="P824" s="71" t="n"/>
      <c r="Q824" s="71" t="n"/>
      <c r="R824" s="71" t="n"/>
      <c r="S824" s="71" t="n"/>
      <c r="T824" s="71" t="n"/>
      <c r="U824" s="71" t="n"/>
      <c r="V824" s="71" t="n"/>
      <c r="W824" s="71" t="n"/>
      <c r="X824" s="71" t="n"/>
      <c r="Y824" s="71" t="n"/>
      <c r="Z824" s="71" t="n"/>
    </row>
    <row r="825" ht="15.75" customHeight="1">
      <c r="A825" s="71" t="n"/>
      <c r="B825" s="71" t="n"/>
      <c r="C825" s="71" t="n"/>
      <c r="D825" s="71" t="n"/>
      <c r="E825" s="71" t="n"/>
      <c r="F825" s="71" t="n"/>
      <c r="G825" s="71" t="n"/>
      <c r="H825" s="71" t="n"/>
      <c r="I825" s="71" t="n"/>
      <c r="J825" s="71" t="n"/>
      <c r="K825" s="71" t="n"/>
      <c r="L825" s="71" t="n"/>
      <c r="M825" s="71" t="n"/>
      <c r="N825" s="71" t="n"/>
      <c r="O825" s="71" t="n"/>
      <c r="P825" s="71" t="n"/>
      <c r="Q825" s="71" t="n"/>
      <c r="R825" s="71" t="n"/>
      <c r="S825" s="71" t="n"/>
      <c r="T825" s="71" t="n"/>
      <c r="U825" s="71" t="n"/>
      <c r="V825" s="71" t="n"/>
      <c r="W825" s="71" t="n"/>
      <c r="X825" s="71" t="n"/>
      <c r="Y825" s="71" t="n"/>
      <c r="Z825" s="71" t="n"/>
    </row>
    <row r="826" ht="15.75" customHeight="1">
      <c r="A826" s="71" t="n"/>
      <c r="B826" s="71" t="n"/>
      <c r="C826" s="71" t="n"/>
      <c r="D826" s="71" t="n"/>
      <c r="E826" s="71" t="n"/>
      <c r="F826" s="71" t="n"/>
      <c r="G826" s="71" t="n"/>
      <c r="H826" s="71" t="n"/>
      <c r="I826" s="71" t="n"/>
      <c r="J826" s="71" t="n"/>
      <c r="K826" s="71" t="n"/>
      <c r="L826" s="71" t="n"/>
      <c r="M826" s="71" t="n"/>
      <c r="N826" s="71" t="n"/>
      <c r="O826" s="71" t="n"/>
      <c r="P826" s="71" t="n"/>
      <c r="Q826" s="71" t="n"/>
      <c r="R826" s="71" t="n"/>
      <c r="S826" s="71" t="n"/>
      <c r="T826" s="71" t="n"/>
      <c r="U826" s="71" t="n"/>
      <c r="V826" s="71" t="n"/>
      <c r="W826" s="71" t="n"/>
      <c r="X826" s="71" t="n"/>
      <c r="Y826" s="71" t="n"/>
      <c r="Z826" s="71" t="n"/>
    </row>
    <row r="827" ht="15.75" customHeight="1">
      <c r="A827" s="71" t="n"/>
      <c r="B827" s="71" t="n"/>
      <c r="C827" s="71" t="n"/>
      <c r="D827" s="71" t="n"/>
      <c r="E827" s="71" t="n"/>
      <c r="F827" s="71" t="n"/>
      <c r="G827" s="71" t="n"/>
      <c r="H827" s="71" t="n"/>
      <c r="I827" s="71" t="n"/>
      <c r="J827" s="71" t="n"/>
      <c r="K827" s="71" t="n"/>
      <c r="L827" s="71" t="n"/>
      <c r="M827" s="71" t="n"/>
      <c r="N827" s="71" t="n"/>
      <c r="O827" s="71" t="n"/>
      <c r="P827" s="71" t="n"/>
      <c r="Q827" s="71" t="n"/>
      <c r="R827" s="71" t="n"/>
      <c r="S827" s="71" t="n"/>
      <c r="T827" s="71" t="n"/>
      <c r="U827" s="71" t="n"/>
      <c r="V827" s="71" t="n"/>
      <c r="W827" s="71" t="n"/>
      <c r="X827" s="71" t="n"/>
      <c r="Y827" s="71" t="n"/>
      <c r="Z827" s="71" t="n"/>
    </row>
    <row r="828" ht="15.75" customHeight="1">
      <c r="A828" s="71" t="n"/>
      <c r="B828" s="71" t="n"/>
      <c r="C828" s="71" t="n"/>
      <c r="D828" s="71" t="n"/>
      <c r="E828" s="71" t="n"/>
      <c r="F828" s="71" t="n"/>
      <c r="G828" s="71" t="n"/>
      <c r="H828" s="71" t="n"/>
      <c r="I828" s="71" t="n"/>
      <c r="J828" s="71" t="n"/>
      <c r="K828" s="71" t="n"/>
      <c r="L828" s="71" t="n"/>
      <c r="M828" s="71" t="n"/>
      <c r="N828" s="71" t="n"/>
      <c r="O828" s="71" t="n"/>
      <c r="P828" s="71" t="n"/>
      <c r="Q828" s="71" t="n"/>
      <c r="R828" s="71" t="n"/>
      <c r="S828" s="71" t="n"/>
      <c r="T828" s="71" t="n"/>
      <c r="U828" s="71" t="n"/>
      <c r="V828" s="71" t="n"/>
      <c r="W828" s="71" t="n"/>
      <c r="X828" s="71" t="n"/>
      <c r="Y828" s="71" t="n"/>
      <c r="Z828" s="71" t="n"/>
    </row>
    <row r="829" ht="15.75" customHeight="1">
      <c r="A829" s="71" t="n"/>
      <c r="B829" s="71" t="n"/>
      <c r="C829" s="71" t="n"/>
      <c r="D829" s="71" t="n"/>
      <c r="E829" s="71" t="n"/>
      <c r="F829" s="71" t="n"/>
      <c r="G829" s="71" t="n"/>
      <c r="H829" s="71" t="n"/>
      <c r="I829" s="71" t="n"/>
      <c r="J829" s="71" t="n"/>
      <c r="K829" s="71" t="n"/>
      <c r="L829" s="71" t="n"/>
      <c r="M829" s="71" t="n"/>
      <c r="N829" s="71" t="n"/>
      <c r="O829" s="71" t="n"/>
      <c r="P829" s="71" t="n"/>
      <c r="Q829" s="71" t="n"/>
      <c r="R829" s="71" t="n"/>
      <c r="S829" s="71" t="n"/>
      <c r="T829" s="71" t="n"/>
      <c r="U829" s="71" t="n"/>
      <c r="V829" s="71" t="n"/>
      <c r="W829" s="71" t="n"/>
      <c r="X829" s="71" t="n"/>
      <c r="Y829" s="71" t="n"/>
      <c r="Z829" s="71" t="n"/>
    </row>
    <row r="830" ht="15.75" customHeight="1">
      <c r="A830" s="71" t="n"/>
      <c r="B830" s="71" t="n"/>
      <c r="C830" s="71" t="n"/>
      <c r="D830" s="71" t="n"/>
      <c r="E830" s="71" t="n"/>
      <c r="F830" s="71" t="n"/>
      <c r="G830" s="71" t="n"/>
      <c r="H830" s="71" t="n"/>
      <c r="I830" s="71" t="n"/>
      <c r="J830" s="71" t="n"/>
      <c r="K830" s="71" t="n"/>
      <c r="L830" s="71" t="n"/>
      <c r="M830" s="71" t="n"/>
      <c r="N830" s="71" t="n"/>
      <c r="O830" s="71" t="n"/>
      <c r="P830" s="71" t="n"/>
      <c r="Q830" s="71" t="n"/>
      <c r="R830" s="71" t="n"/>
      <c r="S830" s="71" t="n"/>
      <c r="T830" s="71" t="n"/>
      <c r="U830" s="71" t="n"/>
      <c r="V830" s="71" t="n"/>
      <c r="W830" s="71" t="n"/>
      <c r="X830" s="71" t="n"/>
      <c r="Y830" s="71" t="n"/>
      <c r="Z830" s="71" t="n"/>
    </row>
    <row r="831" ht="15.75" customHeight="1">
      <c r="A831" s="71" t="n"/>
      <c r="B831" s="71" t="n"/>
      <c r="C831" s="71" t="n"/>
      <c r="D831" s="71" t="n"/>
      <c r="E831" s="71" t="n"/>
      <c r="F831" s="71" t="n"/>
      <c r="G831" s="71" t="n"/>
      <c r="H831" s="71" t="n"/>
      <c r="I831" s="71" t="n"/>
      <c r="J831" s="71" t="n"/>
      <c r="K831" s="71" t="n"/>
      <c r="L831" s="71" t="n"/>
      <c r="M831" s="71" t="n"/>
      <c r="N831" s="71" t="n"/>
      <c r="O831" s="71" t="n"/>
      <c r="P831" s="71" t="n"/>
      <c r="Q831" s="71" t="n"/>
      <c r="R831" s="71" t="n"/>
      <c r="S831" s="71" t="n"/>
      <c r="T831" s="71" t="n"/>
      <c r="U831" s="71" t="n"/>
      <c r="V831" s="71" t="n"/>
      <c r="W831" s="71" t="n"/>
      <c r="X831" s="71" t="n"/>
      <c r="Y831" s="71" t="n"/>
      <c r="Z831" s="71" t="n"/>
    </row>
    <row r="832" ht="15.75" customHeight="1">
      <c r="A832" s="71" t="n"/>
      <c r="B832" s="71" t="n"/>
      <c r="C832" s="71" t="n"/>
      <c r="D832" s="71" t="n"/>
      <c r="E832" s="71" t="n"/>
      <c r="F832" s="71" t="n"/>
      <c r="G832" s="71" t="n"/>
      <c r="H832" s="71" t="n"/>
      <c r="I832" s="71" t="n"/>
      <c r="J832" s="71" t="n"/>
      <c r="K832" s="71" t="n"/>
      <c r="L832" s="71" t="n"/>
      <c r="M832" s="71" t="n"/>
      <c r="N832" s="71" t="n"/>
      <c r="O832" s="71" t="n"/>
      <c r="P832" s="71" t="n"/>
      <c r="Q832" s="71" t="n"/>
      <c r="R832" s="71" t="n"/>
      <c r="S832" s="71" t="n"/>
      <c r="T832" s="71" t="n"/>
      <c r="U832" s="71" t="n"/>
      <c r="V832" s="71" t="n"/>
      <c r="W832" s="71" t="n"/>
      <c r="X832" s="71" t="n"/>
      <c r="Y832" s="71" t="n"/>
      <c r="Z832" s="71" t="n"/>
    </row>
    <row r="833" ht="15.75" customHeight="1">
      <c r="A833" s="71" t="n"/>
      <c r="B833" s="71" t="n"/>
      <c r="C833" s="71" t="n"/>
      <c r="D833" s="71" t="n"/>
      <c r="E833" s="71" t="n"/>
      <c r="F833" s="71" t="n"/>
      <c r="G833" s="71" t="n"/>
      <c r="H833" s="71" t="n"/>
      <c r="I833" s="71" t="n"/>
      <c r="J833" s="71" t="n"/>
      <c r="K833" s="71" t="n"/>
      <c r="L833" s="71" t="n"/>
      <c r="M833" s="71" t="n"/>
      <c r="N833" s="71" t="n"/>
      <c r="O833" s="71" t="n"/>
      <c r="P833" s="71" t="n"/>
      <c r="Q833" s="71" t="n"/>
      <c r="R833" s="71" t="n"/>
      <c r="S833" s="71" t="n"/>
      <c r="T833" s="71" t="n"/>
      <c r="U833" s="71" t="n"/>
      <c r="V833" s="71" t="n"/>
      <c r="W833" s="71" t="n"/>
      <c r="X833" s="71" t="n"/>
      <c r="Y833" s="71" t="n"/>
      <c r="Z833" s="71" t="n"/>
    </row>
    <row r="834" ht="15.75" customHeight="1">
      <c r="A834" s="71" t="n"/>
      <c r="B834" s="71" t="n"/>
      <c r="C834" s="71" t="n"/>
      <c r="D834" s="71" t="n"/>
      <c r="E834" s="71" t="n"/>
      <c r="F834" s="71" t="n"/>
      <c r="G834" s="71" t="n"/>
      <c r="H834" s="71" t="n"/>
      <c r="I834" s="71" t="n"/>
      <c r="J834" s="71" t="n"/>
      <c r="K834" s="71" t="n"/>
      <c r="L834" s="71" t="n"/>
      <c r="M834" s="71" t="n"/>
      <c r="N834" s="71" t="n"/>
      <c r="O834" s="71" t="n"/>
      <c r="P834" s="71" t="n"/>
      <c r="Q834" s="71" t="n"/>
      <c r="R834" s="71" t="n"/>
      <c r="S834" s="71" t="n"/>
      <c r="T834" s="71" t="n"/>
      <c r="U834" s="71" t="n"/>
      <c r="V834" s="71" t="n"/>
      <c r="W834" s="71" t="n"/>
      <c r="X834" s="71" t="n"/>
      <c r="Y834" s="71" t="n"/>
      <c r="Z834" s="71" t="n"/>
    </row>
    <row r="835" ht="15.75" customHeight="1">
      <c r="A835" s="71" t="n"/>
      <c r="B835" s="71" t="n"/>
      <c r="C835" s="71" t="n"/>
      <c r="D835" s="71" t="n"/>
      <c r="E835" s="71" t="n"/>
      <c r="F835" s="71" t="n"/>
      <c r="G835" s="71" t="n"/>
      <c r="H835" s="71" t="n"/>
      <c r="I835" s="71" t="n"/>
      <c r="J835" s="71" t="n"/>
      <c r="K835" s="71" t="n"/>
      <c r="L835" s="71" t="n"/>
      <c r="M835" s="71" t="n"/>
      <c r="N835" s="71" t="n"/>
      <c r="O835" s="71" t="n"/>
      <c r="P835" s="71" t="n"/>
      <c r="Q835" s="71" t="n"/>
      <c r="R835" s="71" t="n"/>
      <c r="S835" s="71" t="n"/>
      <c r="T835" s="71" t="n"/>
      <c r="U835" s="71" t="n"/>
      <c r="V835" s="71" t="n"/>
      <c r="W835" s="71" t="n"/>
      <c r="X835" s="71" t="n"/>
      <c r="Y835" s="71" t="n"/>
      <c r="Z835" s="71" t="n"/>
    </row>
    <row r="836" ht="15.75" customHeight="1">
      <c r="A836" s="71" t="n"/>
      <c r="B836" s="71" t="n"/>
      <c r="C836" s="71" t="n"/>
      <c r="D836" s="71" t="n"/>
      <c r="E836" s="71" t="n"/>
      <c r="F836" s="71" t="n"/>
      <c r="G836" s="71" t="n"/>
      <c r="H836" s="71" t="n"/>
      <c r="I836" s="71" t="n"/>
      <c r="J836" s="71" t="n"/>
      <c r="K836" s="71" t="n"/>
      <c r="L836" s="71" t="n"/>
      <c r="M836" s="71" t="n"/>
      <c r="N836" s="71" t="n"/>
      <c r="O836" s="71" t="n"/>
      <c r="P836" s="71" t="n"/>
      <c r="Q836" s="71" t="n"/>
      <c r="R836" s="71" t="n"/>
      <c r="S836" s="71" t="n"/>
      <c r="T836" s="71" t="n"/>
      <c r="U836" s="71" t="n"/>
      <c r="V836" s="71" t="n"/>
      <c r="W836" s="71" t="n"/>
      <c r="X836" s="71" t="n"/>
      <c r="Y836" s="71" t="n"/>
      <c r="Z836" s="71" t="n"/>
    </row>
    <row r="837" ht="15.75" customHeight="1">
      <c r="A837" s="71" t="n"/>
      <c r="B837" s="71" t="n"/>
      <c r="C837" s="71" t="n"/>
      <c r="D837" s="71" t="n"/>
      <c r="E837" s="71" t="n"/>
      <c r="F837" s="71" t="n"/>
      <c r="G837" s="71" t="n"/>
      <c r="H837" s="71" t="n"/>
      <c r="I837" s="71" t="n"/>
      <c r="J837" s="71" t="n"/>
      <c r="K837" s="71" t="n"/>
      <c r="L837" s="71" t="n"/>
      <c r="M837" s="71" t="n"/>
      <c r="N837" s="71" t="n"/>
      <c r="O837" s="71" t="n"/>
      <c r="P837" s="71" t="n"/>
      <c r="Q837" s="71" t="n"/>
      <c r="R837" s="71" t="n"/>
      <c r="S837" s="71" t="n"/>
      <c r="T837" s="71" t="n"/>
      <c r="U837" s="71" t="n"/>
      <c r="V837" s="71" t="n"/>
      <c r="W837" s="71" t="n"/>
      <c r="X837" s="71" t="n"/>
      <c r="Y837" s="71" t="n"/>
      <c r="Z837" s="71" t="n"/>
    </row>
    <row r="838" ht="15.75" customHeight="1">
      <c r="A838" s="71" t="n"/>
      <c r="B838" s="71" t="n"/>
      <c r="C838" s="71" t="n"/>
      <c r="D838" s="71" t="n"/>
      <c r="E838" s="71" t="n"/>
      <c r="F838" s="71" t="n"/>
      <c r="G838" s="71" t="n"/>
      <c r="H838" s="71" t="n"/>
      <c r="I838" s="71" t="n"/>
      <c r="J838" s="71" t="n"/>
      <c r="K838" s="71" t="n"/>
      <c r="L838" s="71" t="n"/>
      <c r="M838" s="71" t="n"/>
      <c r="N838" s="71" t="n"/>
      <c r="O838" s="71" t="n"/>
      <c r="P838" s="71" t="n"/>
      <c r="Q838" s="71" t="n"/>
      <c r="R838" s="71" t="n"/>
      <c r="S838" s="71" t="n"/>
      <c r="T838" s="71" t="n"/>
      <c r="U838" s="71" t="n"/>
      <c r="V838" s="71" t="n"/>
      <c r="W838" s="71" t="n"/>
      <c r="X838" s="71" t="n"/>
      <c r="Y838" s="71" t="n"/>
      <c r="Z838" s="71" t="n"/>
    </row>
    <row r="839" ht="15.75" customHeight="1">
      <c r="A839" s="71" t="n"/>
      <c r="B839" s="71" t="n"/>
      <c r="C839" s="71" t="n"/>
      <c r="D839" s="71" t="n"/>
      <c r="E839" s="71" t="n"/>
      <c r="F839" s="71" t="n"/>
      <c r="G839" s="71" t="n"/>
      <c r="H839" s="71" t="n"/>
      <c r="I839" s="71" t="n"/>
      <c r="J839" s="71" t="n"/>
      <c r="K839" s="71" t="n"/>
      <c r="L839" s="71" t="n"/>
      <c r="M839" s="71" t="n"/>
      <c r="N839" s="71" t="n"/>
      <c r="O839" s="71" t="n"/>
      <c r="P839" s="71" t="n"/>
      <c r="Q839" s="71" t="n"/>
      <c r="R839" s="71" t="n"/>
      <c r="S839" s="71" t="n"/>
      <c r="T839" s="71" t="n"/>
      <c r="U839" s="71" t="n"/>
      <c r="V839" s="71" t="n"/>
      <c r="W839" s="71" t="n"/>
      <c r="X839" s="71" t="n"/>
      <c r="Y839" s="71" t="n"/>
      <c r="Z839" s="71" t="n"/>
    </row>
    <row r="840" ht="15.75" customHeight="1">
      <c r="A840" s="71" t="n"/>
      <c r="B840" s="71" t="n"/>
      <c r="C840" s="71" t="n"/>
      <c r="D840" s="71" t="n"/>
      <c r="E840" s="71" t="n"/>
      <c r="F840" s="71" t="n"/>
      <c r="G840" s="71" t="n"/>
      <c r="H840" s="71" t="n"/>
      <c r="I840" s="71" t="n"/>
      <c r="J840" s="71" t="n"/>
      <c r="K840" s="71" t="n"/>
      <c r="L840" s="71" t="n"/>
      <c r="M840" s="71" t="n"/>
      <c r="N840" s="71" t="n"/>
      <c r="O840" s="71" t="n"/>
      <c r="P840" s="71" t="n"/>
      <c r="Q840" s="71" t="n"/>
      <c r="R840" s="71" t="n"/>
      <c r="S840" s="71" t="n"/>
      <c r="T840" s="71" t="n"/>
      <c r="U840" s="71" t="n"/>
      <c r="V840" s="71" t="n"/>
      <c r="W840" s="71" t="n"/>
      <c r="X840" s="71" t="n"/>
      <c r="Y840" s="71" t="n"/>
      <c r="Z840" s="71" t="n"/>
    </row>
    <row r="841" ht="15.75" customHeight="1">
      <c r="A841" s="71" t="n"/>
      <c r="B841" s="71" t="n"/>
      <c r="C841" s="71" t="n"/>
      <c r="D841" s="71" t="n"/>
      <c r="E841" s="71" t="n"/>
      <c r="F841" s="71" t="n"/>
      <c r="G841" s="71" t="n"/>
      <c r="H841" s="71" t="n"/>
      <c r="I841" s="71" t="n"/>
      <c r="J841" s="71" t="n"/>
      <c r="K841" s="71" t="n"/>
      <c r="L841" s="71" t="n"/>
      <c r="M841" s="71" t="n"/>
      <c r="N841" s="71" t="n"/>
      <c r="O841" s="71" t="n"/>
      <c r="P841" s="71" t="n"/>
      <c r="Q841" s="71" t="n"/>
      <c r="R841" s="71" t="n"/>
      <c r="S841" s="71" t="n"/>
      <c r="T841" s="71" t="n"/>
      <c r="U841" s="71" t="n"/>
      <c r="V841" s="71" t="n"/>
      <c r="W841" s="71" t="n"/>
      <c r="X841" s="71" t="n"/>
      <c r="Y841" s="71" t="n"/>
      <c r="Z841" s="71" t="n"/>
    </row>
    <row r="842" ht="15.75" customHeight="1">
      <c r="A842" s="71" t="n"/>
      <c r="B842" s="71" t="n"/>
      <c r="C842" s="71" t="n"/>
      <c r="D842" s="71" t="n"/>
      <c r="E842" s="71" t="n"/>
      <c r="F842" s="71" t="n"/>
      <c r="G842" s="71" t="n"/>
      <c r="H842" s="71" t="n"/>
      <c r="I842" s="71" t="n"/>
      <c r="J842" s="71" t="n"/>
      <c r="K842" s="71" t="n"/>
      <c r="L842" s="71" t="n"/>
      <c r="M842" s="71" t="n"/>
      <c r="N842" s="71" t="n"/>
      <c r="O842" s="71" t="n"/>
      <c r="P842" s="71" t="n"/>
      <c r="Q842" s="71" t="n"/>
      <c r="R842" s="71" t="n"/>
      <c r="S842" s="71" t="n"/>
      <c r="T842" s="71" t="n"/>
      <c r="U842" s="71" t="n"/>
      <c r="V842" s="71" t="n"/>
      <c r="W842" s="71" t="n"/>
      <c r="X842" s="71" t="n"/>
      <c r="Y842" s="71" t="n"/>
      <c r="Z842" s="71" t="n"/>
    </row>
    <row r="843" ht="15.75" customHeight="1">
      <c r="A843" s="71" t="n"/>
      <c r="B843" s="71" t="n"/>
      <c r="C843" s="71" t="n"/>
      <c r="D843" s="71" t="n"/>
      <c r="E843" s="71" t="n"/>
      <c r="F843" s="71" t="n"/>
      <c r="G843" s="71" t="n"/>
      <c r="H843" s="71" t="n"/>
      <c r="I843" s="71" t="n"/>
      <c r="J843" s="71" t="n"/>
      <c r="K843" s="71" t="n"/>
      <c r="L843" s="71" t="n"/>
      <c r="M843" s="71" t="n"/>
      <c r="N843" s="71" t="n"/>
      <c r="O843" s="71" t="n"/>
      <c r="P843" s="71" t="n"/>
      <c r="Q843" s="71" t="n"/>
      <c r="R843" s="71" t="n"/>
      <c r="S843" s="71" t="n"/>
      <c r="T843" s="71" t="n"/>
      <c r="U843" s="71" t="n"/>
      <c r="V843" s="71" t="n"/>
      <c r="W843" s="71" t="n"/>
      <c r="X843" s="71" t="n"/>
      <c r="Y843" s="71" t="n"/>
      <c r="Z843" s="71" t="n"/>
    </row>
    <row r="844" ht="15.75" customHeight="1">
      <c r="A844" s="71" t="n"/>
      <c r="B844" s="71" t="n"/>
      <c r="C844" s="71" t="n"/>
      <c r="D844" s="71" t="n"/>
      <c r="E844" s="71" t="n"/>
      <c r="F844" s="71" t="n"/>
      <c r="G844" s="71" t="n"/>
      <c r="H844" s="71" t="n"/>
      <c r="I844" s="71" t="n"/>
      <c r="J844" s="71" t="n"/>
      <c r="K844" s="71" t="n"/>
      <c r="L844" s="71" t="n"/>
      <c r="M844" s="71" t="n"/>
      <c r="N844" s="71" t="n"/>
      <c r="O844" s="71" t="n"/>
      <c r="P844" s="71" t="n"/>
      <c r="Q844" s="71" t="n"/>
      <c r="R844" s="71" t="n"/>
      <c r="S844" s="71" t="n"/>
      <c r="T844" s="71" t="n"/>
      <c r="U844" s="71" t="n"/>
      <c r="V844" s="71" t="n"/>
      <c r="W844" s="71" t="n"/>
      <c r="X844" s="71" t="n"/>
      <c r="Y844" s="71" t="n"/>
      <c r="Z844" s="71" t="n"/>
    </row>
    <row r="845" ht="15.75" customHeight="1">
      <c r="A845" s="71" t="n"/>
      <c r="B845" s="71" t="n"/>
      <c r="C845" s="71" t="n"/>
      <c r="D845" s="71" t="n"/>
      <c r="E845" s="71" t="n"/>
      <c r="F845" s="71" t="n"/>
      <c r="G845" s="71" t="n"/>
      <c r="H845" s="71" t="n"/>
      <c r="I845" s="71" t="n"/>
      <c r="J845" s="71" t="n"/>
      <c r="K845" s="71" t="n"/>
      <c r="L845" s="71" t="n"/>
      <c r="M845" s="71" t="n"/>
      <c r="N845" s="71" t="n"/>
      <c r="O845" s="71" t="n"/>
      <c r="P845" s="71" t="n"/>
      <c r="Q845" s="71" t="n"/>
      <c r="R845" s="71" t="n"/>
      <c r="S845" s="71" t="n"/>
      <c r="T845" s="71" t="n"/>
      <c r="U845" s="71" t="n"/>
      <c r="V845" s="71" t="n"/>
      <c r="W845" s="71" t="n"/>
      <c r="X845" s="71" t="n"/>
      <c r="Y845" s="71" t="n"/>
      <c r="Z845" s="71" t="n"/>
    </row>
    <row r="846" ht="15.75" customHeight="1">
      <c r="A846" s="71" t="n"/>
      <c r="B846" s="71" t="n"/>
      <c r="C846" s="71" t="n"/>
      <c r="D846" s="71" t="n"/>
      <c r="E846" s="71" t="n"/>
      <c r="F846" s="71" t="n"/>
      <c r="G846" s="71" t="n"/>
      <c r="H846" s="71" t="n"/>
      <c r="I846" s="71" t="n"/>
      <c r="J846" s="71" t="n"/>
      <c r="K846" s="71" t="n"/>
      <c r="L846" s="71" t="n"/>
      <c r="M846" s="71" t="n"/>
      <c r="N846" s="71" t="n"/>
      <c r="O846" s="71" t="n"/>
      <c r="P846" s="71" t="n"/>
      <c r="Q846" s="71" t="n"/>
      <c r="R846" s="71" t="n"/>
      <c r="S846" s="71" t="n"/>
      <c r="T846" s="71" t="n"/>
      <c r="U846" s="71" t="n"/>
      <c r="V846" s="71" t="n"/>
      <c r="W846" s="71" t="n"/>
      <c r="X846" s="71" t="n"/>
      <c r="Y846" s="71" t="n"/>
      <c r="Z846" s="71" t="n"/>
    </row>
    <row r="847" ht="15.75" customHeight="1">
      <c r="A847" s="71" t="n"/>
      <c r="B847" s="71" t="n"/>
      <c r="C847" s="71" t="n"/>
      <c r="D847" s="71" t="n"/>
      <c r="E847" s="71" t="n"/>
      <c r="F847" s="71" t="n"/>
      <c r="G847" s="71" t="n"/>
      <c r="H847" s="71" t="n"/>
      <c r="I847" s="71" t="n"/>
      <c r="J847" s="71" t="n"/>
      <c r="K847" s="71" t="n"/>
      <c r="L847" s="71" t="n"/>
      <c r="M847" s="71" t="n"/>
      <c r="N847" s="71" t="n"/>
      <c r="O847" s="71" t="n"/>
      <c r="P847" s="71" t="n"/>
      <c r="Q847" s="71" t="n"/>
      <c r="R847" s="71" t="n"/>
      <c r="S847" s="71" t="n"/>
      <c r="T847" s="71" t="n"/>
      <c r="U847" s="71" t="n"/>
      <c r="V847" s="71" t="n"/>
      <c r="W847" s="71" t="n"/>
      <c r="X847" s="71" t="n"/>
      <c r="Y847" s="71" t="n"/>
      <c r="Z847" s="71" t="n"/>
    </row>
    <row r="848" ht="15.75" customHeight="1">
      <c r="A848" s="71" t="n"/>
      <c r="B848" s="71" t="n"/>
      <c r="C848" s="71" t="n"/>
      <c r="D848" s="71" t="n"/>
      <c r="E848" s="71" t="n"/>
      <c r="F848" s="71" t="n"/>
      <c r="G848" s="71" t="n"/>
      <c r="H848" s="71" t="n"/>
      <c r="I848" s="71" t="n"/>
      <c r="J848" s="71" t="n"/>
      <c r="K848" s="71" t="n"/>
      <c r="L848" s="71" t="n"/>
      <c r="M848" s="71" t="n"/>
      <c r="N848" s="71" t="n"/>
      <c r="O848" s="71" t="n"/>
      <c r="P848" s="71" t="n"/>
      <c r="Q848" s="71" t="n"/>
      <c r="R848" s="71" t="n"/>
      <c r="S848" s="71" t="n"/>
      <c r="T848" s="71" t="n"/>
      <c r="U848" s="71" t="n"/>
      <c r="V848" s="71" t="n"/>
      <c r="W848" s="71" t="n"/>
      <c r="X848" s="71" t="n"/>
      <c r="Y848" s="71" t="n"/>
      <c r="Z848" s="71" t="n"/>
    </row>
    <row r="849" ht="15.75" customHeight="1">
      <c r="A849" s="71" t="n"/>
      <c r="B849" s="71" t="n"/>
      <c r="C849" s="71" t="n"/>
      <c r="D849" s="71" t="n"/>
      <c r="E849" s="71" t="n"/>
      <c r="F849" s="71" t="n"/>
      <c r="G849" s="71" t="n"/>
      <c r="H849" s="71" t="n"/>
      <c r="I849" s="71" t="n"/>
      <c r="J849" s="71" t="n"/>
      <c r="K849" s="71" t="n"/>
      <c r="L849" s="71" t="n"/>
      <c r="M849" s="71" t="n"/>
      <c r="N849" s="71" t="n"/>
      <c r="O849" s="71" t="n"/>
      <c r="P849" s="71" t="n"/>
      <c r="Q849" s="71" t="n"/>
      <c r="R849" s="71" t="n"/>
      <c r="S849" s="71" t="n"/>
      <c r="T849" s="71" t="n"/>
      <c r="U849" s="71" t="n"/>
      <c r="V849" s="71" t="n"/>
      <c r="W849" s="71" t="n"/>
      <c r="X849" s="71" t="n"/>
      <c r="Y849" s="71" t="n"/>
      <c r="Z849" s="71" t="n"/>
    </row>
    <row r="850" ht="15.75" customHeight="1">
      <c r="A850" s="71" t="n"/>
      <c r="B850" s="71" t="n"/>
      <c r="C850" s="71" t="n"/>
      <c r="D850" s="71" t="n"/>
      <c r="E850" s="71" t="n"/>
      <c r="F850" s="71" t="n"/>
      <c r="G850" s="71" t="n"/>
      <c r="H850" s="71" t="n"/>
      <c r="I850" s="71" t="n"/>
      <c r="J850" s="71" t="n"/>
      <c r="K850" s="71" t="n"/>
      <c r="L850" s="71" t="n"/>
      <c r="M850" s="71" t="n"/>
      <c r="N850" s="71" t="n"/>
      <c r="O850" s="71" t="n"/>
      <c r="P850" s="71" t="n"/>
      <c r="Q850" s="71" t="n"/>
      <c r="R850" s="71" t="n"/>
      <c r="S850" s="71" t="n"/>
      <c r="T850" s="71" t="n"/>
      <c r="U850" s="71" t="n"/>
      <c r="V850" s="71" t="n"/>
      <c r="W850" s="71" t="n"/>
      <c r="X850" s="71" t="n"/>
      <c r="Y850" s="71" t="n"/>
      <c r="Z850" s="71" t="n"/>
    </row>
    <row r="851" ht="15.75" customHeight="1">
      <c r="A851" s="71" t="n"/>
      <c r="B851" s="71" t="n"/>
      <c r="C851" s="71" t="n"/>
      <c r="D851" s="71" t="n"/>
      <c r="E851" s="71" t="n"/>
      <c r="F851" s="71" t="n"/>
      <c r="G851" s="71" t="n"/>
      <c r="H851" s="71" t="n"/>
      <c r="I851" s="71" t="n"/>
      <c r="J851" s="71" t="n"/>
      <c r="K851" s="71" t="n"/>
      <c r="L851" s="71" t="n"/>
      <c r="M851" s="71" t="n"/>
      <c r="N851" s="71" t="n"/>
      <c r="O851" s="71" t="n"/>
      <c r="P851" s="71" t="n"/>
      <c r="Q851" s="71" t="n"/>
      <c r="R851" s="71" t="n"/>
      <c r="S851" s="71" t="n"/>
      <c r="T851" s="71" t="n"/>
      <c r="U851" s="71" t="n"/>
      <c r="V851" s="71" t="n"/>
      <c r="W851" s="71" t="n"/>
      <c r="X851" s="71" t="n"/>
      <c r="Y851" s="71" t="n"/>
      <c r="Z851" s="71" t="n"/>
    </row>
    <row r="852" ht="15.75" customHeight="1">
      <c r="A852" s="71" t="n"/>
      <c r="B852" s="71" t="n"/>
      <c r="C852" s="71" t="n"/>
      <c r="D852" s="71" t="n"/>
      <c r="E852" s="71" t="n"/>
      <c r="F852" s="71" t="n"/>
      <c r="G852" s="71" t="n"/>
      <c r="H852" s="71" t="n"/>
      <c r="I852" s="71" t="n"/>
      <c r="J852" s="71" t="n"/>
      <c r="K852" s="71" t="n"/>
      <c r="L852" s="71" t="n"/>
      <c r="M852" s="71" t="n"/>
      <c r="N852" s="71" t="n"/>
      <c r="O852" s="71" t="n"/>
      <c r="P852" s="71" t="n"/>
      <c r="Q852" s="71" t="n"/>
      <c r="R852" s="71" t="n"/>
      <c r="S852" s="71" t="n"/>
      <c r="T852" s="71" t="n"/>
      <c r="U852" s="71" t="n"/>
      <c r="V852" s="71" t="n"/>
      <c r="W852" s="71" t="n"/>
      <c r="X852" s="71" t="n"/>
      <c r="Y852" s="71" t="n"/>
      <c r="Z852" s="71" t="n"/>
    </row>
    <row r="853" ht="15.75" customHeight="1">
      <c r="A853" s="71" t="n"/>
      <c r="B853" s="71" t="n"/>
      <c r="C853" s="71" t="n"/>
      <c r="D853" s="71" t="n"/>
      <c r="E853" s="71" t="n"/>
      <c r="F853" s="71" t="n"/>
      <c r="G853" s="71" t="n"/>
      <c r="H853" s="71" t="n"/>
      <c r="I853" s="71" t="n"/>
      <c r="J853" s="71" t="n"/>
      <c r="K853" s="71" t="n"/>
      <c r="L853" s="71" t="n"/>
      <c r="M853" s="71" t="n"/>
      <c r="N853" s="71" t="n"/>
      <c r="O853" s="71" t="n"/>
      <c r="P853" s="71" t="n"/>
      <c r="Q853" s="71" t="n"/>
      <c r="R853" s="71" t="n"/>
      <c r="S853" s="71" t="n"/>
      <c r="T853" s="71" t="n"/>
      <c r="U853" s="71" t="n"/>
      <c r="V853" s="71" t="n"/>
      <c r="W853" s="71" t="n"/>
      <c r="X853" s="71" t="n"/>
      <c r="Y853" s="71" t="n"/>
      <c r="Z853" s="71" t="n"/>
    </row>
    <row r="854" ht="15.75" customHeight="1">
      <c r="A854" s="71" t="n"/>
      <c r="B854" s="71" t="n"/>
      <c r="C854" s="71" t="n"/>
      <c r="D854" s="71" t="n"/>
      <c r="E854" s="71" t="n"/>
      <c r="F854" s="71" t="n"/>
      <c r="G854" s="71" t="n"/>
      <c r="H854" s="71" t="n"/>
      <c r="I854" s="71" t="n"/>
      <c r="J854" s="71" t="n"/>
      <c r="K854" s="71" t="n"/>
      <c r="L854" s="71" t="n"/>
      <c r="M854" s="71" t="n"/>
      <c r="N854" s="71" t="n"/>
      <c r="O854" s="71" t="n"/>
      <c r="P854" s="71" t="n"/>
      <c r="Q854" s="71" t="n"/>
      <c r="R854" s="71" t="n"/>
      <c r="S854" s="71" t="n"/>
      <c r="T854" s="71" t="n"/>
      <c r="U854" s="71" t="n"/>
      <c r="V854" s="71" t="n"/>
      <c r="W854" s="71" t="n"/>
      <c r="X854" s="71" t="n"/>
      <c r="Y854" s="71" t="n"/>
      <c r="Z854" s="71" t="n"/>
    </row>
    <row r="855" ht="15.75" customHeight="1">
      <c r="A855" s="71" t="n"/>
      <c r="B855" s="71" t="n"/>
      <c r="C855" s="71" t="n"/>
      <c r="D855" s="71" t="n"/>
      <c r="E855" s="71" t="n"/>
      <c r="F855" s="71" t="n"/>
      <c r="G855" s="71" t="n"/>
      <c r="H855" s="71" t="n"/>
      <c r="I855" s="71" t="n"/>
      <c r="J855" s="71" t="n"/>
      <c r="K855" s="71" t="n"/>
      <c r="L855" s="71" t="n"/>
      <c r="M855" s="71" t="n"/>
      <c r="N855" s="71" t="n"/>
      <c r="O855" s="71" t="n"/>
      <c r="P855" s="71" t="n"/>
      <c r="Q855" s="71" t="n"/>
      <c r="R855" s="71" t="n"/>
      <c r="S855" s="71" t="n"/>
      <c r="T855" s="71" t="n"/>
      <c r="U855" s="71" t="n"/>
      <c r="V855" s="71" t="n"/>
      <c r="W855" s="71" t="n"/>
      <c r="X855" s="71" t="n"/>
      <c r="Y855" s="71" t="n"/>
      <c r="Z855" s="71" t="n"/>
    </row>
    <row r="856" ht="15.75" customHeight="1">
      <c r="A856" s="71" t="n"/>
      <c r="B856" s="71" t="n"/>
      <c r="C856" s="71" t="n"/>
      <c r="D856" s="71" t="n"/>
      <c r="E856" s="71" t="n"/>
      <c r="F856" s="71" t="n"/>
      <c r="G856" s="71" t="n"/>
      <c r="H856" s="71" t="n"/>
      <c r="I856" s="71" t="n"/>
      <c r="J856" s="71" t="n"/>
      <c r="K856" s="71" t="n"/>
      <c r="L856" s="71" t="n"/>
      <c r="M856" s="71" t="n"/>
      <c r="N856" s="71" t="n"/>
      <c r="O856" s="71" t="n"/>
      <c r="P856" s="71" t="n"/>
      <c r="Q856" s="71" t="n"/>
      <c r="R856" s="71" t="n"/>
      <c r="S856" s="71" t="n"/>
      <c r="T856" s="71" t="n"/>
      <c r="U856" s="71" t="n"/>
      <c r="V856" s="71" t="n"/>
      <c r="W856" s="71" t="n"/>
      <c r="X856" s="71" t="n"/>
      <c r="Y856" s="71" t="n"/>
      <c r="Z856" s="71" t="n"/>
    </row>
    <row r="857" ht="15.75" customHeight="1">
      <c r="A857" s="71" t="n"/>
      <c r="B857" s="71" t="n"/>
      <c r="C857" s="71" t="n"/>
      <c r="D857" s="71" t="n"/>
      <c r="E857" s="71" t="n"/>
      <c r="F857" s="71" t="n"/>
      <c r="G857" s="71" t="n"/>
      <c r="H857" s="71" t="n"/>
      <c r="I857" s="71" t="n"/>
      <c r="J857" s="71" t="n"/>
      <c r="K857" s="71" t="n"/>
      <c r="L857" s="71" t="n"/>
      <c r="M857" s="71" t="n"/>
      <c r="N857" s="71" t="n"/>
      <c r="O857" s="71" t="n"/>
      <c r="P857" s="71" t="n"/>
      <c r="Q857" s="71" t="n"/>
      <c r="R857" s="71" t="n"/>
      <c r="S857" s="71" t="n"/>
      <c r="T857" s="71" t="n"/>
      <c r="U857" s="71" t="n"/>
      <c r="V857" s="71" t="n"/>
      <c r="W857" s="71" t="n"/>
      <c r="X857" s="71" t="n"/>
      <c r="Y857" s="71" t="n"/>
      <c r="Z857" s="71" t="n"/>
    </row>
    <row r="858" ht="15.75" customHeight="1">
      <c r="A858" s="71" t="n"/>
      <c r="B858" s="71" t="n"/>
      <c r="C858" s="71" t="n"/>
      <c r="D858" s="71" t="n"/>
      <c r="E858" s="71" t="n"/>
      <c r="F858" s="71" t="n"/>
      <c r="G858" s="71" t="n"/>
      <c r="H858" s="71" t="n"/>
      <c r="I858" s="71" t="n"/>
      <c r="J858" s="71" t="n"/>
      <c r="K858" s="71" t="n"/>
      <c r="L858" s="71" t="n"/>
      <c r="M858" s="71" t="n"/>
      <c r="N858" s="71" t="n"/>
      <c r="O858" s="71" t="n"/>
      <c r="P858" s="71" t="n"/>
      <c r="Q858" s="71" t="n"/>
      <c r="R858" s="71" t="n"/>
      <c r="S858" s="71" t="n"/>
      <c r="T858" s="71" t="n"/>
      <c r="U858" s="71" t="n"/>
      <c r="V858" s="71" t="n"/>
      <c r="W858" s="71" t="n"/>
      <c r="X858" s="71" t="n"/>
      <c r="Y858" s="71" t="n"/>
      <c r="Z858" s="71" t="n"/>
    </row>
    <row r="859" ht="15.75" customHeight="1">
      <c r="A859" s="71" t="n"/>
      <c r="B859" s="71" t="n"/>
      <c r="C859" s="71" t="n"/>
      <c r="D859" s="71" t="n"/>
      <c r="E859" s="71" t="n"/>
      <c r="F859" s="71" t="n"/>
      <c r="G859" s="71" t="n"/>
      <c r="H859" s="71" t="n"/>
      <c r="I859" s="71" t="n"/>
      <c r="J859" s="71" t="n"/>
      <c r="K859" s="71" t="n"/>
      <c r="L859" s="71" t="n"/>
      <c r="M859" s="71" t="n"/>
      <c r="N859" s="71" t="n"/>
      <c r="O859" s="71" t="n"/>
      <c r="P859" s="71" t="n"/>
      <c r="Q859" s="71" t="n"/>
      <c r="R859" s="71" t="n"/>
      <c r="S859" s="71" t="n"/>
      <c r="T859" s="71" t="n"/>
      <c r="U859" s="71" t="n"/>
      <c r="V859" s="71" t="n"/>
      <c r="W859" s="71" t="n"/>
      <c r="X859" s="71" t="n"/>
      <c r="Y859" s="71" t="n"/>
      <c r="Z859" s="71" t="n"/>
    </row>
    <row r="860" ht="15.75" customHeight="1">
      <c r="A860" s="71" t="n"/>
      <c r="B860" s="71" t="n"/>
      <c r="C860" s="71" t="n"/>
      <c r="D860" s="71" t="n"/>
      <c r="E860" s="71" t="n"/>
      <c r="F860" s="71" t="n"/>
      <c r="G860" s="71" t="n"/>
      <c r="H860" s="71" t="n"/>
      <c r="I860" s="71" t="n"/>
      <c r="J860" s="71" t="n"/>
      <c r="K860" s="71" t="n"/>
      <c r="L860" s="71" t="n"/>
      <c r="M860" s="71" t="n"/>
      <c r="N860" s="71" t="n"/>
      <c r="O860" s="71" t="n"/>
      <c r="P860" s="71" t="n"/>
      <c r="Q860" s="71" t="n"/>
      <c r="R860" s="71" t="n"/>
      <c r="S860" s="71" t="n"/>
      <c r="T860" s="71" t="n"/>
      <c r="U860" s="71" t="n"/>
      <c r="V860" s="71" t="n"/>
      <c r="W860" s="71" t="n"/>
      <c r="X860" s="71" t="n"/>
      <c r="Y860" s="71" t="n"/>
      <c r="Z860" s="71" t="n"/>
    </row>
    <row r="861" ht="15.75" customHeight="1">
      <c r="A861" s="71" t="n"/>
      <c r="B861" s="71" t="n"/>
      <c r="C861" s="71" t="n"/>
      <c r="D861" s="71" t="n"/>
      <c r="E861" s="71" t="n"/>
      <c r="F861" s="71" t="n"/>
      <c r="G861" s="71" t="n"/>
      <c r="H861" s="71" t="n"/>
      <c r="I861" s="71" t="n"/>
      <c r="J861" s="71" t="n"/>
      <c r="K861" s="71" t="n"/>
      <c r="L861" s="71" t="n"/>
      <c r="M861" s="71" t="n"/>
      <c r="N861" s="71" t="n"/>
      <c r="O861" s="71" t="n"/>
      <c r="P861" s="71" t="n"/>
      <c r="Q861" s="71" t="n"/>
      <c r="R861" s="71" t="n"/>
      <c r="S861" s="71" t="n"/>
      <c r="T861" s="71" t="n"/>
      <c r="U861" s="71" t="n"/>
      <c r="V861" s="71" t="n"/>
      <c r="W861" s="71" t="n"/>
      <c r="X861" s="71" t="n"/>
      <c r="Y861" s="71" t="n"/>
      <c r="Z861" s="71" t="n"/>
    </row>
    <row r="862" ht="15.75" customHeight="1">
      <c r="A862" s="71" t="n"/>
      <c r="B862" s="71" t="n"/>
      <c r="C862" s="71" t="n"/>
      <c r="D862" s="71" t="n"/>
      <c r="E862" s="71" t="n"/>
      <c r="F862" s="71" t="n"/>
      <c r="G862" s="71" t="n"/>
      <c r="H862" s="71" t="n"/>
      <c r="I862" s="71" t="n"/>
      <c r="J862" s="71" t="n"/>
      <c r="K862" s="71" t="n"/>
      <c r="L862" s="71" t="n"/>
      <c r="M862" s="71" t="n"/>
      <c r="N862" s="71" t="n"/>
      <c r="O862" s="71" t="n"/>
      <c r="P862" s="71" t="n"/>
      <c r="Q862" s="71" t="n"/>
      <c r="R862" s="71" t="n"/>
      <c r="S862" s="71" t="n"/>
      <c r="T862" s="71" t="n"/>
      <c r="U862" s="71" t="n"/>
      <c r="V862" s="71" t="n"/>
      <c r="W862" s="71" t="n"/>
      <c r="X862" s="71" t="n"/>
      <c r="Y862" s="71" t="n"/>
      <c r="Z862" s="71" t="n"/>
    </row>
    <row r="863" ht="15.75" customHeight="1">
      <c r="A863" s="71" t="n"/>
      <c r="B863" s="71" t="n"/>
      <c r="C863" s="71" t="n"/>
      <c r="D863" s="71" t="n"/>
      <c r="E863" s="71" t="n"/>
      <c r="F863" s="71" t="n"/>
      <c r="G863" s="71" t="n"/>
      <c r="H863" s="71" t="n"/>
      <c r="I863" s="71" t="n"/>
      <c r="J863" s="71" t="n"/>
      <c r="K863" s="71" t="n"/>
      <c r="L863" s="71" t="n"/>
      <c r="M863" s="71" t="n"/>
      <c r="N863" s="71" t="n"/>
      <c r="O863" s="71" t="n"/>
      <c r="P863" s="71" t="n"/>
      <c r="Q863" s="71" t="n"/>
      <c r="R863" s="71" t="n"/>
      <c r="S863" s="71" t="n"/>
      <c r="T863" s="71" t="n"/>
      <c r="U863" s="71" t="n"/>
      <c r="V863" s="71" t="n"/>
      <c r="W863" s="71" t="n"/>
      <c r="X863" s="71" t="n"/>
      <c r="Y863" s="71" t="n"/>
      <c r="Z863" s="71" t="n"/>
    </row>
    <row r="864" ht="15.75" customHeight="1">
      <c r="A864" s="71" t="n"/>
      <c r="B864" s="71" t="n"/>
      <c r="C864" s="71" t="n"/>
      <c r="D864" s="71" t="n"/>
      <c r="E864" s="71" t="n"/>
      <c r="F864" s="71" t="n"/>
      <c r="G864" s="71" t="n"/>
      <c r="H864" s="71" t="n"/>
      <c r="I864" s="71" t="n"/>
      <c r="J864" s="71" t="n"/>
      <c r="K864" s="71" t="n"/>
      <c r="L864" s="71" t="n"/>
      <c r="M864" s="71" t="n"/>
      <c r="N864" s="71" t="n"/>
      <c r="O864" s="71" t="n"/>
      <c r="P864" s="71" t="n"/>
      <c r="Q864" s="71" t="n"/>
      <c r="R864" s="71" t="n"/>
      <c r="S864" s="71" t="n"/>
      <c r="T864" s="71" t="n"/>
      <c r="U864" s="71" t="n"/>
      <c r="V864" s="71" t="n"/>
      <c r="W864" s="71" t="n"/>
      <c r="X864" s="71" t="n"/>
      <c r="Y864" s="71" t="n"/>
      <c r="Z864" s="71" t="n"/>
    </row>
    <row r="865" ht="15.75" customHeight="1">
      <c r="A865" s="71" t="n"/>
      <c r="B865" s="71" t="n"/>
      <c r="C865" s="71" t="n"/>
      <c r="D865" s="71" t="n"/>
      <c r="E865" s="71" t="n"/>
      <c r="F865" s="71" t="n"/>
      <c r="G865" s="71" t="n"/>
      <c r="H865" s="71" t="n"/>
      <c r="I865" s="71" t="n"/>
      <c r="J865" s="71" t="n"/>
      <c r="K865" s="71" t="n"/>
      <c r="L865" s="71" t="n"/>
      <c r="M865" s="71" t="n"/>
      <c r="N865" s="71" t="n"/>
      <c r="O865" s="71" t="n"/>
      <c r="P865" s="71" t="n"/>
      <c r="Q865" s="71" t="n"/>
      <c r="R865" s="71" t="n"/>
      <c r="S865" s="71" t="n"/>
      <c r="T865" s="71" t="n"/>
      <c r="U865" s="71" t="n"/>
      <c r="V865" s="71" t="n"/>
      <c r="W865" s="71" t="n"/>
      <c r="X865" s="71" t="n"/>
      <c r="Y865" s="71" t="n"/>
      <c r="Z865" s="71" t="n"/>
    </row>
    <row r="866" ht="15.75" customHeight="1">
      <c r="A866" s="71" t="n"/>
      <c r="B866" s="71" t="n"/>
      <c r="C866" s="71" t="n"/>
      <c r="D866" s="71" t="n"/>
      <c r="E866" s="71" t="n"/>
      <c r="F866" s="71" t="n"/>
      <c r="G866" s="71" t="n"/>
      <c r="H866" s="71" t="n"/>
      <c r="I866" s="71" t="n"/>
      <c r="J866" s="71" t="n"/>
      <c r="K866" s="71" t="n"/>
      <c r="L866" s="71" t="n"/>
      <c r="M866" s="71" t="n"/>
      <c r="N866" s="71" t="n"/>
      <c r="O866" s="71" t="n"/>
      <c r="P866" s="71" t="n"/>
      <c r="Q866" s="71" t="n"/>
      <c r="R866" s="71" t="n"/>
      <c r="S866" s="71" t="n"/>
      <c r="T866" s="71" t="n"/>
      <c r="U866" s="71" t="n"/>
      <c r="V866" s="71" t="n"/>
      <c r="W866" s="71" t="n"/>
      <c r="X866" s="71" t="n"/>
      <c r="Y866" s="71" t="n"/>
      <c r="Z866" s="71" t="n"/>
    </row>
    <row r="867" ht="15.75" customHeight="1">
      <c r="A867" s="71" t="n"/>
      <c r="B867" s="71" t="n"/>
      <c r="C867" s="71" t="n"/>
      <c r="D867" s="71" t="n"/>
      <c r="E867" s="71" t="n"/>
      <c r="F867" s="71" t="n"/>
      <c r="G867" s="71" t="n"/>
      <c r="H867" s="71" t="n"/>
      <c r="I867" s="71" t="n"/>
      <c r="J867" s="71" t="n"/>
      <c r="K867" s="71" t="n"/>
      <c r="L867" s="71" t="n"/>
      <c r="M867" s="71" t="n"/>
      <c r="N867" s="71" t="n"/>
      <c r="O867" s="71" t="n"/>
      <c r="P867" s="71" t="n"/>
      <c r="Q867" s="71" t="n"/>
      <c r="R867" s="71" t="n"/>
      <c r="S867" s="71" t="n"/>
      <c r="T867" s="71" t="n"/>
      <c r="U867" s="71" t="n"/>
      <c r="V867" s="71" t="n"/>
      <c r="W867" s="71" t="n"/>
      <c r="X867" s="71" t="n"/>
      <c r="Y867" s="71" t="n"/>
      <c r="Z867" s="71" t="n"/>
    </row>
    <row r="868" ht="15.75" customHeight="1">
      <c r="A868" s="71" t="n"/>
      <c r="B868" s="71" t="n"/>
      <c r="C868" s="71" t="n"/>
      <c r="D868" s="71" t="n"/>
      <c r="E868" s="71" t="n"/>
      <c r="F868" s="71" t="n"/>
      <c r="G868" s="71" t="n"/>
      <c r="H868" s="71" t="n"/>
      <c r="I868" s="71" t="n"/>
      <c r="J868" s="71" t="n"/>
      <c r="K868" s="71" t="n"/>
      <c r="L868" s="71" t="n"/>
      <c r="M868" s="71" t="n"/>
      <c r="N868" s="71" t="n"/>
      <c r="O868" s="71" t="n"/>
      <c r="P868" s="71" t="n"/>
      <c r="Q868" s="71" t="n"/>
      <c r="R868" s="71" t="n"/>
      <c r="S868" s="71" t="n"/>
      <c r="T868" s="71" t="n"/>
      <c r="U868" s="71" t="n"/>
      <c r="V868" s="71" t="n"/>
      <c r="W868" s="71" t="n"/>
      <c r="X868" s="71" t="n"/>
      <c r="Y868" s="71" t="n"/>
      <c r="Z868" s="71" t="n"/>
    </row>
    <row r="869" ht="15.75" customHeight="1">
      <c r="A869" s="71" t="n"/>
      <c r="B869" s="71" t="n"/>
      <c r="C869" s="71" t="n"/>
      <c r="D869" s="71" t="n"/>
      <c r="E869" s="71" t="n"/>
      <c r="F869" s="71" t="n"/>
      <c r="G869" s="71" t="n"/>
      <c r="H869" s="71" t="n"/>
      <c r="I869" s="71" t="n"/>
      <c r="J869" s="71" t="n"/>
      <c r="K869" s="71" t="n"/>
      <c r="L869" s="71" t="n"/>
      <c r="M869" s="71" t="n"/>
      <c r="N869" s="71" t="n"/>
      <c r="O869" s="71" t="n"/>
      <c r="P869" s="71" t="n"/>
      <c r="Q869" s="71" t="n"/>
      <c r="R869" s="71" t="n"/>
      <c r="S869" s="71" t="n"/>
      <c r="T869" s="71" t="n"/>
      <c r="U869" s="71" t="n"/>
      <c r="V869" s="71" t="n"/>
      <c r="W869" s="71" t="n"/>
      <c r="X869" s="71" t="n"/>
      <c r="Y869" s="71" t="n"/>
      <c r="Z869" s="71" t="n"/>
    </row>
    <row r="870" ht="15.75" customHeight="1">
      <c r="A870" s="71" t="n"/>
      <c r="B870" s="71" t="n"/>
      <c r="C870" s="71" t="n"/>
      <c r="D870" s="71" t="n"/>
      <c r="E870" s="71" t="n"/>
      <c r="F870" s="71" t="n"/>
      <c r="G870" s="71" t="n"/>
      <c r="H870" s="71" t="n"/>
      <c r="I870" s="71" t="n"/>
      <c r="J870" s="71" t="n"/>
      <c r="K870" s="71" t="n"/>
      <c r="L870" s="71" t="n"/>
      <c r="M870" s="71" t="n"/>
      <c r="N870" s="71" t="n"/>
      <c r="O870" s="71" t="n"/>
      <c r="P870" s="71" t="n"/>
      <c r="Q870" s="71" t="n"/>
      <c r="R870" s="71" t="n"/>
      <c r="S870" s="71" t="n"/>
      <c r="T870" s="71" t="n"/>
      <c r="U870" s="71" t="n"/>
      <c r="V870" s="71" t="n"/>
      <c r="W870" s="71" t="n"/>
      <c r="X870" s="71" t="n"/>
      <c r="Y870" s="71" t="n"/>
      <c r="Z870" s="71" t="n"/>
    </row>
    <row r="871" ht="15.75" customHeight="1">
      <c r="A871" s="71" t="n"/>
      <c r="B871" s="71" t="n"/>
      <c r="C871" s="71" t="n"/>
      <c r="D871" s="71" t="n"/>
      <c r="E871" s="71" t="n"/>
      <c r="F871" s="71" t="n"/>
      <c r="G871" s="71" t="n"/>
      <c r="H871" s="71" t="n"/>
      <c r="I871" s="71" t="n"/>
      <c r="J871" s="71" t="n"/>
      <c r="K871" s="71" t="n"/>
      <c r="L871" s="71" t="n"/>
      <c r="M871" s="71" t="n"/>
      <c r="N871" s="71" t="n"/>
      <c r="O871" s="71" t="n"/>
      <c r="P871" s="71" t="n"/>
      <c r="Q871" s="71" t="n"/>
      <c r="R871" s="71" t="n"/>
      <c r="S871" s="71" t="n"/>
      <c r="T871" s="71" t="n"/>
      <c r="U871" s="71" t="n"/>
      <c r="V871" s="71" t="n"/>
      <c r="W871" s="71" t="n"/>
      <c r="X871" s="71" t="n"/>
      <c r="Y871" s="71" t="n"/>
      <c r="Z871" s="71" t="n"/>
    </row>
    <row r="872" ht="15.75" customHeight="1">
      <c r="A872" s="71" t="n"/>
      <c r="B872" s="71" t="n"/>
      <c r="C872" s="71" t="n"/>
      <c r="D872" s="71" t="n"/>
      <c r="E872" s="71" t="n"/>
      <c r="F872" s="71" t="n"/>
      <c r="G872" s="71" t="n"/>
      <c r="H872" s="71" t="n"/>
      <c r="I872" s="71" t="n"/>
      <c r="J872" s="71" t="n"/>
      <c r="K872" s="71" t="n"/>
      <c r="L872" s="71" t="n"/>
      <c r="M872" s="71" t="n"/>
      <c r="N872" s="71" t="n"/>
      <c r="O872" s="71" t="n"/>
      <c r="P872" s="71" t="n"/>
      <c r="Q872" s="71" t="n"/>
      <c r="R872" s="71" t="n"/>
      <c r="S872" s="71" t="n"/>
      <c r="T872" s="71" t="n"/>
      <c r="U872" s="71" t="n"/>
      <c r="V872" s="71" t="n"/>
      <c r="W872" s="71" t="n"/>
      <c r="X872" s="71" t="n"/>
      <c r="Y872" s="71" t="n"/>
      <c r="Z872" s="71" t="n"/>
    </row>
    <row r="873" ht="15.75" customHeight="1">
      <c r="A873" s="71" t="n"/>
      <c r="B873" s="71" t="n"/>
      <c r="C873" s="71" t="n"/>
      <c r="D873" s="71" t="n"/>
      <c r="E873" s="71" t="n"/>
      <c r="F873" s="71" t="n"/>
      <c r="G873" s="71" t="n"/>
      <c r="H873" s="71" t="n"/>
      <c r="I873" s="71" t="n"/>
      <c r="J873" s="71" t="n"/>
      <c r="K873" s="71" t="n"/>
      <c r="L873" s="71" t="n"/>
      <c r="M873" s="71" t="n"/>
      <c r="N873" s="71" t="n"/>
      <c r="O873" s="71" t="n"/>
      <c r="P873" s="71" t="n"/>
      <c r="Q873" s="71" t="n"/>
      <c r="R873" s="71" t="n"/>
      <c r="S873" s="71" t="n"/>
      <c r="T873" s="71" t="n"/>
      <c r="U873" s="71" t="n"/>
      <c r="V873" s="71" t="n"/>
      <c r="W873" s="71" t="n"/>
      <c r="X873" s="71" t="n"/>
      <c r="Y873" s="71" t="n"/>
      <c r="Z873" s="71" t="n"/>
    </row>
    <row r="874" ht="15.75" customHeight="1">
      <c r="A874" s="71" t="n"/>
      <c r="B874" s="71" t="n"/>
      <c r="C874" s="71" t="n"/>
      <c r="D874" s="71" t="n"/>
      <c r="E874" s="71" t="n"/>
      <c r="F874" s="71" t="n"/>
      <c r="G874" s="71" t="n"/>
      <c r="H874" s="71" t="n"/>
      <c r="I874" s="71" t="n"/>
      <c r="J874" s="71" t="n"/>
      <c r="K874" s="71" t="n"/>
      <c r="L874" s="71" t="n"/>
      <c r="M874" s="71" t="n"/>
      <c r="N874" s="71" t="n"/>
      <c r="O874" s="71" t="n"/>
      <c r="P874" s="71" t="n"/>
      <c r="Q874" s="71" t="n"/>
      <c r="R874" s="71" t="n"/>
      <c r="S874" s="71" t="n"/>
      <c r="T874" s="71" t="n"/>
      <c r="U874" s="71" t="n"/>
      <c r="V874" s="71" t="n"/>
      <c r="W874" s="71" t="n"/>
      <c r="X874" s="71" t="n"/>
      <c r="Y874" s="71" t="n"/>
      <c r="Z874" s="71" t="n"/>
    </row>
    <row r="875" ht="15.75" customHeight="1">
      <c r="A875" s="71" t="n"/>
      <c r="B875" s="71" t="n"/>
      <c r="C875" s="71" t="n"/>
      <c r="D875" s="71" t="n"/>
      <c r="E875" s="71" t="n"/>
      <c r="F875" s="71" t="n"/>
      <c r="G875" s="71" t="n"/>
      <c r="H875" s="71" t="n"/>
      <c r="I875" s="71" t="n"/>
      <c r="J875" s="71" t="n"/>
      <c r="K875" s="71" t="n"/>
      <c r="L875" s="71" t="n"/>
      <c r="M875" s="71" t="n"/>
      <c r="N875" s="71" t="n"/>
      <c r="O875" s="71" t="n"/>
      <c r="P875" s="71" t="n"/>
      <c r="Q875" s="71" t="n"/>
      <c r="R875" s="71" t="n"/>
      <c r="S875" s="71" t="n"/>
      <c r="T875" s="71" t="n"/>
      <c r="U875" s="71" t="n"/>
      <c r="V875" s="71" t="n"/>
      <c r="W875" s="71" t="n"/>
      <c r="X875" s="71" t="n"/>
      <c r="Y875" s="71" t="n"/>
      <c r="Z875" s="71" t="n"/>
    </row>
    <row r="876" ht="15.75" customHeight="1">
      <c r="A876" s="71" t="n"/>
      <c r="B876" s="71" t="n"/>
      <c r="C876" s="71" t="n"/>
      <c r="D876" s="71" t="n"/>
      <c r="E876" s="71" t="n"/>
      <c r="F876" s="71" t="n"/>
      <c r="G876" s="71" t="n"/>
      <c r="H876" s="71" t="n"/>
      <c r="I876" s="71" t="n"/>
      <c r="J876" s="71" t="n"/>
      <c r="K876" s="71" t="n"/>
      <c r="L876" s="71" t="n"/>
      <c r="M876" s="71" t="n"/>
      <c r="N876" s="71" t="n"/>
      <c r="O876" s="71" t="n"/>
      <c r="P876" s="71" t="n"/>
      <c r="Q876" s="71" t="n"/>
      <c r="R876" s="71" t="n"/>
      <c r="S876" s="71" t="n"/>
      <c r="T876" s="71" t="n"/>
      <c r="U876" s="71" t="n"/>
      <c r="V876" s="71" t="n"/>
      <c r="W876" s="71" t="n"/>
      <c r="X876" s="71" t="n"/>
      <c r="Y876" s="71" t="n"/>
      <c r="Z876" s="71" t="n"/>
    </row>
    <row r="877" ht="15.75" customHeight="1">
      <c r="A877" s="71" t="n"/>
      <c r="B877" s="71" t="n"/>
      <c r="C877" s="71" t="n"/>
      <c r="D877" s="71" t="n"/>
      <c r="E877" s="71" t="n"/>
      <c r="F877" s="71" t="n"/>
      <c r="G877" s="71" t="n"/>
      <c r="H877" s="71" t="n"/>
      <c r="I877" s="71" t="n"/>
      <c r="J877" s="71" t="n"/>
      <c r="K877" s="71" t="n"/>
      <c r="L877" s="71" t="n"/>
      <c r="M877" s="71" t="n"/>
      <c r="N877" s="71" t="n"/>
      <c r="O877" s="71" t="n"/>
      <c r="P877" s="71" t="n"/>
      <c r="Q877" s="71" t="n"/>
      <c r="R877" s="71" t="n"/>
      <c r="S877" s="71" t="n"/>
      <c r="T877" s="71" t="n"/>
      <c r="U877" s="71" t="n"/>
      <c r="V877" s="71" t="n"/>
      <c r="W877" s="71" t="n"/>
      <c r="X877" s="71" t="n"/>
      <c r="Y877" s="71" t="n"/>
      <c r="Z877" s="71" t="n"/>
    </row>
    <row r="878" ht="15.75" customHeight="1">
      <c r="A878" s="71" t="n"/>
      <c r="B878" s="71" t="n"/>
      <c r="C878" s="71" t="n"/>
      <c r="D878" s="71" t="n"/>
      <c r="E878" s="71" t="n"/>
      <c r="F878" s="71" t="n"/>
      <c r="G878" s="71" t="n"/>
      <c r="H878" s="71" t="n"/>
      <c r="I878" s="71" t="n"/>
      <c r="J878" s="71" t="n"/>
      <c r="K878" s="71" t="n"/>
      <c r="L878" s="71" t="n"/>
      <c r="M878" s="71" t="n"/>
      <c r="N878" s="71" t="n"/>
      <c r="O878" s="71" t="n"/>
      <c r="P878" s="71" t="n"/>
      <c r="Q878" s="71" t="n"/>
      <c r="R878" s="71" t="n"/>
      <c r="S878" s="71" t="n"/>
      <c r="T878" s="71" t="n"/>
      <c r="U878" s="71" t="n"/>
      <c r="V878" s="71" t="n"/>
      <c r="W878" s="71" t="n"/>
      <c r="X878" s="71" t="n"/>
      <c r="Y878" s="71" t="n"/>
      <c r="Z878" s="71" t="n"/>
    </row>
    <row r="879" ht="15.75" customHeight="1">
      <c r="A879" s="71" t="n"/>
      <c r="B879" s="71" t="n"/>
      <c r="C879" s="71" t="n"/>
      <c r="D879" s="71" t="n"/>
      <c r="E879" s="71" t="n"/>
      <c r="F879" s="71" t="n"/>
      <c r="G879" s="71" t="n"/>
      <c r="H879" s="71" t="n"/>
      <c r="I879" s="71" t="n"/>
      <c r="J879" s="71" t="n"/>
      <c r="K879" s="71" t="n"/>
      <c r="L879" s="71" t="n"/>
      <c r="M879" s="71" t="n"/>
      <c r="N879" s="71" t="n"/>
      <c r="O879" s="71" t="n"/>
      <c r="P879" s="71" t="n"/>
      <c r="Q879" s="71" t="n"/>
      <c r="R879" s="71" t="n"/>
      <c r="S879" s="71" t="n"/>
      <c r="T879" s="71" t="n"/>
      <c r="U879" s="71" t="n"/>
      <c r="V879" s="71" t="n"/>
      <c r="W879" s="71" t="n"/>
      <c r="X879" s="71" t="n"/>
      <c r="Y879" s="71" t="n"/>
      <c r="Z879" s="71" t="n"/>
    </row>
    <row r="880" ht="15.75" customHeight="1">
      <c r="A880" s="71" t="n"/>
      <c r="B880" s="71" t="n"/>
      <c r="C880" s="71" t="n"/>
      <c r="D880" s="71" t="n"/>
      <c r="E880" s="71" t="n"/>
      <c r="F880" s="71" t="n"/>
      <c r="G880" s="71" t="n"/>
      <c r="H880" s="71" t="n"/>
      <c r="I880" s="71" t="n"/>
      <c r="J880" s="71" t="n"/>
      <c r="K880" s="71" t="n"/>
      <c r="L880" s="71" t="n"/>
      <c r="M880" s="71" t="n"/>
      <c r="N880" s="71" t="n"/>
      <c r="O880" s="71" t="n"/>
      <c r="P880" s="71" t="n"/>
      <c r="Q880" s="71" t="n"/>
      <c r="R880" s="71" t="n"/>
      <c r="S880" s="71" t="n"/>
      <c r="T880" s="71" t="n"/>
      <c r="U880" s="71" t="n"/>
      <c r="V880" s="71" t="n"/>
      <c r="W880" s="71" t="n"/>
      <c r="X880" s="71" t="n"/>
      <c r="Y880" s="71" t="n"/>
      <c r="Z880" s="71" t="n"/>
    </row>
    <row r="881" ht="15.75" customHeight="1">
      <c r="A881" s="71" t="n"/>
      <c r="B881" s="71" t="n"/>
      <c r="C881" s="71" t="n"/>
      <c r="D881" s="71" t="n"/>
      <c r="E881" s="71" t="n"/>
      <c r="F881" s="71" t="n"/>
      <c r="G881" s="71" t="n"/>
      <c r="H881" s="71" t="n"/>
      <c r="I881" s="71" t="n"/>
      <c r="J881" s="71" t="n"/>
      <c r="K881" s="71" t="n"/>
      <c r="L881" s="71" t="n"/>
      <c r="M881" s="71" t="n"/>
      <c r="N881" s="71" t="n"/>
      <c r="O881" s="71" t="n"/>
      <c r="P881" s="71" t="n"/>
      <c r="Q881" s="71" t="n"/>
      <c r="R881" s="71" t="n"/>
      <c r="S881" s="71" t="n"/>
      <c r="T881" s="71" t="n"/>
      <c r="U881" s="71" t="n"/>
      <c r="V881" s="71" t="n"/>
      <c r="W881" s="71" t="n"/>
      <c r="X881" s="71" t="n"/>
      <c r="Y881" s="71" t="n"/>
      <c r="Z881" s="71" t="n"/>
    </row>
    <row r="882" ht="15.75" customHeight="1">
      <c r="A882" s="71" t="n"/>
      <c r="B882" s="71" t="n"/>
      <c r="C882" s="71" t="n"/>
      <c r="D882" s="71" t="n"/>
      <c r="E882" s="71" t="n"/>
      <c r="F882" s="71" t="n"/>
      <c r="G882" s="71" t="n"/>
      <c r="H882" s="71" t="n"/>
      <c r="I882" s="71" t="n"/>
      <c r="J882" s="71" t="n"/>
      <c r="K882" s="71" t="n"/>
      <c r="L882" s="71" t="n"/>
      <c r="M882" s="71" t="n"/>
      <c r="N882" s="71" t="n"/>
      <c r="O882" s="71" t="n"/>
      <c r="P882" s="71" t="n"/>
      <c r="Q882" s="71" t="n"/>
      <c r="R882" s="71" t="n"/>
      <c r="S882" s="71" t="n"/>
      <c r="T882" s="71" t="n"/>
      <c r="U882" s="71" t="n"/>
      <c r="V882" s="71" t="n"/>
      <c r="W882" s="71" t="n"/>
      <c r="X882" s="71" t="n"/>
      <c r="Y882" s="71" t="n"/>
      <c r="Z882" s="71" t="n"/>
    </row>
    <row r="883" ht="15.75" customHeight="1">
      <c r="A883" s="71" t="n"/>
      <c r="B883" s="71" t="n"/>
      <c r="C883" s="71" t="n"/>
      <c r="D883" s="71" t="n"/>
      <c r="E883" s="71" t="n"/>
      <c r="F883" s="71" t="n"/>
      <c r="G883" s="71" t="n"/>
      <c r="H883" s="71" t="n"/>
      <c r="I883" s="71" t="n"/>
      <c r="J883" s="71" t="n"/>
      <c r="K883" s="71" t="n"/>
      <c r="L883" s="71" t="n"/>
      <c r="M883" s="71" t="n"/>
      <c r="N883" s="71" t="n"/>
      <c r="O883" s="71" t="n"/>
      <c r="P883" s="71" t="n"/>
      <c r="Q883" s="71" t="n"/>
      <c r="R883" s="71" t="n"/>
      <c r="S883" s="71" t="n"/>
      <c r="T883" s="71" t="n"/>
      <c r="U883" s="71" t="n"/>
      <c r="V883" s="71" t="n"/>
      <c r="W883" s="71" t="n"/>
      <c r="X883" s="71" t="n"/>
      <c r="Y883" s="71" t="n"/>
      <c r="Z883" s="71" t="n"/>
    </row>
    <row r="884" ht="15.75" customHeight="1">
      <c r="A884" s="71" t="n"/>
      <c r="B884" s="71" t="n"/>
      <c r="C884" s="71" t="n"/>
      <c r="D884" s="71" t="n"/>
      <c r="E884" s="71" t="n"/>
      <c r="F884" s="71" t="n"/>
      <c r="G884" s="71" t="n"/>
      <c r="H884" s="71" t="n"/>
      <c r="I884" s="71" t="n"/>
      <c r="J884" s="71" t="n"/>
      <c r="K884" s="71" t="n"/>
      <c r="L884" s="71" t="n"/>
      <c r="M884" s="71" t="n"/>
      <c r="N884" s="71" t="n"/>
      <c r="O884" s="71" t="n"/>
      <c r="P884" s="71" t="n"/>
      <c r="Q884" s="71" t="n"/>
      <c r="R884" s="71" t="n"/>
      <c r="S884" s="71" t="n"/>
      <c r="T884" s="71" t="n"/>
      <c r="U884" s="71" t="n"/>
      <c r="V884" s="71" t="n"/>
      <c r="W884" s="71" t="n"/>
      <c r="X884" s="71" t="n"/>
      <c r="Y884" s="71" t="n"/>
      <c r="Z884" s="71" t="n"/>
    </row>
    <row r="885" ht="15.75" customHeight="1">
      <c r="A885" s="71" t="n"/>
      <c r="B885" s="71" t="n"/>
      <c r="C885" s="71" t="n"/>
      <c r="D885" s="71" t="n"/>
      <c r="E885" s="71" t="n"/>
      <c r="F885" s="71" t="n"/>
      <c r="G885" s="71" t="n"/>
      <c r="H885" s="71" t="n"/>
      <c r="I885" s="71" t="n"/>
      <c r="J885" s="71" t="n"/>
      <c r="K885" s="71" t="n"/>
      <c r="L885" s="71" t="n"/>
      <c r="M885" s="71" t="n"/>
      <c r="N885" s="71" t="n"/>
      <c r="O885" s="71" t="n"/>
      <c r="P885" s="71" t="n"/>
      <c r="Q885" s="71" t="n"/>
      <c r="R885" s="71" t="n"/>
      <c r="S885" s="71" t="n"/>
      <c r="T885" s="71" t="n"/>
      <c r="U885" s="71" t="n"/>
      <c r="V885" s="71" t="n"/>
      <c r="W885" s="71" t="n"/>
      <c r="X885" s="71" t="n"/>
      <c r="Y885" s="71" t="n"/>
      <c r="Z885" s="71" t="n"/>
    </row>
    <row r="886" ht="15.75" customHeight="1">
      <c r="A886" s="71" t="n"/>
      <c r="B886" s="71" t="n"/>
      <c r="C886" s="71" t="n"/>
      <c r="D886" s="71" t="n"/>
      <c r="E886" s="71" t="n"/>
      <c r="F886" s="71" t="n"/>
      <c r="G886" s="71" t="n"/>
      <c r="H886" s="71" t="n"/>
      <c r="I886" s="71" t="n"/>
      <c r="J886" s="71" t="n"/>
      <c r="K886" s="71" t="n"/>
      <c r="L886" s="71" t="n"/>
      <c r="M886" s="71" t="n"/>
      <c r="N886" s="71" t="n"/>
      <c r="O886" s="71" t="n"/>
      <c r="P886" s="71" t="n"/>
      <c r="Q886" s="71" t="n"/>
      <c r="R886" s="71" t="n"/>
      <c r="S886" s="71" t="n"/>
      <c r="T886" s="71" t="n"/>
      <c r="U886" s="71" t="n"/>
      <c r="V886" s="71" t="n"/>
      <c r="W886" s="71" t="n"/>
      <c r="X886" s="71" t="n"/>
      <c r="Y886" s="71" t="n"/>
      <c r="Z886" s="71" t="n"/>
    </row>
    <row r="887" ht="15.75" customHeight="1">
      <c r="A887" s="71" t="n"/>
      <c r="B887" s="71" t="n"/>
      <c r="C887" s="71" t="n"/>
      <c r="D887" s="71" t="n"/>
      <c r="E887" s="71" t="n"/>
      <c r="F887" s="71" t="n"/>
      <c r="G887" s="71" t="n"/>
      <c r="H887" s="71" t="n"/>
      <c r="I887" s="71" t="n"/>
      <c r="J887" s="71" t="n"/>
      <c r="K887" s="71" t="n"/>
      <c r="L887" s="71" t="n"/>
      <c r="M887" s="71" t="n"/>
      <c r="N887" s="71" t="n"/>
      <c r="O887" s="71" t="n"/>
      <c r="P887" s="71" t="n"/>
      <c r="Q887" s="71" t="n"/>
      <c r="R887" s="71" t="n"/>
      <c r="S887" s="71" t="n"/>
      <c r="T887" s="71" t="n"/>
      <c r="U887" s="71" t="n"/>
      <c r="V887" s="71" t="n"/>
      <c r="W887" s="71" t="n"/>
      <c r="X887" s="71" t="n"/>
      <c r="Y887" s="71" t="n"/>
      <c r="Z887" s="71" t="n"/>
    </row>
    <row r="888" ht="15.75" customHeight="1">
      <c r="A888" s="71" t="n"/>
      <c r="B888" s="71" t="n"/>
      <c r="C888" s="71" t="n"/>
      <c r="D888" s="71" t="n"/>
      <c r="E888" s="71" t="n"/>
      <c r="F888" s="71" t="n"/>
      <c r="G888" s="71" t="n"/>
      <c r="H888" s="71" t="n"/>
      <c r="I888" s="71" t="n"/>
      <c r="J888" s="71" t="n"/>
      <c r="K888" s="71" t="n"/>
      <c r="L888" s="71" t="n"/>
      <c r="M888" s="71" t="n"/>
      <c r="N888" s="71" t="n"/>
      <c r="O888" s="71" t="n"/>
      <c r="P888" s="71" t="n"/>
      <c r="Q888" s="71" t="n"/>
      <c r="R888" s="71" t="n"/>
      <c r="S888" s="71" t="n"/>
      <c r="T888" s="71" t="n"/>
      <c r="U888" s="71" t="n"/>
      <c r="V888" s="71" t="n"/>
      <c r="W888" s="71" t="n"/>
      <c r="X888" s="71" t="n"/>
      <c r="Y888" s="71" t="n"/>
      <c r="Z888" s="71" t="n"/>
    </row>
    <row r="889" ht="15.75" customHeight="1">
      <c r="A889" s="71" t="n"/>
      <c r="B889" s="71" t="n"/>
      <c r="C889" s="71" t="n"/>
      <c r="D889" s="71" t="n"/>
      <c r="E889" s="71" t="n"/>
      <c r="F889" s="71" t="n"/>
      <c r="G889" s="71" t="n"/>
      <c r="H889" s="71" t="n"/>
      <c r="I889" s="71" t="n"/>
      <c r="J889" s="71" t="n"/>
      <c r="K889" s="71" t="n"/>
      <c r="L889" s="71" t="n"/>
      <c r="M889" s="71" t="n"/>
      <c r="N889" s="71" t="n"/>
      <c r="O889" s="71" t="n"/>
      <c r="P889" s="71" t="n"/>
      <c r="Q889" s="71" t="n"/>
      <c r="R889" s="71" t="n"/>
      <c r="S889" s="71" t="n"/>
      <c r="T889" s="71" t="n"/>
      <c r="U889" s="71" t="n"/>
      <c r="V889" s="71" t="n"/>
      <c r="W889" s="71" t="n"/>
      <c r="X889" s="71" t="n"/>
      <c r="Y889" s="71" t="n"/>
      <c r="Z889" s="71" t="n"/>
    </row>
    <row r="890" ht="15.75" customHeight="1">
      <c r="A890" s="71" t="n"/>
      <c r="B890" s="71" t="n"/>
      <c r="C890" s="71" t="n"/>
      <c r="D890" s="71" t="n"/>
      <c r="E890" s="71" t="n"/>
      <c r="F890" s="71" t="n"/>
      <c r="G890" s="71" t="n"/>
      <c r="H890" s="71" t="n"/>
      <c r="I890" s="71" t="n"/>
      <c r="J890" s="71" t="n"/>
      <c r="K890" s="71" t="n"/>
      <c r="L890" s="71" t="n"/>
      <c r="M890" s="71" t="n"/>
      <c r="N890" s="71" t="n"/>
      <c r="O890" s="71" t="n"/>
      <c r="P890" s="71" t="n"/>
      <c r="Q890" s="71" t="n"/>
      <c r="R890" s="71" t="n"/>
      <c r="S890" s="71" t="n"/>
      <c r="T890" s="71" t="n"/>
      <c r="U890" s="71" t="n"/>
      <c r="V890" s="71" t="n"/>
      <c r="W890" s="71" t="n"/>
      <c r="X890" s="71" t="n"/>
      <c r="Y890" s="71" t="n"/>
      <c r="Z890" s="71" t="n"/>
    </row>
    <row r="891" ht="15.75" customHeight="1">
      <c r="A891" s="71" t="n"/>
      <c r="B891" s="71" t="n"/>
      <c r="C891" s="71" t="n"/>
      <c r="D891" s="71" t="n"/>
      <c r="E891" s="71" t="n"/>
      <c r="F891" s="71" t="n"/>
      <c r="G891" s="71" t="n"/>
      <c r="H891" s="71" t="n"/>
      <c r="I891" s="71" t="n"/>
      <c r="J891" s="71" t="n"/>
      <c r="K891" s="71" t="n"/>
      <c r="L891" s="71" t="n"/>
      <c r="M891" s="71" t="n"/>
      <c r="N891" s="71" t="n"/>
      <c r="O891" s="71" t="n"/>
      <c r="P891" s="71" t="n"/>
      <c r="Q891" s="71" t="n"/>
      <c r="R891" s="71" t="n"/>
      <c r="S891" s="71" t="n"/>
      <c r="T891" s="71" t="n"/>
      <c r="U891" s="71" t="n"/>
      <c r="V891" s="71" t="n"/>
      <c r="W891" s="71" t="n"/>
      <c r="X891" s="71" t="n"/>
      <c r="Y891" s="71" t="n"/>
      <c r="Z891" s="71" t="n"/>
    </row>
    <row r="892" ht="15.75" customHeight="1">
      <c r="A892" s="71" t="n"/>
      <c r="B892" s="71" t="n"/>
      <c r="C892" s="71" t="n"/>
      <c r="D892" s="71" t="n"/>
      <c r="E892" s="71" t="n"/>
      <c r="F892" s="71" t="n"/>
      <c r="G892" s="71" t="n"/>
      <c r="H892" s="71" t="n"/>
      <c r="I892" s="71" t="n"/>
      <c r="J892" s="71" t="n"/>
      <c r="K892" s="71" t="n"/>
      <c r="L892" s="71" t="n"/>
      <c r="M892" s="71" t="n"/>
      <c r="N892" s="71" t="n"/>
      <c r="O892" s="71" t="n"/>
      <c r="P892" s="71" t="n"/>
      <c r="Q892" s="71" t="n"/>
      <c r="R892" s="71" t="n"/>
      <c r="S892" s="71" t="n"/>
      <c r="T892" s="71" t="n"/>
      <c r="U892" s="71" t="n"/>
      <c r="V892" s="71" t="n"/>
      <c r="W892" s="71" t="n"/>
      <c r="X892" s="71" t="n"/>
      <c r="Y892" s="71" t="n"/>
      <c r="Z892" s="71" t="n"/>
    </row>
    <row r="893" ht="15.75" customHeight="1">
      <c r="A893" s="71" t="n"/>
      <c r="B893" s="71" t="n"/>
      <c r="C893" s="71" t="n"/>
      <c r="D893" s="71" t="n"/>
      <c r="E893" s="71" t="n"/>
      <c r="F893" s="71" t="n"/>
      <c r="G893" s="71" t="n"/>
      <c r="H893" s="71" t="n"/>
      <c r="I893" s="71" t="n"/>
      <c r="J893" s="71" t="n"/>
      <c r="K893" s="71" t="n"/>
      <c r="L893" s="71" t="n"/>
      <c r="M893" s="71" t="n"/>
      <c r="N893" s="71" t="n"/>
      <c r="O893" s="71" t="n"/>
      <c r="P893" s="71" t="n"/>
      <c r="Q893" s="71" t="n"/>
      <c r="R893" s="71" t="n"/>
      <c r="S893" s="71" t="n"/>
      <c r="T893" s="71" t="n"/>
      <c r="U893" s="71" t="n"/>
      <c r="V893" s="71" t="n"/>
      <c r="W893" s="71" t="n"/>
      <c r="X893" s="71" t="n"/>
      <c r="Y893" s="71" t="n"/>
      <c r="Z893" s="71" t="n"/>
    </row>
    <row r="894" ht="15.75" customHeight="1">
      <c r="A894" s="71" t="n"/>
      <c r="B894" s="71" t="n"/>
      <c r="C894" s="71" t="n"/>
      <c r="D894" s="71" t="n"/>
      <c r="E894" s="71" t="n"/>
      <c r="F894" s="71" t="n"/>
      <c r="G894" s="71" t="n"/>
      <c r="H894" s="71" t="n"/>
      <c r="I894" s="71" t="n"/>
      <c r="J894" s="71" t="n"/>
      <c r="K894" s="71" t="n"/>
      <c r="L894" s="71" t="n"/>
      <c r="M894" s="71" t="n"/>
      <c r="N894" s="71" t="n"/>
      <c r="O894" s="71" t="n"/>
      <c r="P894" s="71" t="n"/>
      <c r="Q894" s="71" t="n"/>
      <c r="R894" s="71" t="n"/>
      <c r="S894" s="71" t="n"/>
      <c r="T894" s="71" t="n"/>
      <c r="U894" s="71" t="n"/>
      <c r="V894" s="71" t="n"/>
      <c r="W894" s="71" t="n"/>
      <c r="X894" s="71" t="n"/>
      <c r="Y894" s="71" t="n"/>
      <c r="Z894" s="71" t="n"/>
    </row>
    <row r="895" ht="15.75" customHeight="1">
      <c r="A895" s="71" t="n"/>
      <c r="B895" s="71" t="n"/>
      <c r="C895" s="71" t="n"/>
      <c r="D895" s="71" t="n"/>
      <c r="E895" s="71" t="n"/>
      <c r="F895" s="71" t="n"/>
      <c r="G895" s="71" t="n"/>
      <c r="H895" s="71" t="n"/>
      <c r="I895" s="71" t="n"/>
      <c r="J895" s="71" t="n"/>
      <c r="K895" s="71" t="n"/>
      <c r="L895" s="71" t="n"/>
      <c r="M895" s="71" t="n"/>
      <c r="N895" s="71" t="n"/>
      <c r="O895" s="71" t="n"/>
      <c r="P895" s="71" t="n"/>
      <c r="Q895" s="71" t="n"/>
      <c r="R895" s="71" t="n"/>
      <c r="S895" s="71" t="n"/>
      <c r="T895" s="71" t="n"/>
      <c r="U895" s="71" t="n"/>
      <c r="V895" s="71" t="n"/>
      <c r="W895" s="71" t="n"/>
      <c r="X895" s="71" t="n"/>
      <c r="Y895" s="71" t="n"/>
      <c r="Z895" s="71" t="n"/>
    </row>
    <row r="896" ht="15.75" customHeight="1">
      <c r="A896" s="71" t="n"/>
      <c r="B896" s="71" t="n"/>
      <c r="C896" s="71" t="n"/>
      <c r="D896" s="71" t="n"/>
      <c r="E896" s="71" t="n"/>
      <c r="F896" s="71" t="n"/>
      <c r="G896" s="71" t="n"/>
      <c r="H896" s="71" t="n"/>
      <c r="I896" s="71" t="n"/>
      <c r="J896" s="71" t="n"/>
      <c r="K896" s="71" t="n"/>
      <c r="L896" s="71" t="n"/>
      <c r="M896" s="71" t="n"/>
      <c r="N896" s="71" t="n"/>
      <c r="O896" s="71" t="n"/>
      <c r="P896" s="71" t="n"/>
      <c r="Q896" s="71" t="n"/>
      <c r="R896" s="71" t="n"/>
      <c r="S896" s="71" t="n"/>
      <c r="T896" s="71" t="n"/>
      <c r="U896" s="71" t="n"/>
      <c r="V896" s="71" t="n"/>
      <c r="W896" s="71" t="n"/>
      <c r="X896" s="71" t="n"/>
      <c r="Y896" s="71" t="n"/>
      <c r="Z896" s="71" t="n"/>
    </row>
    <row r="897" ht="15.75" customHeight="1">
      <c r="A897" s="71" t="n"/>
      <c r="B897" s="71" t="n"/>
      <c r="C897" s="71" t="n"/>
      <c r="D897" s="71" t="n"/>
      <c r="E897" s="71" t="n"/>
      <c r="F897" s="71" t="n"/>
      <c r="G897" s="71" t="n"/>
      <c r="H897" s="71" t="n"/>
      <c r="I897" s="71" t="n"/>
      <c r="J897" s="71" t="n"/>
      <c r="K897" s="71" t="n"/>
      <c r="L897" s="71" t="n"/>
      <c r="M897" s="71" t="n"/>
      <c r="N897" s="71" t="n"/>
      <c r="O897" s="71" t="n"/>
      <c r="P897" s="71" t="n"/>
      <c r="Q897" s="71" t="n"/>
      <c r="R897" s="71" t="n"/>
      <c r="S897" s="71" t="n"/>
      <c r="T897" s="71" t="n"/>
      <c r="U897" s="71" t="n"/>
      <c r="V897" s="71" t="n"/>
      <c r="W897" s="71" t="n"/>
      <c r="X897" s="71" t="n"/>
      <c r="Y897" s="71" t="n"/>
      <c r="Z897" s="71" t="n"/>
    </row>
    <row r="898" ht="15.75" customHeight="1">
      <c r="A898" s="71" t="n"/>
      <c r="B898" s="71" t="n"/>
      <c r="C898" s="71" t="n"/>
      <c r="D898" s="71" t="n"/>
      <c r="E898" s="71" t="n"/>
      <c r="F898" s="71" t="n"/>
      <c r="G898" s="71" t="n"/>
      <c r="H898" s="71" t="n"/>
      <c r="I898" s="71" t="n"/>
      <c r="J898" s="71" t="n"/>
      <c r="K898" s="71" t="n"/>
      <c r="L898" s="71" t="n"/>
      <c r="M898" s="71" t="n"/>
      <c r="N898" s="71" t="n"/>
      <c r="O898" s="71" t="n"/>
      <c r="P898" s="71" t="n"/>
      <c r="Q898" s="71" t="n"/>
      <c r="R898" s="71" t="n"/>
      <c r="S898" s="71" t="n"/>
      <c r="T898" s="71" t="n"/>
      <c r="U898" s="71" t="n"/>
      <c r="V898" s="71" t="n"/>
      <c r="W898" s="71" t="n"/>
      <c r="X898" s="71" t="n"/>
      <c r="Y898" s="71" t="n"/>
      <c r="Z898" s="71" t="n"/>
    </row>
    <row r="899" ht="15.75" customHeight="1">
      <c r="A899" s="71" t="n"/>
      <c r="B899" s="71" t="n"/>
      <c r="C899" s="71" t="n"/>
      <c r="D899" s="71" t="n"/>
      <c r="E899" s="71" t="n"/>
      <c r="F899" s="71" t="n"/>
      <c r="G899" s="71" t="n"/>
      <c r="H899" s="71" t="n"/>
      <c r="I899" s="71" t="n"/>
      <c r="J899" s="71" t="n"/>
      <c r="K899" s="71" t="n"/>
      <c r="L899" s="71" t="n"/>
      <c r="M899" s="71" t="n"/>
      <c r="N899" s="71" t="n"/>
      <c r="O899" s="71" t="n"/>
      <c r="P899" s="71" t="n"/>
      <c r="Q899" s="71" t="n"/>
      <c r="R899" s="71" t="n"/>
      <c r="S899" s="71" t="n"/>
      <c r="T899" s="71" t="n"/>
      <c r="U899" s="71" t="n"/>
      <c r="V899" s="71" t="n"/>
      <c r="W899" s="71" t="n"/>
      <c r="X899" s="71" t="n"/>
      <c r="Y899" s="71" t="n"/>
      <c r="Z899" s="71" t="n"/>
    </row>
    <row r="900" ht="15.75" customHeight="1">
      <c r="A900" s="71" t="n"/>
      <c r="B900" s="71" t="n"/>
      <c r="C900" s="71" t="n"/>
      <c r="D900" s="71" t="n"/>
      <c r="E900" s="71" t="n"/>
      <c r="F900" s="71" t="n"/>
      <c r="G900" s="71" t="n"/>
      <c r="H900" s="71" t="n"/>
      <c r="I900" s="71" t="n"/>
      <c r="J900" s="71" t="n"/>
      <c r="K900" s="71" t="n"/>
      <c r="L900" s="71" t="n"/>
      <c r="M900" s="71" t="n"/>
      <c r="N900" s="71" t="n"/>
      <c r="O900" s="71" t="n"/>
      <c r="P900" s="71" t="n"/>
      <c r="Q900" s="71" t="n"/>
      <c r="R900" s="71" t="n"/>
      <c r="S900" s="71" t="n"/>
      <c r="T900" s="71" t="n"/>
      <c r="U900" s="71" t="n"/>
      <c r="V900" s="71" t="n"/>
      <c r="W900" s="71" t="n"/>
      <c r="X900" s="71" t="n"/>
      <c r="Y900" s="71" t="n"/>
      <c r="Z900" s="71" t="n"/>
    </row>
    <row r="901" ht="15.75" customHeight="1">
      <c r="A901" s="71" t="n"/>
      <c r="B901" s="71" t="n"/>
      <c r="C901" s="71" t="n"/>
      <c r="D901" s="71" t="n"/>
      <c r="E901" s="71" t="n"/>
      <c r="F901" s="71" t="n"/>
      <c r="G901" s="71" t="n"/>
      <c r="H901" s="71" t="n"/>
      <c r="I901" s="71" t="n"/>
      <c r="J901" s="71" t="n"/>
      <c r="K901" s="71" t="n"/>
      <c r="L901" s="71" t="n"/>
      <c r="M901" s="71" t="n"/>
      <c r="N901" s="71" t="n"/>
      <c r="O901" s="71" t="n"/>
      <c r="P901" s="71" t="n"/>
      <c r="Q901" s="71" t="n"/>
      <c r="R901" s="71" t="n"/>
      <c r="S901" s="71" t="n"/>
      <c r="T901" s="71" t="n"/>
      <c r="U901" s="71" t="n"/>
      <c r="V901" s="71" t="n"/>
      <c r="W901" s="71" t="n"/>
      <c r="X901" s="71" t="n"/>
      <c r="Y901" s="71" t="n"/>
      <c r="Z901" s="71" t="n"/>
    </row>
    <row r="902" ht="15.75" customHeight="1">
      <c r="A902" s="71" t="n"/>
      <c r="B902" s="71" t="n"/>
      <c r="C902" s="71" t="n"/>
      <c r="D902" s="71" t="n"/>
      <c r="E902" s="71" t="n"/>
      <c r="F902" s="71" t="n"/>
      <c r="G902" s="71" t="n"/>
      <c r="H902" s="71" t="n"/>
      <c r="I902" s="71" t="n"/>
      <c r="J902" s="71" t="n"/>
      <c r="K902" s="71" t="n"/>
      <c r="L902" s="71" t="n"/>
      <c r="M902" s="71" t="n"/>
      <c r="N902" s="71" t="n"/>
      <c r="O902" s="71" t="n"/>
      <c r="P902" s="71" t="n"/>
      <c r="Q902" s="71" t="n"/>
      <c r="R902" s="71" t="n"/>
      <c r="S902" s="71" t="n"/>
      <c r="T902" s="71" t="n"/>
      <c r="U902" s="71" t="n"/>
      <c r="V902" s="71" t="n"/>
      <c r="W902" s="71" t="n"/>
      <c r="X902" s="71" t="n"/>
      <c r="Y902" s="71" t="n"/>
      <c r="Z902" s="71" t="n"/>
    </row>
    <row r="903" ht="15.75" customHeight="1">
      <c r="A903" s="71" t="n"/>
      <c r="B903" s="71" t="n"/>
      <c r="C903" s="71" t="n"/>
      <c r="D903" s="71" t="n"/>
      <c r="E903" s="71" t="n"/>
      <c r="F903" s="71" t="n"/>
      <c r="G903" s="71" t="n"/>
      <c r="H903" s="71" t="n"/>
      <c r="I903" s="71" t="n"/>
      <c r="J903" s="71" t="n"/>
      <c r="K903" s="71" t="n"/>
      <c r="L903" s="71" t="n"/>
      <c r="M903" s="71" t="n"/>
      <c r="N903" s="71" t="n"/>
      <c r="O903" s="71" t="n"/>
      <c r="P903" s="71" t="n"/>
      <c r="Q903" s="71" t="n"/>
      <c r="R903" s="71" t="n"/>
      <c r="S903" s="71" t="n"/>
      <c r="T903" s="71" t="n"/>
      <c r="U903" s="71" t="n"/>
      <c r="V903" s="71" t="n"/>
      <c r="W903" s="71" t="n"/>
      <c r="X903" s="71" t="n"/>
      <c r="Y903" s="71" t="n"/>
      <c r="Z903" s="71" t="n"/>
    </row>
    <row r="904" ht="15.75" customHeight="1">
      <c r="A904" s="71" t="n"/>
      <c r="B904" s="71" t="n"/>
      <c r="C904" s="71" t="n"/>
      <c r="D904" s="71" t="n"/>
      <c r="E904" s="71" t="n"/>
      <c r="F904" s="71" t="n"/>
      <c r="G904" s="71" t="n"/>
      <c r="H904" s="71" t="n"/>
      <c r="I904" s="71" t="n"/>
      <c r="J904" s="71" t="n"/>
      <c r="K904" s="71" t="n"/>
      <c r="L904" s="71" t="n"/>
      <c r="M904" s="71" t="n"/>
      <c r="N904" s="71" t="n"/>
      <c r="O904" s="71" t="n"/>
      <c r="P904" s="71" t="n"/>
      <c r="Q904" s="71" t="n"/>
      <c r="R904" s="71" t="n"/>
      <c r="S904" s="71" t="n"/>
      <c r="T904" s="71" t="n"/>
      <c r="U904" s="71" t="n"/>
      <c r="V904" s="71" t="n"/>
      <c r="W904" s="71" t="n"/>
      <c r="X904" s="71" t="n"/>
      <c r="Y904" s="71" t="n"/>
      <c r="Z904" s="71" t="n"/>
    </row>
    <row r="905" ht="15.75" customHeight="1">
      <c r="A905" s="71" t="n"/>
      <c r="B905" s="71" t="n"/>
      <c r="C905" s="71" t="n"/>
      <c r="D905" s="71" t="n"/>
      <c r="E905" s="71" t="n"/>
      <c r="F905" s="71" t="n"/>
      <c r="G905" s="71" t="n"/>
      <c r="H905" s="71" t="n"/>
      <c r="I905" s="71" t="n"/>
      <c r="J905" s="71" t="n"/>
      <c r="K905" s="71" t="n"/>
      <c r="L905" s="71" t="n"/>
      <c r="M905" s="71" t="n"/>
      <c r="N905" s="71" t="n"/>
      <c r="O905" s="71" t="n"/>
      <c r="P905" s="71" t="n"/>
      <c r="Q905" s="71" t="n"/>
      <c r="R905" s="71" t="n"/>
      <c r="S905" s="71" t="n"/>
      <c r="T905" s="71" t="n"/>
      <c r="U905" s="71" t="n"/>
      <c r="V905" s="71" t="n"/>
      <c r="W905" s="71" t="n"/>
      <c r="X905" s="71" t="n"/>
      <c r="Y905" s="71" t="n"/>
      <c r="Z905" s="71" t="n"/>
    </row>
    <row r="906" ht="15.75" customHeight="1">
      <c r="A906" s="71" t="n"/>
      <c r="B906" s="71" t="n"/>
      <c r="C906" s="71" t="n"/>
      <c r="D906" s="71" t="n"/>
      <c r="E906" s="71" t="n"/>
      <c r="F906" s="71" t="n"/>
      <c r="G906" s="71" t="n"/>
      <c r="H906" s="71" t="n"/>
      <c r="I906" s="71" t="n"/>
      <c r="J906" s="71" t="n"/>
      <c r="K906" s="71" t="n"/>
      <c r="L906" s="71" t="n"/>
      <c r="M906" s="71" t="n"/>
      <c r="N906" s="71" t="n"/>
      <c r="O906" s="71" t="n"/>
      <c r="P906" s="71" t="n"/>
      <c r="Q906" s="71" t="n"/>
      <c r="R906" s="71" t="n"/>
      <c r="S906" s="71" t="n"/>
      <c r="T906" s="71" t="n"/>
      <c r="U906" s="71" t="n"/>
      <c r="V906" s="71" t="n"/>
      <c r="W906" s="71" t="n"/>
      <c r="X906" s="71" t="n"/>
      <c r="Y906" s="71" t="n"/>
      <c r="Z906" s="71" t="n"/>
    </row>
    <row r="907" ht="15.75" customHeight="1">
      <c r="A907" s="71" t="n"/>
      <c r="B907" s="71" t="n"/>
      <c r="C907" s="71" t="n"/>
      <c r="D907" s="71" t="n"/>
      <c r="E907" s="71" t="n"/>
      <c r="F907" s="71" t="n"/>
      <c r="G907" s="71" t="n"/>
      <c r="H907" s="71" t="n"/>
      <c r="I907" s="71" t="n"/>
      <c r="J907" s="71" t="n"/>
      <c r="K907" s="71" t="n"/>
      <c r="L907" s="71" t="n"/>
      <c r="M907" s="71" t="n"/>
      <c r="N907" s="71" t="n"/>
      <c r="O907" s="71" t="n"/>
      <c r="P907" s="71" t="n"/>
      <c r="Q907" s="71" t="n"/>
      <c r="R907" s="71" t="n"/>
      <c r="S907" s="71" t="n"/>
      <c r="T907" s="71" t="n"/>
      <c r="U907" s="71" t="n"/>
      <c r="V907" s="71" t="n"/>
      <c r="W907" s="71" t="n"/>
      <c r="X907" s="71" t="n"/>
      <c r="Y907" s="71" t="n"/>
      <c r="Z907" s="71" t="n"/>
    </row>
    <row r="908" ht="15.75" customHeight="1">
      <c r="A908" s="71" t="n"/>
      <c r="B908" s="71" t="n"/>
      <c r="C908" s="71" t="n"/>
      <c r="D908" s="71" t="n"/>
      <c r="E908" s="71" t="n"/>
      <c r="F908" s="71" t="n"/>
      <c r="G908" s="71" t="n"/>
      <c r="H908" s="71" t="n"/>
      <c r="I908" s="71" t="n"/>
      <c r="J908" s="71" t="n"/>
      <c r="K908" s="71" t="n"/>
      <c r="L908" s="71" t="n"/>
      <c r="M908" s="71" t="n"/>
      <c r="N908" s="71" t="n"/>
      <c r="O908" s="71" t="n"/>
      <c r="P908" s="71" t="n"/>
      <c r="Q908" s="71" t="n"/>
      <c r="R908" s="71" t="n"/>
      <c r="S908" s="71" t="n"/>
      <c r="T908" s="71" t="n"/>
      <c r="U908" s="71" t="n"/>
      <c r="V908" s="71" t="n"/>
      <c r="W908" s="71" t="n"/>
      <c r="X908" s="71" t="n"/>
      <c r="Y908" s="71" t="n"/>
      <c r="Z908" s="71" t="n"/>
    </row>
    <row r="909" ht="15.75" customHeight="1">
      <c r="A909" s="71" t="n"/>
      <c r="B909" s="71" t="n"/>
      <c r="C909" s="71" t="n"/>
      <c r="D909" s="71" t="n"/>
      <c r="E909" s="71" t="n"/>
      <c r="F909" s="71" t="n"/>
      <c r="G909" s="71" t="n"/>
      <c r="H909" s="71" t="n"/>
      <c r="I909" s="71" t="n"/>
      <c r="J909" s="71" t="n"/>
      <c r="K909" s="71" t="n"/>
      <c r="L909" s="71" t="n"/>
      <c r="M909" s="71" t="n"/>
      <c r="N909" s="71" t="n"/>
      <c r="O909" s="71" t="n"/>
      <c r="P909" s="71" t="n"/>
      <c r="Q909" s="71" t="n"/>
      <c r="R909" s="71" t="n"/>
      <c r="S909" s="71" t="n"/>
      <c r="T909" s="71" t="n"/>
      <c r="U909" s="71" t="n"/>
      <c r="V909" s="71" t="n"/>
      <c r="W909" s="71" t="n"/>
      <c r="X909" s="71" t="n"/>
      <c r="Y909" s="71" t="n"/>
      <c r="Z909" s="71" t="n"/>
    </row>
    <row r="910" ht="15.75" customHeight="1">
      <c r="A910" s="71" t="n"/>
      <c r="B910" s="71" t="n"/>
      <c r="C910" s="71" t="n"/>
      <c r="D910" s="71" t="n"/>
      <c r="E910" s="71" t="n"/>
      <c r="F910" s="71" t="n"/>
      <c r="G910" s="71" t="n"/>
      <c r="H910" s="71" t="n"/>
      <c r="I910" s="71" t="n"/>
      <c r="J910" s="71" t="n"/>
      <c r="K910" s="71" t="n"/>
      <c r="L910" s="71" t="n"/>
      <c r="M910" s="71" t="n"/>
      <c r="N910" s="71" t="n"/>
      <c r="O910" s="71" t="n"/>
      <c r="P910" s="71" t="n"/>
      <c r="Q910" s="71" t="n"/>
      <c r="R910" s="71" t="n"/>
      <c r="S910" s="71" t="n"/>
      <c r="T910" s="71" t="n"/>
      <c r="U910" s="71" t="n"/>
      <c r="V910" s="71" t="n"/>
      <c r="W910" s="71" t="n"/>
      <c r="X910" s="71" t="n"/>
      <c r="Y910" s="71" t="n"/>
      <c r="Z910" s="71" t="n"/>
    </row>
    <row r="911" ht="15.75" customHeight="1">
      <c r="A911" s="71" t="n"/>
      <c r="B911" s="71" t="n"/>
      <c r="C911" s="71" t="n"/>
      <c r="D911" s="71" t="n"/>
      <c r="E911" s="71" t="n"/>
      <c r="F911" s="71" t="n"/>
      <c r="G911" s="71" t="n"/>
      <c r="H911" s="71" t="n"/>
      <c r="I911" s="71" t="n"/>
      <c r="J911" s="71" t="n"/>
      <c r="K911" s="71" t="n"/>
      <c r="L911" s="71" t="n"/>
      <c r="M911" s="71" t="n"/>
      <c r="N911" s="71" t="n"/>
      <c r="O911" s="71" t="n"/>
      <c r="P911" s="71" t="n"/>
      <c r="Q911" s="71" t="n"/>
      <c r="R911" s="71" t="n"/>
      <c r="S911" s="71" t="n"/>
      <c r="T911" s="71" t="n"/>
      <c r="U911" s="71" t="n"/>
      <c r="V911" s="71" t="n"/>
      <c r="W911" s="71" t="n"/>
      <c r="X911" s="71" t="n"/>
      <c r="Y911" s="71" t="n"/>
      <c r="Z911" s="71" t="n"/>
    </row>
    <row r="912" ht="15.75" customHeight="1">
      <c r="A912" s="71" t="n"/>
      <c r="B912" s="71" t="n"/>
      <c r="C912" s="71" t="n"/>
      <c r="D912" s="71" t="n"/>
      <c r="E912" s="71" t="n"/>
      <c r="F912" s="71" t="n"/>
      <c r="G912" s="71" t="n"/>
      <c r="H912" s="71" t="n"/>
      <c r="I912" s="71" t="n"/>
      <c r="J912" s="71" t="n"/>
      <c r="K912" s="71" t="n"/>
      <c r="L912" s="71" t="n"/>
      <c r="M912" s="71" t="n"/>
      <c r="N912" s="71" t="n"/>
      <c r="O912" s="71" t="n"/>
      <c r="P912" s="71" t="n"/>
      <c r="Q912" s="71" t="n"/>
      <c r="R912" s="71" t="n"/>
      <c r="S912" s="71" t="n"/>
      <c r="T912" s="71" t="n"/>
      <c r="U912" s="71" t="n"/>
      <c r="V912" s="71" t="n"/>
      <c r="W912" s="71" t="n"/>
      <c r="X912" s="71" t="n"/>
      <c r="Y912" s="71" t="n"/>
      <c r="Z912" s="71" t="n"/>
    </row>
    <row r="913" ht="15.75" customHeight="1">
      <c r="A913" s="71" t="n"/>
      <c r="B913" s="71" t="n"/>
      <c r="C913" s="71" t="n"/>
      <c r="D913" s="71" t="n"/>
      <c r="E913" s="71" t="n"/>
      <c r="F913" s="71" t="n"/>
      <c r="G913" s="71" t="n"/>
      <c r="H913" s="71" t="n"/>
      <c r="I913" s="71" t="n"/>
      <c r="J913" s="71" t="n"/>
      <c r="K913" s="71" t="n"/>
      <c r="L913" s="71" t="n"/>
      <c r="M913" s="71" t="n"/>
      <c r="N913" s="71" t="n"/>
      <c r="O913" s="71" t="n"/>
      <c r="P913" s="71" t="n"/>
      <c r="Q913" s="71" t="n"/>
      <c r="R913" s="71" t="n"/>
      <c r="S913" s="71" t="n"/>
      <c r="T913" s="71" t="n"/>
      <c r="U913" s="71" t="n"/>
      <c r="V913" s="71" t="n"/>
      <c r="W913" s="71" t="n"/>
      <c r="X913" s="71" t="n"/>
      <c r="Y913" s="71" t="n"/>
      <c r="Z913" s="71" t="n"/>
    </row>
    <row r="914" ht="15.75" customHeight="1">
      <c r="A914" s="71" t="n"/>
      <c r="B914" s="71" t="n"/>
      <c r="C914" s="71" t="n"/>
      <c r="D914" s="71" t="n"/>
      <c r="E914" s="71" t="n"/>
      <c r="F914" s="71" t="n"/>
      <c r="G914" s="71" t="n"/>
      <c r="H914" s="71" t="n"/>
      <c r="I914" s="71" t="n"/>
      <c r="J914" s="71" t="n"/>
      <c r="K914" s="71" t="n"/>
      <c r="L914" s="71" t="n"/>
      <c r="M914" s="71" t="n"/>
      <c r="N914" s="71" t="n"/>
      <c r="O914" s="71" t="n"/>
      <c r="P914" s="71" t="n"/>
      <c r="Q914" s="71" t="n"/>
      <c r="R914" s="71" t="n"/>
      <c r="S914" s="71" t="n"/>
      <c r="T914" s="71" t="n"/>
      <c r="U914" s="71" t="n"/>
      <c r="V914" s="71" t="n"/>
      <c r="W914" s="71" t="n"/>
      <c r="X914" s="71" t="n"/>
      <c r="Y914" s="71" t="n"/>
      <c r="Z914" s="71" t="n"/>
    </row>
    <row r="915" ht="15.75" customHeight="1">
      <c r="A915" s="71" t="n"/>
      <c r="B915" s="71" t="n"/>
      <c r="C915" s="71" t="n"/>
      <c r="D915" s="71" t="n"/>
      <c r="E915" s="71" t="n"/>
      <c r="F915" s="71" t="n"/>
      <c r="G915" s="71" t="n"/>
      <c r="H915" s="71" t="n"/>
      <c r="I915" s="71" t="n"/>
      <c r="J915" s="71" t="n"/>
      <c r="K915" s="71" t="n"/>
      <c r="L915" s="71" t="n"/>
      <c r="M915" s="71" t="n"/>
      <c r="N915" s="71" t="n"/>
      <c r="O915" s="71" t="n"/>
      <c r="P915" s="71" t="n"/>
      <c r="Q915" s="71" t="n"/>
      <c r="R915" s="71" t="n"/>
      <c r="S915" s="71" t="n"/>
      <c r="T915" s="71" t="n"/>
      <c r="U915" s="71" t="n"/>
      <c r="V915" s="71" t="n"/>
      <c r="W915" s="71" t="n"/>
      <c r="X915" s="71" t="n"/>
      <c r="Y915" s="71" t="n"/>
      <c r="Z915" s="71" t="n"/>
    </row>
    <row r="916" ht="15.75" customHeight="1">
      <c r="A916" s="71" t="n"/>
      <c r="B916" s="71" t="n"/>
      <c r="C916" s="71" t="n"/>
      <c r="D916" s="71" t="n"/>
      <c r="E916" s="71" t="n"/>
      <c r="F916" s="71" t="n"/>
      <c r="G916" s="71" t="n"/>
      <c r="H916" s="71" t="n"/>
      <c r="I916" s="71" t="n"/>
      <c r="J916" s="71" t="n"/>
      <c r="K916" s="71" t="n"/>
      <c r="L916" s="71" t="n"/>
      <c r="M916" s="71" t="n"/>
      <c r="N916" s="71" t="n"/>
      <c r="O916" s="71" t="n"/>
      <c r="P916" s="71" t="n"/>
      <c r="Q916" s="71" t="n"/>
      <c r="R916" s="71" t="n"/>
      <c r="S916" s="71" t="n"/>
      <c r="T916" s="71" t="n"/>
      <c r="U916" s="71" t="n"/>
      <c r="V916" s="71" t="n"/>
      <c r="W916" s="71" t="n"/>
      <c r="X916" s="71" t="n"/>
      <c r="Y916" s="71" t="n"/>
      <c r="Z916" s="71" t="n"/>
    </row>
    <row r="917" ht="15.75" customHeight="1">
      <c r="A917" s="71" t="n"/>
      <c r="B917" s="71" t="n"/>
      <c r="C917" s="71" t="n"/>
      <c r="D917" s="71" t="n"/>
      <c r="E917" s="71" t="n"/>
      <c r="F917" s="71" t="n"/>
      <c r="G917" s="71" t="n"/>
      <c r="H917" s="71" t="n"/>
      <c r="I917" s="71" t="n"/>
      <c r="J917" s="71" t="n"/>
      <c r="K917" s="71" t="n"/>
      <c r="L917" s="71" t="n"/>
      <c r="M917" s="71" t="n"/>
      <c r="N917" s="71" t="n"/>
      <c r="O917" s="71" t="n"/>
      <c r="P917" s="71" t="n"/>
      <c r="Q917" s="71" t="n"/>
      <c r="R917" s="71" t="n"/>
      <c r="S917" s="71" t="n"/>
      <c r="T917" s="71" t="n"/>
      <c r="U917" s="71" t="n"/>
      <c r="V917" s="71" t="n"/>
      <c r="W917" s="71" t="n"/>
      <c r="X917" s="71" t="n"/>
      <c r="Y917" s="71" t="n"/>
      <c r="Z917" s="71" t="n"/>
    </row>
    <row r="918" ht="15.75" customHeight="1">
      <c r="A918" s="71" t="n"/>
      <c r="B918" s="71" t="n"/>
      <c r="C918" s="71" t="n"/>
      <c r="D918" s="71" t="n"/>
      <c r="E918" s="71" t="n"/>
      <c r="F918" s="71" t="n"/>
      <c r="G918" s="71" t="n"/>
      <c r="H918" s="71" t="n"/>
      <c r="I918" s="71" t="n"/>
      <c r="J918" s="71" t="n"/>
      <c r="K918" s="71" t="n"/>
      <c r="L918" s="71" t="n"/>
      <c r="M918" s="71" t="n"/>
      <c r="N918" s="71" t="n"/>
      <c r="O918" s="71" t="n"/>
      <c r="P918" s="71" t="n"/>
      <c r="Q918" s="71" t="n"/>
      <c r="R918" s="71" t="n"/>
      <c r="S918" s="71" t="n"/>
      <c r="T918" s="71" t="n"/>
      <c r="U918" s="71" t="n"/>
      <c r="V918" s="71" t="n"/>
      <c r="W918" s="71" t="n"/>
      <c r="X918" s="71" t="n"/>
      <c r="Y918" s="71" t="n"/>
      <c r="Z918" s="71" t="n"/>
    </row>
    <row r="919" ht="15.75" customHeight="1">
      <c r="A919" s="71" t="n"/>
      <c r="B919" s="71" t="n"/>
      <c r="C919" s="71" t="n"/>
      <c r="D919" s="71" t="n"/>
      <c r="E919" s="71" t="n"/>
      <c r="F919" s="71" t="n"/>
      <c r="G919" s="71" t="n"/>
      <c r="H919" s="71" t="n"/>
      <c r="I919" s="71" t="n"/>
      <c r="J919" s="71" t="n"/>
      <c r="K919" s="71" t="n"/>
      <c r="L919" s="71" t="n"/>
      <c r="M919" s="71" t="n"/>
      <c r="N919" s="71" t="n"/>
      <c r="O919" s="71" t="n"/>
      <c r="P919" s="71" t="n"/>
      <c r="Q919" s="71" t="n"/>
      <c r="R919" s="71" t="n"/>
      <c r="S919" s="71" t="n"/>
      <c r="T919" s="71" t="n"/>
      <c r="U919" s="71" t="n"/>
      <c r="V919" s="71" t="n"/>
      <c r="W919" s="71" t="n"/>
      <c r="X919" s="71" t="n"/>
      <c r="Y919" s="71" t="n"/>
      <c r="Z919" s="71" t="n"/>
    </row>
    <row r="920" ht="15.75" customHeight="1">
      <c r="A920" s="71" t="n"/>
      <c r="B920" s="71" t="n"/>
      <c r="C920" s="71" t="n"/>
      <c r="D920" s="71" t="n"/>
      <c r="E920" s="71" t="n"/>
      <c r="F920" s="71" t="n"/>
      <c r="G920" s="71" t="n"/>
      <c r="H920" s="71" t="n"/>
      <c r="I920" s="71" t="n"/>
      <c r="J920" s="71" t="n"/>
      <c r="K920" s="71" t="n"/>
      <c r="L920" s="71" t="n"/>
      <c r="M920" s="71" t="n"/>
      <c r="N920" s="71" t="n"/>
      <c r="O920" s="71" t="n"/>
      <c r="P920" s="71" t="n"/>
      <c r="Q920" s="71" t="n"/>
      <c r="R920" s="71" t="n"/>
      <c r="S920" s="71" t="n"/>
      <c r="T920" s="71" t="n"/>
      <c r="U920" s="71" t="n"/>
      <c r="V920" s="71" t="n"/>
      <c r="W920" s="71" t="n"/>
      <c r="X920" s="71" t="n"/>
      <c r="Y920" s="71" t="n"/>
      <c r="Z920" s="71" t="n"/>
    </row>
    <row r="921" ht="15.75" customHeight="1">
      <c r="A921" s="71" t="n"/>
      <c r="B921" s="71" t="n"/>
      <c r="C921" s="71" t="n"/>
      <c r="D921" s="71" t="n"/>
      <c r="E921" s="71" t="n"/>
      <c r="F921" s="71" t="n"/>
      <c r="G921" s="71" t="n"/>
      <c r="H921" s="71" t="n"/>
      <c r="I921" s="71" t="n"/>
      <c r="J921" s="71" t="n"/>
      <c r="K921" s="71" t="n"/>
      <c r="L921" s="71" t="n"/>
      <c r="M921" s="71" t="n"/>
      <c r="N921" s="71" t="n"/>
      <c r="O921" s="71" t="n"/>
      <c r="P921" s="71" t="n"/>
      <c r="Q921" s="71" t="n"/>
      <c r="R921" s="71" t="n"/>
      <c r="S921" s="71" t="n"/>
      <c r="T921" s="71" t="n"/>
      <c r="U921" s="71" t="n"/>
      <c r="V921" s="71" t="n"/>
      <c r="W921" s="71" t="n"/>
      <c r="X921" s="71" t="n"/>
      <c r="Y921" s="71" t="n"/>
      <c r="Z921" s="71" t="n"/>
    </row>
    <row r="922" ht="15.75" customHeight="1">
      <c r="A922" s="71" t="n"/>
      <c r="B922" s="71" t="n"/>
      <c r="C922" s="71" t="n"/>
      <c r="D922" s="71" t="n"/>
      <c r="E922" s="71" t="n"/>
      <c r="F922" s="71" t="n"/>
      <c r="G922" s="71" t="n"/>
      <c r="H922" s="71" t="n"/>
      <c r="I922" s="71" t="n"/>
      <c r="J922" s="71" t="n"/>
      <c r="K922" s="71" t="n"/>
      <c r="L922" s="71" t="n"/>
      <c r="M922" s="71" t="n"/>
      <c r="N922" s="71" t="n"/>
      <c r="O922" s="71" t="n"/>
      <c r="P922" s="71" t="n"/>
      <c r="Q922" s="71" t="n"/>
      <c r="R922" s="71" t="n"/>
      <c r="S922" s="71" t="n"/>
      <c r="T922" s="71" t="n"/>
      <c r="U922" s="71" t="n"/>
      <c r="V922" s="71" t="n"/>
      <c r="W922" s="71" t="n"/>
      <c r="X922" s="71" t="n"/>
      <c r="Y922" s="71" t="n"/>
      <c r="Z922" s="71" t="n"/>
    </row>
    <row r="923" ht="15.75" customHeight="1">
      <c r="A923" s="71" t="n"/>
      <c r="B923" s="71" t="n"/>
      <c r="C923" s="71" t="n"/>
      <c r="D923" s="71" t="n"/>
      <c r="E923" s="71" t="n"/>
      <c r="F923" s="71" t="n"/>
      <c r="G923" s="71" t="n"/>
      <c r="H923" s="71" t="n"/>
      <c r="I923" s="71" t="n"/>
      <c r="J923" s="71" t="n"/>
      <c r="K923" s="71" t="n"/>
      <c r="L923" s="71" t="n"/>
      <c r="M923" s="71" t="n"/>
      <c r="N923" s="71" t="n"/>
      <c r="O923" s="71" t="n"/>
      <c r="P923" s="71" t="n"/>
      <c r="Q923" s="71" t="n"/>
      <c r="R923" s="71" t="n"/>
      <c r="S923" s="71" t="n"/>
      <c r="T923" s="71" t="n"/>
      <c r="U923" s="71" t="n"/>
      <c r="V923" s="71" t="n"/>
      <c r="W923" s="71" t="n"/>
      <c r="X923" s="71" t="n"/>
      <c r="Y923" s="71" t="n"/>
      <c r="Z923" s="71" t="n"/>
    </row>
    <row r="924" ht="15.75" customHeight="1">
      <c r="A924" s="71" t="n"/>
      <c r="B924" s="71" t="n"/>
      <c r="C924" s="71" t="n"/>
      <c r="D924" s="71" t="n"/>
      <c r="E924" s="71" t="n"/>
      <c r="F924" s="71" t="n"/>
      <c r="G924" s="71" t="n"/>
      <c r="H924" s="71" t="n"/>
      <c r="I924" s="71" t="n"/>
      <c r="J924" s="71" t="n"/>
      <c r="K924" s="71" t="n"/>
      <c r="L924" s="71" t="n"/>
      <c r="M924" s="71" t="n"/>
      <c r="N924" s="71" t="n"/>
      <c r="O924" s="71" t="n"/>
      <c r="P924" s="71" t="n"/>
      <c r="Q924" s="71" t="n"/>
      <c r="R924" s="71" t="n"/>
      <c r="S924" s="71" t="n"/>
      <c r="T924" s="71" t="n"/>
      <c r="U924" s="71" t="n"/>
      <c r="V924" s="71" t="n"/>
      <c r="W924" s="71" t="n"/>
      <c r="X924" s="71" t="n"/>
      <c r="Y924" s="71" t="n"/>
      <c r="Z924" s="71" t="n"/>
    </row>
    <row r="925" ht="15.75" customHeight="1">
      <c r="A925" s="71" t="n"/>
      <c r="B925" s="71" t="n"/>
      <c r="C925" s="71" t="n"/>
      <c r="D925" s="71" t="n"/>
      <c r="E925" s="71" t="n"/>
      <c r="F925" s="71" t="n"/>
      <c r="G925" s="71" t="n"/>
      <c r="H925" s="71" t="n"/>
      <c r="I925" s="71" t="n"/>
      <c r="J925" s="71" t="n"/>
      <c r="K925" s="71" t="n"/>
      <c r="L925" s="71" t="n"/>
      <c r="M925" s="71" t="n"/>
      <c r="N925" s="71" t="n"/>
      <c r="O925" s="71" t="n"/>
      <c r="P925" s="71" t="n"/>
      <c r="Q925" s="71" t="n"/>
      <c r="R925" s="71" t="n"/>
      <c r="S925" s="71" t="n"/>
      <c r="T925" s="71" t="n"/>
      <c r="U925" s="71" t="n"/>
      <c r="V925" s="71" t="n"/>
      <c r="W925" s="71" t="n"/>
      <c r="X925" s="71" t="n"/>
      <c r="Y925" s="71" t="n"/>
      <c r="Z925" s="71" t="n"/>
    </row>
    <row r="926" ht="15.75" customHeight="1">
      <c r="A926" s="71" t="n"/>
      <c r="B926" s="71" t="n"/>
      <c r="C926" s="71" t="n"/>
      <c r="D926" s="71" t="n"/>
      <c r="E926" s="71" t="n"/>
      <c r="F926" s="71" t="n"/>
      <c r="G926" s="71" t="n"/>
      <c r="H926" s="71" t="n"/>
      <c r="I926" s="71" t="n"/>
      <c r="J926" s="71" t="n"/>
      <c r="K926" s="71" t="n"/>
      <c r="L926" s="71" t="n"/>
      <c r="M926" s="71" t="n"/>
      <c r="N926" s="71" t="n"/>
      <c r="O926" s="71" t="n"/>
      <c r="P926" s="71" t="n"/>
      <c r="Q926" s="71" t="n"/>
      <c r="R926" s="71" t="n"/>
      <c r="S926" s="71" t="n"/>
      <c r="T926" s="71" t="n"/>
      <c r="U926" s="71" t="n"/>
      <c r="V926" s="71" t="n"/>
      <c r="W926" s="71" t="n"/>
      <c r="X926" s="71" t="n"/>
      <c r="Y926" s="71" t="n"/>
      <c r="Z926" s="71" t="n"/>
    </row>
    <row r="927" ht="15.75" customHeight="1">
      <c r="A927" s="71" t="n"/>
      <c r="B927" s="71" t="n"/>
      <c r="C927" s="71" t="n"/>
      <c r="D927" s="71" t="n"/>
      <c r="E927" s="71" t="n"/>
      <c r="F927" s="71" t="n"/>
      <c r="G927" s="71" t="n"/>
      <c r="H927" s="71" t="n"/>
      <c r="I927" s="71" t="n"/>
      <c r="J927" s="71" t="n"/>
      <c r="K927" s="71" t="n"/>
      <c r="L927" s="71" t="n"/>
      <c r="M927" s="71" t="n"/>
      <c r="N927" s="71" t="n"/>
      <c r="O927" s="71" t="n"/>
      <c r="P927" s="71" t="n"/>
      <c r="Q927" s="71" t="n"/>
      <c r="R927" s="71" t="n"/>
      <c r="S927" s="71" t="n"/>
      <c r="T927" s="71" t="n"/>
      <c r="U927" s="71" t="n"/>
      <c r="V927" s="71" t="n"/>
      <c r="W927" s="71" t="n"/>
      <c r="X927" s="71" t="n"/>
      <c r="Y927" s="71" t="n"/>
      <c r="Z927" s="71" t="n"/>
    </row>
    <row r="928" ht="15.75" customHeight="1">
      <c r="A928" s="71" t="n"/>
      <c r="B928" s="71" t="n"/>
      <c r="C928" s="71" t="n"/>
      <c r="D928" s="71" t="n"/>
      <c r="E928" s="71" t="n"/>
      <c r="F928" s="71" t="n"/>
      <c r="G928" s="71" t="n"/>
      <c r="H928" s="71" t="n"/>
      <c r="I928" s="71" t="n"/>
      <c r="J928" s="71" t="n"/>
      <c r="K928" s="71" t="n"/>
      <c r="L928" s="71" t="n"/>
      <c r="M928" s="71" t="n"/>
      <c r="N928" s="71" t="n"/>
      <c r="O928" s="71" t="n"/>
      <c r="P928" s="71" t="n"/>
      <c r="Q928" s="71" t="n"/>
      <c r="R928" s="71" t="n"/>
      <c r="S928" s="71" t="n"/>
      <c r="T928" s="71" t="n"/>
      <c r="U928" s="71" t="n"/>
      <c r="V928" s="71" t="n"/>
      <c r="W928" s="71" t="n"/>
      <c r="X928" s="71" t="n"/>
      <c r="Y928" s="71" t="n"/>
      <c r="Z928" s="71" t="n"/>
    </row>
    <row r="929" ht="15.75" customHeight="1">
      <c r="A929" s="71" t="n"/>
      <c r="B929" s="71" t="n"/>
      <c r="C929" s="71" t="n"/>
      <c r="D929" s="71" t="n"/>
      <c r="E929" s="71" t="n"/>
      <c r="F929" s="71" t="n"/>
      <c r="G929" s="71" t="n"/>
      <c r="H929" s="71" t="n"/>
      <c r="I929" s="71" t="n"/>
      <c r="J929" s="71" t="n"/>
      <c r="K929" s="71" t="n"/>
      <c r="L929" s="71" t="n"/>
      <c r="M929" s="71" t="n"/>
      <c r="N929" s="71" t="n"/>
      <c r="O929" s="71" t="n"/>
      <c r="P929" s="71" t="n"/>
      <c r="Q929" s="71" t="n"/>
      <c r="R929" s="71" t="n"/>
      <c r="S929" s="71" t="n"/>
      <c r="T929" s="71" t="n"/>
      <c r="U929" s="71" t="n"/>
      <c r="V929" s="71" t="n"/>
      <c r="W929" s="71" t="n"/>
      <c r="X929" s="71" t="n"/>
      <c r="Y929" s="71" t="n"/>
      <c r="Z929" s="71" t="n"/>
    </row>
    <row r="930" ht="15.75" customHeight="1">
      <c r="A930" s="71" t="n"/>
      <c r="B930" s="71" t="n"/>
      <c r="C930" s="71" t="n"/>
      <c r="D930" s="71" t="n"/>
      <c r="E930" s="71" t="n"/>
      <c r="F930" s="71" t="n"/>
      <c r="G930" s="71" t="n"/>
      <c r="H930" s="71" t="n"/>
      <c r="I930" s="71" t="n"/>
      <c r="J930" s="71" t="n"/>
      <c r="K930" s="71" t="n"/>
      <c r="L930" s="71" t="n"/>
      <c r="M930" s="71" t="n"/>
      <c r="N930" s="71" t="n"/>
      <c r="O930" s="71" t="n"/>
      <c r="P930" s="71" t="n"/>
      <c r="Q930" s="71" t="n"/>
      <c r="R930" s="71" t="n"/>
      <c r="S930" s="71" t="n"/>
      <c r="T930" s="71" t="n"/>
      <c r="U930" s="71" t="n"/>
      <c r="V930" s="71" t="n"/>
      <c r="W930" s="71" t="n"/>
      <c r="X930" s="71" t="n"/>
      <c r="Y930" s="71" t="n"/>
      <c r="Z930" s="71" t="n"/>
    </row>
    <row r="931" ht="15.75" customHeight="1">
      <c r="A931" s="71" t="n"/>
      <c r="B931" s="71" t="n"/>
      <c r="C931" s="71" t="n"/>
      <c r="D931" s="71" t="n"/>
      <c r="E931" s="71" t="n"/>
      <c r="F931" s="71" t="n"/>
      <c r="G931" s="71" t="n"/>
      <c r="H931" s="71" t="n"/>
      <c r="I931" s="71" t="n"/>
      <c r="J931" s="71" t="n"/>
      <c r="K931" s="71" t="n"/>
      <c r="L931" s="71" t="n"/>
      <c r="M931" s="71" t="n"/>
      <c r="N931" s="71" t="n"/>
      <c r="O931" s="71" t="n"/>
      <c r="P931" s="71" t="n"/>
      <c r="Q931" s="71" t="n"/>
      <c r="R931" s="71" t="n"/>
      <c r="S931" s="71" t="n"/>
      <c r="T931" s="71" t="n"/>
      <c r="U931" s="71" t="n"/>
      <c r="V931" s="71" t="n"/>
      <c r="W931" s="71" t="n"/>
      <c r="X931" s="71" t="n"/>
      <c r="Y931" s="71" t="n"/>
      <c r="Z931" s="71" t="n"/>
    </row>
    <row r="932" ht="15.75" customHeight="1">
      <c r="A932" s="71" t="n"/>
      <c r="B932" s="71" t="n"/>
      <c r="C932" s="71" t="n"/>
      <c r="D932" s="71" t="n"/>
      <c r="E932" s="71" t="n"/>
      <c r="F932" s="71" t="n"/>
      <c r="G932" s="71" t="n"/>
      <c r="H932" s="71" t="n"/>
      <c r="I932" s="71" t="n"/>
      <c r="J932" s="71" t="n"/>
      <c r="K932" s="71" t="n"/>
      <c r="L932" s="71" t="n"/>
      <c r="M932" s="71" t="n"/>
      <c r="N932" s="71" t="n"/>
      <c r="O932" s="71" t="n"/>
      <c r="P932" s="71" t="n"/>
      <c r="Q932" s="71" t="n"/>
      <c r="R932" s="71" t="n"/>
      <c r="S932" s="71" t="n"/>
      <c r="T932" s="71" t="n"/>
      <c r="U932" s="71" t="n"/>
      <c r="V932" s="71" t="n"/>
      <c r="W932" s="71" t="n"/>
      <c r="X932" s="71" t="n"/>
      <c r="Y932" s="71" t="n"/>
      <c r="Z932" s="71" t="n"/>
    </row>
    <row r="933" ht="15.75" customHeight="1">
      <c r="A933" s="71" t="n"/>
      <c r="B933" s="71" t="n"/>
      <c r="C933" s="71" t="n"/>
      <c r="D933" s="71" t="n"/>
      <c r="E933" s="71" t="n"/>
      <c r="F933" s="71" t="n"/>
      <c r="G933" s="71" t="n"/>
      <c r="H933" s="71" t="n"/>
      <c r="I933" s="71" t="n"/>
      <c r="J933" s="71" t="n"/>
      <c r="K933" s="71" t="n"/>
      <c r="L933" s="71" t="n"/>
      <c r="M933" s="71" t="n"/>
      <c r="N933" s="71" t="n"/>
      <c r="O933" s="71" t="n"/>
      <c r="P933" s="71" t="n"/>
      <c r="Q933" s="71" t="n"/>
      <c r="R933" s="71" t="n"/>
      <c r="S933" s="71" t="n"/>
      <c r="T933" s="71" t="n"/>
      <c r="U933" s="71" t="n"/>
      <c r="V933" s="71" t="n"/>
      <c r="W933" s="71" t="n"/>
      <c r="X933" s="71" t="n"/>
      <c r="Y933" s="71" t="n"/>
      <c r="Z933" s="71" t="n"/>
    </row>
    <row r="934" ht="15.75" customHeight="1">
      <c r="A934" s="71" t="n"/>
      <c r="B934" s="71" t="n"/>
      <c r="C934" s="71" t="n"/>
      <c r="D934" s="71" t="n"/>
      <c r="E934" s="71" t="n"/>
      <c r="F934" s="71" t="n"/>
      <c r="G934" s="71" t="n"/>
      <c r="H934" s="71" t="n"/>
      <c r="I934" s="71" t="n"/>
      <c r="J934" s="71" t="n"/>
      <c r="K934" s="71" t="n"/>
      <c r="L934" s="71" t="n"/>
      <c r="M934" s="71" t="n"/>
      <c r="N934" s="71" t="n"/>
      <c r="O934" s="71" t="n"/>
      <c r="P934" s="71" t="n"/>
      <c r="Q934" s="71" t="n"/>
      <c r="R934" s="71" t="n"/>
      <c r="S934" s="71" t="n"/>
      <c r="T934" s="71" t="n"/>
      <c r="U934" s="71" t="n"/>
      <c r="V934" s="71" t="n"/>
      <c r="W934" s="71" t="n"/>
      <c r="X934" s="71" t="n"/>
      <c r="Y934" s="71" t="n"/>
      <c r="Z934" s="71" t="n"/>
    </row>
    <row r="935" ht="15.75" customHeight="1">
      <c r="A935" s="71" t="n"/>
      <c r="B935" s="71" t="n"/>
      <c r="C935" s="71" t="n"/>
      <c r="D935" s="71" t="n"/>
      <c r="E935" s="71" t="n"/>
      <c r="F935" s="71" t="n"/>
      <c r="G935" s="71" t="n"/>
      <c r="H935" s="71" t="n"/>
      <c r="I935" s="71" t="n"/>
      <c r="J935" s="71" t="n"/>
      <c r="K935" s="71" t="n"/>
      <c r="L935" s="71" t="n"/>
      <c r="M935" s="71" t="n"/>
      <c r="N935" s="71" t="n"/>
      <c r="O935" s="71" t="n"/>
      <c r="P935" s="71" t="n"/>
      <c r="Q935" s="71" t="n"/>
      <c r="R935" s="71" t="n"/>
      <c r="S935" s="71" t="n"/>
      <c r="T935" s="71" t="n"/>
      <c r="U935" s="71" t="n"/>
      <c r="V935" s="71" t="n"/>
      <c r="W935" s="71" t="n"/>
      <c r="X935" s="71" t="n"/>
      <c r="Y935" s="71" t="n"/>
      <c r="Z935" s="71" t="n"/>
    </row>
    <row r="936" ht="15.75" customHeight="1">
      <c r="A936" s="71" t="n"/>
      <c r="B936" s="71" t="n"/>
      <c r="C936" s="71" t="n"/>
      <c r="D936" s="71" t="n"/>
      <c r="E936" s="71" t="n"/>
      <c r="F936" s="71" t="n"/>
      <c r="G936" s="71" t="n"/>
      <c r="H936" s="71" t="n"/>
      <c r="I936" s="71" t="n"/>
      <c r="J936" s="71" t="n"/>
      <c r="K936" s="71" t="n"/>
      <c r="L936" s="71" t="n"/>
      <c r="M936" s="71" t="n"/>
      <c r="N936" s="71" t="n"/>
      <c r="O936" s="71" t="n"/>
      <c r="P936" s="71" t="n"/>
      <c r="Q936" s="71" t="n"/>
      <c r="R936" s="71" t="n"/>
      <c r="S936" s="71" t="n"/>
      <c r="T936" s="71" t="n"/>
      <c r="U936" s="71" t="n"/>
      <c r="V936" s="71" t="n"/>
      <c r="W936" s="71" t="n"/>
      <c r="X936" s="71" t="n"/>
      <c r="Y936" s="71" t="n"/>
      <c r="Z936" s="71" t="n"/>
    </row>
    <row r="937" ht="15.75" customHeight="1">
      <c r="A937" s="71" t="n"/>
      <c r="B937" s="71" t="n"/>
      <c r="C937" s="71" t="n"/>
      <c r="D937" s="71" t="n"/>
      <c r="E937" s="71" t="n"/>
      <c r="F937" s="71" t="n"/>
      <c r="G937" s="71" t="n"/>
      <c r="H937" s="71" t="n"/>
      <c r="I937" s="71" t="n"/>
      <c r="J937" s="71" t="n"/>
      <c r="K937" s="71" t="n"/>
      <c r="L937" s="71" t="n"/>
      <c r="M937" s="71" t="n"/>
      <c r="N937" s="71" t="n"/>
      <c r="O937" s="71" t="n"/>
      <c r="P937" s="71" t="n"/>
      <c r="Q937" s="71" t="n"/>
      <c r="R937" s="71" t="n"/>
      <c r="S937" s="71" t="n"/>
      <c r="T937" s="71" t="n"/>
      <c r="U937" s="71" t="n"/>
      <c r="V937" s="71" t="n"/>
      <c r="W937" s="71" t="n"/>
      <c r="X937" s="71" t="n"/>
      <c r="Y937" s="71" t="n"/>
      <c r="Z937" s="71" t="n"/>
    </row>
    <row r="938" ht="15.75" customHeight="1">
      <c r="A938" s="71" t="n"/>
      <c r="B938" s="71" t="n"/>
      <c r="C938" s="71" t="n"/>
      <c r="D938" s="71" t="n"/>
      <c r="E938" s="71" t="n"/>
      <c r="F938" s="71" t="n"/>
      <c r="G938" s="71" t="n"/>
      <c r="H938" s="71" t="n"/>
      <c r="I938" s="71" t="n"/>
      <c r="J938" s="71" t="n"/>
      <c r="K938" s="71" t="n"/>
      <c r="L938" s="71" t="n"/>
      <c r="M938" s="71" t="n"/>
      <c r="N938" s="71" t="n"/>
      <c r="O938" s="71" t="n"/>
      <c r="P938" s="71" t="n"/>
      <c r="Q938" s="71" t="n"/>
      <c r="R938" s="71" t="n"/>
      <c r="S938" s="71" t="n"/>
      <c r="T938" s="71" t="n"/>
      <c r="U938" s="71" t="n"/>
      <c r="V938" s="71" t="n"/>
      <c r="W938" s="71" t="n"/>
      <c r="X938" s="71" t="n"/>
      <c r="Y938" s="71" t="n"/>
      <c r="Z938" s="71" t="n"/>
    </row>
    <row r="939" ht="15.75" customHeight="1">
      <c r="A939" s="71" t="n"/>
      <c r="B939" s="71" t="n"/>
      <c r="C939" s="71" t="n"/>
      <c r="D939" s="71" t="n"/>
      <c r="E939" s="71" t="n"/>
      <c r="F939" s="71" t="n"/>
      <c r="G939" s="71" t="n"/>
      <c r="H939" s="71" t="n"/>
      <c r="I939" s="71" t="n"/>
      <c r="J939" s="71" t="n"/>
      <c r="K939" s="71" t="n"/>
      <c r="L939" s="71" t="n"/>
      <c r="M939" s="71" t="n"/>
      <c r="N939" s="71" t="n"/>
      <c r="O939" s="71" t="n"/>
      <c r="P939" s="71" t="n"/>
      <c r="Q939" s="71" t="n"/>
      <c r="R939" s="71" t="n"/>
      <c r="S939" s="71" t="n"/>
      <c r="T939" s="71" t="n"/>
      <c r="U939" s="71" t="n"/>
      <c r="V939" s="71" t="n"/>
      <c r="W939" s="71" t="n"/>
      <c r="X939" s="71" t="n"/>
      <c r="Y939" s="71" t="n"/>
      <c r="Z939" s="71" t="n"/>
    </row>
    <row r="940" ht="15.75" customHeight="1">
      <c r="A940" s="71" t="n"/>
      <c r="B940" s="71" t="n"/>
      <c r="C940" s="71" t="n"/>
      <c r="D940" s="71" t="n"/>
      <c r="E940" s="71" t="n"/>
      <c r="F940" s="71" t="n"/>
      <c r="G940" s="71" t="n"/>
      <c r="H940" s="71" t="n"/>
      <c r="I940" s="71" t="n"/>
      <c r="J940" s="71" t="n"/>
      <c r="K940" s="71" t="n"/>
      <c r="L940" s="71" t="n"/>
      <c r="M940" s="71" t="n"/>
      <c r="N940" s="71" t="n"/>
      <c r="O940" s="71" t="n"/>
      <c r="P940" s="71" t="n"/>
      <c r="Q940" s="71" t="n"/>
      <c r="R940" s="71" t="n"/>
      <c r="S940" s="71" t="n"/>
      <c r="T940" s="71" t="n"/>
      <c r="U940" s="71" t="n"/>
      <c r="V940" s="71" t="n"/>
      <c r="W940" s="71" t="n"/>
      <c r="X940" s="71" t="n"/>
      <c r="Y940" s="71" t="n"/>
      <c r="Z940" s="71" t="n"/>
    </row>
    <row r="941" ht="15.75" customHeight="1">
      <c r="A941" s="71" t="n"/>
      <c r="B941" s="71" t="n"/>
      <c r="C941" s="71" t="n"/>
      <c r="D941" s="71" t="n"/>
      <c r="E941" s="71" t="n"/>
      <c r="F941" s="71" t="n"/>
      <c r="G941" s="71" t="n"/>
      <c r="H941" s="71" t="n"/>
      <c r="I941" s="71" t="n"/>
      <c r="J941" s="71" t="n"/>
      <c r="K941" s="71" t="n"/>
      <c r="L941" s="71" t="n"/>
      <c r="M941" s="71" t="n"/>
      <c r="N941" s="71" t="n"/>
      <c r="O941" s="71" t="n"/>
      <c r="P941" s="71" t="n"/>
      <c r="Q941" s="71" t="n"/>
      <c r="R941" s="71" t="n"/>
      <c r="S941" s="71" t="n"/>
      <c r="T941" s="71" t="n"/>
      <c r="U941" s="71" t="n"/>
      <c r="V941" s="71" t="n"/>
      <c r="W941" s="71" t="n"/>
      <c r="X941" s="71" t="n"/>
      <c r="Y941" s="71" t="n"/>
      <c r="Z941" s="71" t="n"/>
    </row>
    <row r="942" ht="15.75" customHeight="1">
      <c r="A942" s="71" t="n"/>
      <c r="B942" s="71" t="n"/>
      <c r="C942" s="71" t="n"/>
      <c r="D942" s="71" t="n"/>
      <c r="E942" s="71" t="n"/>
      <c r="F942" s="71" t="n"/>
      <c r="G942" s="71" t="n"/>
      <c r="H942" s="71" t="n"/>
      <c r="I942" s="71" t="n"/>
      <c r="J942" s="71" t="n"/>
      <c r="K942" s="71" t="n"/>
      <c r="L942" s="71" t="n"/>
      <c r="M942" s="71" t="n"/>
      <c r="N942" s="71" t="n"/>
      <c r="O942" s="71" t="n"/>
      <c r="P942" s="71" t="n"/>
      <c r="Q942" s="71" t="n"/>
      <c r="R942" s="71" t="n"/>
      <c r="S942" s="71" t="n"/>
      <c r="T942" s="71" t="n"/>
      <c r="U942" s="71" t="n"/>
      <c r="V942" s="71" t="n"/>
      <c r="W942" s="71" t="n"/>
      <c r="X942" s="71" t="n"/>
      <c r="Y942" s="71" t="n"/>
      <c r="Z942" s="71" t="n"/>
    </row>
    <row r="943" ht="15.75" customHeight="1">
      <c r="A943" s="71" t="n"/>
      <c r="B943" s="71" t="n"/>
      <c r="C943" s="71" t="n"/>
      <c r="D943" s="71" t="n"/>
      <c r="E943" s="71" t="n"/>
      <c r="F943" s="71" t="n"/>
      <c r="G943" s="71" t="n"/>
      <c r="H943" s="71" t="n"/>
      <c r="I943" s="71" t="n"/>
      <c r="J943" s="71" t="n"/>
      <c r="K943" s="71" t="n"/>
      <c r="L943" s="71" t="n"/>
      <c r="M943" s="71" t="n"/>
      <c r="N943" s="71" t="n"/>
      <c r="O943" s="71" t="n"/>
      <c r="P943" s="71" t="n"/>
      <c r="Q943" s="71" t="n"/>
      <c r="R943" s="71" t="n"/>
      <c r="S943" s="71" t="n"/>
      <c r="T943" s="71" t="n"/>
      <c r="U943" s="71" t="n"/>
      <c r="V943" s="71" t="n"/>
      <c r="W943" s="71" t="n"/>
      <c r="X943" s="71" t="n"/>
      <c r="Y943" s="71" t="n"/>
      <c r="Z943" s="71" t="n"/>
    </row>
    <row r="944" ht="15.75" customHeight="1">
      <c r="A944" s="71" t="n"/>
      <c r="B944" s="71" t="n"/>
      <c r="C944" s="71" t="n"/>
      <c r="D944" s="71" t="n"/>
      <c r="E944" s="71" t="n"/>
      <c r="F944" s="71" t="n"/>
      <c r="G944" s="71" t="n"/>
      <c r="H944" s="71" t="n"/>
      <c r="I944" s="71" t="n"/>
      <c r="J944" s="71" t="n"/>
      <c r="K944" s="71" t="n"/>
      <c r="L944" s="71" t="n"/>
      <c r="M944" s="71" t="n"/>
      <c r="N944" s="71" t="n"/>
      <c r="O944" s="71" t="n"/>
      <c r="P944" s="71" t="n"/>
      <c r="Q944" s="71" t="n"/>
      <c r="R944" s="71" t="n"/>
      <c r="S944" s="71" t="n"/>
      <c r="T944" s="71" t="n"/>
      <c r="U944" s="71" t="n"/>
      <c r="V944" s="71" t="n"/>
      <c r="W944" s="71" t="n"/>
      <c r="X944" s="71" t="n"/>
      <c r="Y944" s="71" t="n"/>
      <c r="Z944" s="71" t="n"/>
    </row>
    <row r="945" ht="15.75" customHeight="1">
      <c r="A945" s="71" t="n"/>
      <c r="B945" s="71" t="n"/>
      <c r="C945" s="71" t="n"/>
      <c r="D945" s="71" t="n"/>
      <c r="E945" s="71" t="n"/>
      <c r="F945" s="71" t="n"/>
      <c r="G945" s="71" t="n"/>
      <c r="H945" s="71" t="n"/>
      <c r="I945" s="71" t="n"/>
      <c r="J945" s="71" t="n"/>
      <c r="K945" s="71" t="n"/>
      <c r="L945" s="71" t="n"/>
      <c r="M945" s="71" t="n"/>
      <c r="N945" s="71" t="n"/>
      <c r="O945" s="71" t="n"/>
      <c r="P945" s="71" t="n"/>
      <c r="Q945" s="71" t="n"/>
      <c r="R945" s="71" t="n"/>
      <c r="S945" s="71" t="n"/>
      <c r="T945" s="71" t="n"/>
      <c r="U945" s="71" t="n"/>
      <c r="V945" s="71" t="n"/>
      <c r="W945" s="71" t="n"/>
      <c r="X945" s="71" t="n"/>
      <c r="Y945" s="71" t="n"/>
      <c r="Z945" s="71" t="n"/>
    </row>
    <row r="946" ht="15.75" customHeight="1">
      <c r="A946" s="71" t="n"/>
      <c r="B946" s="71" t="n"/>
      <c r="C946" s="71" t="n"/>
      <c r="D946" s="71" t="n"/>
      <c r="E946" s="71" t="n"/>
      <c r="F946" s="71" t="n"/>
      <c r="G946" s="71" t="n"/>
      <c r="H946" s="71" t="n"/>
      <c r="I946" s="71" t="n"/>
      <c r="J946" s="71" t="n"/>
      <c r="K946" s="71" t="n"/>
      <c r="L946" s="71" t="n"/>
      <c r="M946" s="71" t="n"/>
      <c r="N946" s="71" t="n"/>
      <c r="O946" s="71" t="n"/>
      <c r="P946" s="71" t="n"/>
      <c r="Q946" s="71" t="n"/>
      <c r="R946" s="71" t="n"/>
      <c r="S946" s="71" t="n"/>
      <c r="T946" s="71" t="n"/>
      <c r="U946" s="71" t="n"/>
      <c r="V946" s="71" t="n"/>
      <c r="W946" s="71" t="n"/>
      <c r="X946" s="71" t="n"/>
      <c r="Y946" s="71" t="n"/>
      <c r="Z946" s="71" t="n"/>
    </row>
    <row r="947" ht="15.75" customHeight="1">
      <c r="A947" s="71" t="n"/>
      <c r="B947" s="71" t="n"/>
      <c r="C947" s="71" t="n"/>
      <c r="D947" s="71" t="n"/>
      <c r="E947" s="71" t="n"/>
      <c r="F947" s="71" t="n"/>
      <c r="G947" s="71" t="n"/>
      <c r="H947" s="71" t="n"/>
      <c r="I947" s="71" t="n"/>
      <c r="J947" s="71" t="n"/>
      <c r="K947" s="71" t="n"/>
      <c r="L947" s="71" t="n"/>
      <c r="M947" s="71" t="n"/>
      <c r="N947" s="71" t="n"/>
      <c r="O947" s="71" t="n"/>
      <c r="P947" s="71" t="n"/>
      <c r="Q947" s="71" t="n"/>
      <c r="R947" s="71" t="n"/>
      <c r="S947" s="71" t="n"/>
      <c r="T947" s="71" t="n"/>
      <c r="U947" s="71" t="n"/>
      <c r="V947" s="71" t="n"/>
      <c r="W947" s="71" t="n"/>
      <c r="X947" s="71" t="n"/>
      <c r="Y947" s="71" t="n"/>
      <c r="Z947" s="71" t="n"/>
    </row>
    <row r="948" ht="15.75" customHeight="1">
      <c r="A948" s="71" t="n"/>
      <c r="B948" s="71" t="n"/>
      <c r="C948" s="71" t="n"/>
      <c r="D948" s="71" t="n"/>
      <c r="E948" s="71" t="n"/>
      <c r="F948" s="71" t="n"/>
      <c r="G948" s="71" t="n"/>
      <c r="H948" s="71" t="n"/>
      <c r="I948" s="71" t="n"/>
      <c r="J948" s="71" t="n"/>
      <c r="K948" s="71" t="n"/>
      <c r="L948" s="71" t="n"/>
      <c r="M948" s="71" t="n"/>
      <c r="N948" s="71" t="n"/>
      <c r="O948" s="71" t="n"/>
      <c r="P948" s="71" t="n"/>
      <c r="Q948" s="71" t="n"/>
      <c r="R948" s="71" t="n"/>
      <c r="S948" s="71" t="n"/>
      <c r="T948" s="71" t="n"/>
      <c r="U948" s="71" t="n"/>
      <c r="V948" s="71" t="n"/>
      <c r="W948" s="71" t="n"/>
      <c r="X948" s="71" t="n"/>
      <c r="Y948" s="71" t="n"/>
      <c r="Z948" s="71" t="n"/>
    </row>
    <row r="949" ht="15.75" customHeight="1">
      <c r="A949" s="71" t="n"/>
      <c r="B949" s="71" t="n"/>
      <c r="C949" s="71" t="n"/>
      <c r="D949" s="71" t="n"/>
      <c r="E949" s="71" t="n"/>
      <c r="F949" s="71" t="n"/>
      <c r="G949" s="71" t="n"/>
      <c r="H949" s="71" t="n"/>
      <c r="I949" s="71" t="n"/>
      <c r="J949" s="71" t="n"/>
      <c r="K949" s="71" t="n"/>
      <c r="L949" s="71" t="n"/>
      <c r="M949" s="71" t="n"/>
      <c r="N949" s="71" t="n"/>
      <c r="O949" s="71" t="n"/>
      <c r="P949" s="71" t="n"/>
      <c r="Q949" s="71" t="n"/>
      <c r="R949" s="71" t="n"/>
      <c r="S949" s="71" t="n"/>
      <c r="T949" s="71" t="n"/>
      <c r="U949" s="71" t="n"/>
      <c r="V949" s="71" t="n"/>
      <c r="W949" s="71" t="n"/>
      <c r="X949" s="71" t="n"/>
      <c r="Y949" s="71" t="n"/>
      <c r="Z949" s="71" t="n"/>
    </row>
    <row r="950" ht="15.75" customHeight="1">
      <c r="A950" s="71" t="n"/>
      <c r="B950" s="71" t="n"/>
      <c r="C950" s="71" t="n"/>
      <c r="D950" s="71" t="n"/>
      <c r="E950" s="71" t="n"/>
      <c r="F950" s="71" t="n"/>
      <c r="G950" s="71" t="n"/>
      <c r="H950" s="71" t="n"/>
      <c r="I950" s="71" t="n"/>
      <c r="J950" s="71" t="n"/>
      <c r="K950" s="71" t="n"/>
      <c r="L950" s="71" t="n"/>
      <c r="M950" s="71" t="n"/>
      <c r="N950" s="71" t="n"/>
      <c r="O950" s="71" t="n"/>
      <c r="P950" s="71" t="n"/>
      <c r="Q950" s="71" t="n"/>
      <c r="R950" s="71" t="n"/>
      <c r="S950" s="71" t="n"/>
      <c r="T950" s="71" t="n"/>
      <c r="U950" s="71" t="n"/>
      <c r="V950" s="71" t="n"/>
      <c r="W950" s="71" t="n"/>
      <c r="X950" s="71" t="n"/>
      <c r="Y950" s="71" t="n"/>
      <c r="Z950" s="71" t="n"/>
    </row>
    <row r="951" ht="15.75" customHeight="1">
      <c r="A951" s="71" t="n"/>
      <c r="B951" s="71" t="n"/>
      <c r="C951" s="71" t="n"/>
      <c r="D951" s="71" t="n"/>
      <c r="E951" s="71" t="n"/>
      <c r="F951" s="71" t="n"/>
      <c r="G951" s="71" t="n"/>
      <c r="H951" s="71" t="n"/>
      <c r="I951" s="71" t="n"/>
      <c r="J951" s="71" t="n"/>
      <c r="K951" s="71" t="n"/>
      <c r="L951" s="71" t="n"/>
      <c r="M951" s="71" t="n"/>
      <c r="N951" s="71" t="n"/>
      <c r="O951" s="71" t="n"/>
      <c r="P951" s="71" t="n"/>
      <c r="Q951" s="71" t="n"/>
      <c r="R951" s="71" t="n"/>
      <c r="S951" s="71" t="n"/>
      <c r="T951" s="71" t="n"/>
      <c r="U951" s="71" t="n"/>
      <c r="V951" s="71" t="n"/>
      <c r="W951" s="71" t="n"/>
      <c r="X951" s="71" t="n"/>
      <c r="Y951" s="71" t="n"/>
      <c r="Z951" s="71" t="n"/>
    </row>
    <row r="952" ht="15.75" customHeight="1">
      <c r="A952" s="71" t="n"/>
      <c r="B952" s="71" t="n"/>
      <c r="C952" s="71" t="n"/>
      <c r="D952" s="71" t="n"/>
      <c r="E952" s="71" t="n"/>
      <c r="F952" s="71" t="n"/>
      <c r="G952" s="71" t="n"/>
      <c r="H952" s="71" t="n"/>
      <c r="I952" s="71" t="n"/>
      <c r="J952" s="71" t="n"/>
      <c r="K952" s="71" t="n"/>
      <c r="L952" s="71" t="n"/>
      <c r="M952" s="71" t="n"/>
      <c r="N952" s="71" t="n"/>
      <c r="O952" s="71" t="n"/>
      <c r="P952" s="71" t="n"/>
      <c r="Q952" s="71" t="n"/>
      <c r="R952" s="71" t="n"/>
      <c r="S952" s="71" t="n"/>
      <c r="T952" s="71" t="n"/>
      <c r="U952" s="71" t="n"/>
      <c r="V952" s="71" t="n"/>
      <c r="W952" s="71" t="n"/>
      <c r="X952" s="71" t="n"/>
      <c r="Y952" s="71" t="n"/>
      <c r="Z952" s="71" t="n"/>
    </row>
    <row r="953" ht="15.75" customHeight="1">
      <c r="A953" s="71" t="n"/>
      <c r="B953" s="71" t="n"/>
      <c r="C953" s="71" t="n"/>
      <c r="D953" s="71" t="n"/>
      <c r="E953" s="71" t="n"/>
      <c r="F953" s="71" t="n"/>
      <c r="G953" s="71" t="n"/>
      <c r="H953" s="71" t="n"/>
      <c r="I953" s="71" t="n"/>
      <c r="J953" s="71" t="n"/>
      <c r="K953" s="71" t="n"/>
      <c r="L953" s="71" t="n"/>
      <c r="M953" s="71" t="n"/>
      <c r="N953" s="71" t="n"/>
      <c r="O953" s="71" t="n"/>
      <c r="P953" s="71" t="n"/>
      <c r="Q953" s="71" t="n"/>
      <c r="R953" s="71" t="n"/>
      <c r="S953" s="71" t="n"/>
      <c r="T953" s="71" t="n"/>
      <c r="U953" s="71" t="n"/>
      <c r="V953" s="71" t="n"/>
      <c r="W953" s="71" t="n"/>
      <c r="X953" s="71" t="n"/>
      <c r="Y953" s="71" t="n"/>
      <c r="Z953" s="71" t="n"/>
    </row>
    <row r="954" ht="15.75" customHeight="1">
      <c r="A954" s="71" t="n"/>
      <c r="B954" s="71" t="n"/>
      <c r="C954" s="71" t="n"/>
      <c r="D954" s="71" t="n"/>
      <c r="E954" s="71" t="n"/>
      <c r="F954" s="71" t="n"/>
      <c r="G954" s="71" t="n"/>
      <c r="H954" s="71" t="n"/>
      <c r="I954" s="71" t="n"/>
      <c r="J954" s="71" t="n"/>
      <c r="K954" s="71" t="n"/>
      <c r="L954" s="71" t="n"/>
      <c r="M954" s="71" t="n"/>
      <c r="N954" s="71" t="n"/>
      <c r="O954" s="71" t="n"/>
      <c r="P954" s="71" t="n"/>
      <c r="Q954" s="71" t="n"/>
      <c r="R954" s="71" t="n"/>
      <c r="S954" s="71" t="n"/>
      <c r="T954" s="71" t="n"/>
      <c r="U954" s="71" t="n"/>
      <c r="V954" s="71" t="n"/>
      <c r="W954" s="71" t="n"/>
      <c r="X954" s="71" t="n"/>
      <c r="Y954" s="71" t="n"/>
      <c r="Z954" s="71" t="n"/>
    </row>
    <row r="955" ht="15.75" customHeight="1">
      <c r="A955" s="71" t="n"/>
      <c r="B955" s="71" t="n"/>
      <c r="C955" s="71" t="n"/>
      <c r="D955" s="71" t="n"/>
      <c r="E955" s="71" t="n"/>
      <c r="F955" s="71" t="n"/>
      <c r="G955" s="71" t="n"/>
      <c r="H955" s="71" t="n"/>
      <c r="I955" s="71" t="n"/>
      <c r="J955" s="71" t="n"/>
      <c r="K955" s="71" t="n"/>
      <c r="L955" s="71" t="n"/>
      <c r="M955" s="71" t="n"/>
      <c r="N955" s="71" t="n"/>
      <c r="O955" s="71" t="n"/>
      <c r="P955" s="71" t="n"/>
      <c r="Q955" s="71" t="n"/>
      <c r="R955" s="71" t="n"/>
      <c r="S955" s="71" t="n"/>
      <c r="T955" s="71" t="n"/>
      <c r="U955" s="71" t="n"/>
      <c r="V955" s="71" t="n"/>
      <c r="W955" s="71" t="n"/>
      <c r="X955" s="71" t="n"/>
      <c r="Y955" s="71" t="n"/>
      <c r="Z955" s="71" t="n"/>
    </row>
    <row r="956" ht="15.75" customHeight="1">
      <c r="A956" s="71" t="n"/>
      <c r="B956" s="71" t="n"/>
      <c r="C956" s="71" t="n"/>
      <c r="D956" s="71" t="n"/>
      <c r="E956" s="71" t="n"/>
      <c r="F956" s="71" t="n"/>
      <c r="G956" s="71" t="n"/>
      <c r="H956" s="71" t="n"/>
      <c r="I956" s="71" t="n"/>
      <c r="J956" s="71" t="n"/>
      <c r="K956" s="71" t="n"/>
      <c r="L956" s="71" t="n"/>
      <c r="M956" s="71" t="n"/>
      <c r="N956" s="71" t="n"/>
      <c r="O956" s="71" t="n"/>
      <c r="P956" s="71" t="n"/>
      <c r="Q956" s="71" t="n"/>
      <c r="R956" s="71" t="n"/>
      <c r="S956" s="71" t="n"/>
      <c r="T956" s="71" t="n"/>
      <c r="U956" s="71" t="n"/>
      <c r="V956" s="71" t="n"/>
      <c r="W956" s="71" t="n"/>
      <c r="X956" s="71" t="n"/>
      <c r="Y956" s="71" t="n"/>
      <c r="Z956" s="71" t="n"/>
    </row>
    <row r="957" ht="15.75" customHeight="1">
      <c r="A957" s="71" t="n"/>
      <c r="B957" s="71" t="n"/>
      <c r="C957" s="71" t="n"/>
      <c r="D957" s="71" t="n"/>
      <c r="E957" s="71" t="n"/>
      <c r="F957" s="71" t="n"/>
      <c r="G957" s="71" t="n"/>
      <c r="H957" s="71" t="n"/>
      <c r="I957" s="71" t="n"/>
      <c r="J957" s="71" t="n"/>
      <c r="K957" s="71" t="n"/>
      <c r="L957" s="71" t="n"/>
      <c r="M957" s="71" t="n"/>
      <c r="N957" s="71" t="n"/>
      <c r="O957" s="71" t="n"/>
      <c r="P957" s="71" t="n"/>
      <c r="Q957" s="71" t="n"/>
      <c r="R957" s="71" t="n"/>
      <c r="S957" s="71" t="n"/>
      <c r="T957" s="71" t="n"/>
      <c r="U957" s="71" t="n"/>
      <c r="V957" s="71" t="n"/>
      <c r="W957" s="71" t="n"/>
      <c r="X957" s="71" t="n"/>
      <c r="Y957" s="71" t="n"/>
      <c r="Z957" s="71" t="n"/>
    </row>
    <row r="958" ht="15.75" customHeight="1">
      <c r="A958" s="71" t="n"/>
      <c r="B958" s="71" t="n"/>
      <c r="C958" s="71" t="n"/>
      <c r="D958" s="71" t="n"/>
      <c r="E958" s="71" t="n"/>
      <c r="F958" s="71" t="n"/>
      <c r="G958" s="71" t="n"/>
      <c r="H958" s="71" t="n"/>
      <c r="I958" s="71" t="n"/>
      <c r="J958" s="71" t="n"/>
      <c r="K958" s="71" t="n"/>
      <c r="L958" s="71" t="n"/>
      <c r="M958" s="71" t="n"/>
      <c r="N958" s="71" t="n"/>
      <c r="O958" s="71" t="n"/>
      <c r="P958" s="71" t="n"/>
      <c r="Q958" s="71" t="n"/>
      <c r="R958" s="71" t="n"/>
      <c r="S958" s="71" t="n"/>
      <c r="T958" s="71" t="n"/>
      <c r="U958" s="71" t="n"/>
      <c r="V958" s="71" t="n"/>
      <c r="W958" s="71" t="n"/>
      <c r="X958" s="71" t="n"/>
      <c r="Y958" s="71" t="n"/>
      <c r="Z958" s="71" t="n"/>
    </row>
    <row r="959" ht="15.75" customHeight="1">
      <c r="A959" s="71" t="n"/>
      <c r="B959" s="71" t="n"/>
      <c r="C959" s="71" t="n"/>
      <c r="D959" s="71" t="n"/>
      <c r="E959" s="71" t="n"/>
      <c r="F959" s="71" t="n"/>
      <c r="G959" s="71" t="n"/>
      <c r="H959" s="71" t="n"/>
      <c r="I959" s="71" t="n"/>
      <c r="J959" s="71" t="n"/>
      <c r="K959" s="71" t="n"/>
      <c r="L959" s="71" t="n"/>
      <c r="M959" s="71" t="n"/>
      <c r="N959" s="71" t="n"/>
      <c r="O959" s="71" t="n"/>
      <c r="P959" s="71" t="n"/>
      <c r="Q959" s="71" t="n"/>
      <c r="R959" s="71" t="n"/>
      <c r="S959" s="71" t="n"/>
      <c r="T959" s="71" t="n"/>
      <c r="U959" s="71" t="n"/>
      <c r="V959" s="71" t="n"/>
      <c r="W959" s="71" t="n"/>
      <c r="X959" s="71" t="n"/>
      <c r="Y959" s="71" t="n"/>
      <c r="Z959" s="71" t="n"/>
    </row>
    <row r="960" ht="15.75" customHeight="1">
      <c r="A960" s="71" t="n"/>
      <c r="B960" s="71" t="n"/>
      <c r="C960" s="71" t="n"/>
      <c r="D960" s="71" t="n"/>
      <c r="E960" s="71" t="n"/>
      <c r="F960" s="71" t="n"/>
      <c r="G960" s="71" t="n"/>
      <c r="H960" s="71" t="n"/>
      <c r="I960" s="71" t="n"/>
      <c r="J960" s="71" t="n"/>
      <c r="K960" s="71" t="n"/>
      <c r="L960" s="71" t="n"/>
      <c r="M960" s="71" t="n"/>
      <c r="N960" s="71" t="n"/>
      <c r="O960" s="71" t="n"/>
      <c r="P960" s="71" t="n"/>
      <c r="Q960" s="71" t="n"/>
      <c r="R960" s="71" t="n"/>
      <c r="S960" s="71" t="n"/>
      <c r="T960" s="71" t="n"/>
      <c r="U960" s="71" t="n"/>
      <c r="V960" s="71" t="n"/>
      <c r="W960" s="71" t="n"/>
      <c r="X960" s="71" t="n"/>
      <c r="Y960" s="71" t="n"/>
      <c r="Z960" s="71" t="n"/>
    </row>
    <row r="961" ht="15.75" customHeight="1">
      <c r="A961" s="71" t="n"/>
      <c r="B961" s="71" t="n"/>
      <c r="C961" s="71" t="n"/>
      <c r="D961" s="71" t="n"/>
      <c r="E961" s="71" t="n"/>
      <c r="F961" s="71" t="n"/>
      <c r="G961" s="71" t="n"/>
      <c r="H961" s="71" t="n"/>
      <c r="I961" s="71" t="n"/>
      <c r="J961" s="71" t="n"/>
      <c r="K961" s="71" t="n"/>
      <c r="L961" s="71" t="n"/>
      <c r="M961" s="71" t="n"/>
      <c r="N961" s="71" t="n"/>
      <c r="O961" s="71" t="n"/>
      <c r="P961" s="71" t="n"/>
      <c r="Q961" s="71" t="n"/>
      <c r="R961" s="71" t="n"/>
      <c r="S961" s="71" t="n"/>
      <c r="T961" s="71" t="n"/>
      <c r="U961" s="71" t="n"/>
      <c r="V961" s="71" t="n"/>
      <c r="W961" s="71" t="n"/>
      <c r="X961" s="71" t="n"/>
      <c r="Y961" s="71" t="n"/>
      <c r="Z961" s="71" t="n"/>
    </row>
    <row r="962" ht="15.75" customHeight="1">
      <c r="A962" s="71" t="n"/>
      <c r="B962" s="71" t="n"/>
      <c r="C962" s="71" t="n"/>
      <c r="D962" s="71" t="n"/>
      <c r="E962" s="71" t="n"/>
      <c r="F962" s="71" t="n"/>
      <c r="G962" s="71" t="n"/>
      <c r="H962" s="71" t="n"/>
      <c r="I962" s="71" t="n"/>
      <c r="J962" s="71" t="n"/>
      <c r="K962" s="71" t="n"/>
      <c r="L962" s="71" t="n"/>
      <c r="M962" s="71" t="n"/>
      <c r="N962" s="71" t="n"/>
      <c r="O962" s="71" t="n"/>
      <c r="P962" s="71" t="n"/>
      <c r="Q962" s="71" t="n"/>
      <c r="R962" s="71" t="n"/>
      <c r="S962" s="71" t="n"/>
      <c r="T962" s="71" t="n"/>
      <c r="U962" s="71" t="n"/>
      <c r="V962" s="71" t="n"/>
      <c r="W962" s="71" t="n"/>
      <c r="X962" s="71" t="n"/>
      <c r="Y962" s="71" t="n"/>
      <c r="Z962" s="71" t="n"/>
    </row>
    <row r="963" ht="15.75" customHeight="1">
      <c r="A963" s="71" t="n"/>
      <c r="B963" s="71" t="n"/>
      <c r="C963" s="71" t="n"/>
      <c r="D963" s="71" t="n"/>
      <c r="E963" s="71" t="n"/>
      <c r="F963" s="71" t="n"/>
      <c r="G963" s="71" t="n"/>
      <c r="H963" s="71" t="n"/>
      <c r="I963" s="71" t="n"/>
      <c r="J963" s="71" t="n"/>
      <c r="K963" s="71" t="n"/>
      <c r="L963" s="71" t="n"/>
      <c r="M963" s="71" t="n"/>
      <c r="N963" s="71" t="n"/>
      <c r="O963" s="71" t="n"/>
      <c r="P963" s="71" t="n"/>
      <c r="Q963" s="71" t="n"/>
      <c r="R963" s="71" t="n"/>
      <c r="S963" s="71" t="n"/>
      <c r="T963" s="71" t="n"/>
      <c r="U963" s="71" t="n"/>
      <c r="V963" s="71" t="n"/>
      <c r="W963" s="71" t="n"/>
      <c r="X963" s="71" t="n"/>
      <c r="Y963" s="71" t="n"/>
      <c r="Z963" s="71" t="n"/>
    </row>
    <row r="964" ht="15.75" customHeight="1">
      <c r="A964" s="71" t="n"/>
      <c r="B964" s="71" t="n"/>
      <c r="C964" s="71" t="n"/>
      <c r="D964" s="71" t="n"/>
      <c r="E964" s="71" t="n"/>
      <c r="F964" s="71" t="n"/>
      <c r="G964" s="71" t="n"/>
      <c r="H964" s="71" t="n"/>
      <c r="I964" s="71" t="n"/>
      <c r="J964" s="71" t="n"/>
      <c r="K964" s="71" t="n"/>
      <c r="L964" s="71" t="n"/>
      <c r="M964" s="71" t="n"/>
      <c r="N964" s="71" t="n"/>
      <c r="O964" s="71" t="n"/>
      <c r="P964" s="71" t="n"/>
      <c r="Q964" s="71" t="n"/>
      <c r="R964" s="71" t="n"/>
      <c r="S964" s="71" t="n"/>
      <c r="T964" s="71" t="n"/>
      <c r="U964" s="71" t="n"/>
      <c r="V964" s="71" t="n"/>
      <c r="W964" s="71" t="n"/>
      <c r="X964" s="71" t="n"/>
      <c r="Y964" s="71" t="n"/>
      <c r="Z964" s="71" t="n"/>
    </row>
    <row r="965" ht="15.75" customHeight="1">
      <c r="A965" s="71" t="n"/>
      <c r="B965" s="71" t="n"/>
      <c r="C965" s="71" t="n"/>
      <c r="D965" s="71" t="n"/>
      <c r="E965" s="71" t="n"/>
      <c r="F965" s="71" t="n"/>
      <c r="G965" s="71" t="n"/>
      <c r="H965" s="71" t="n"/>
      <c r="I965" s="71" t="n"/>
      <c r="J965" s="71" t="n"/>
      <c r="K965" s="71" t="n"/>
      <c r="L965" s="71" t="n"/>
      <c r="M965" s="71" t="n"/>
      <c r="N965" s="71" t="n"/>
      <c r="O965" s="71" t="n"/>
      <c r="P965" s="71" t="n"/>
      <c r="Q965" s="71" t="n"/>
      <c r="R965" s="71" t="n"/>
      <c r="S965" s="71" t="n"/>
      <c r="T965" s="71" t="n"/>
      <c r="U965" s="71" t="n"/>
      <c r="V965" s="71" t="n"/>
      <c r="W965" s="71" t="n"/>
      <c r="X965" s="71" t="n"/>
      <c r="Y965" s="71" t="n"/>
      <c r="Z965" s="71" t="n"/>
    </row>
    <row r="966" ht="15.75" customHeight="1">
      <c r="A966" s="71" t="n"/>
      <c r="B966" s="71" t="n"/>
      <c r="C966" s="71" t="n"/>
      <c r="D966" s="71" t="n"/>
      <c r="E966" s="71" t="n"/>
      <c r="F966" s="71" t="n"/>
      <c r="G966" s="71" t="n"/>
      <c r="H966" s="71" t="n"/>
      <c r="I966" s="71" t="n"/>
      <c r="J966" s="71" t="n"/>
      <c r="K966" s="71" t="n"/>
      <c r="L966" s="71" t="n"/>
      <c r="M966" s="71" t="n"/>
      <c r="N966" s="71" t="n"/>
      <c r="O966" s="71" t="n"/>
      <c r="P966" s="71" t="n"/>
      <c r="Q966" s="71" t="n"/>
      <c r="R966" s="71" t="n"/>
      <c r="S966" s="71" t="n"/>
      <c r="T966" s="71" t="n"/>
      <c r="U966" s="71" t="n"/>
      <c r="V966" s="71" t="n"/>
      <c r="W966" s="71" t="n"/>
      <c r="X966" s="71" t="n"/>
      <c r="Y966" s="71" t="n"/>
      <c r="Z966" s="71" t="n"/>
    </row>
    <row r="967" ht="15.75" customHeight="1">
      <c r="A967" s="71" t="n"/>
      <c r="B967" s="71" t="n"/>
      <c r="C967" s="71" t="n"/>
      <c r="D967" s="71" t="n"/>
      <c r="E967" s="71" t="n"/>
      <c r="F967" s="71" t="n"/>
      <c r="G967" s="71" t="n"/>
      <c r="H967" s="71" t="n"/>
      <c r="I967" s="71" t="n"/>
      <c r="J967" s="71" t="n"/>
      <c r="K967" s="71" t="n"/>
      <c r="L967" s="71" t="n"/>
      <c r="M967" s="71" t="n"/>
      <c r="N967" s="71" t="n"/>
      <c r="O967" s="71" t="n"/>
      <c r="P967" s="71" t="n"/>
      <c r="Q967" s="71" t="n"/>
      <c r="R967" s="71" t="n"/>
      <c r="S967" s="71" t="n"/>
      <c r="T967" s="71" t="n"/>
      <c r="U967" s="71" t="n"/>
      <c r="V967" s="71" t="n"/>
      <c r="W967" s="71" t="n"/>
      <c r="X967" s="71" t="n"/>
      <c r="Y967" s="71" t="n"/>
      <c r="Z967" s="71" t="n"/>
    </row>
    <row r="968" ht="15.75" customHeight="1">
      <c r="A968" s="71" t="n"/>
      <c r="B968" s="71" t="n"/>
      <c r="C968" s="71" t="n"/>
      <c r="D968" s="71" t="n"/>
      <c r="E968" s="71" t="n"/>
      <c r="F968" s="71" t="n"/>
      <c r="G968" s="71" t="n"/>
      <c r="H968" s="71" t="n"/>
      <c r="I968" s="71" t="n"/>
      <c r="J968" s="71" t="n"/>
      <c r="K968" s="71" t="n"/>
      <c r="L968" s="71" t="n"/>
      <c r="M968" s="71" t="n"/>
      <c r="N968" s="71" t="n"/>
      <c r="O968" s="71" t="n"/>
      <c r="P968" s="71" t="n"/>
      <c r="Q968" s="71" t="n"/>
      <c r="R968" s="71" t="n"/>
      <c r="S968" s="71" t="n"/>
      <c r="T968" s="71" t="n"/>
      <c r="U968" s="71" t="n"/>
      <c r="V968" s="71" t="n"/>
      <c r="W968" s="71" t="n"/>
      <c r="X968" s="71" t="n"/>
      <c r="Y968" s="71" t="n"/>
      <c r="Z968" s="71" t="n"/>
    </row>
    <row r="969" ht="15.75" customHeight="1">
      <c r="A969" s="71" t="n"/>
      <c r="B969" s="71" t="n"/>
      <c r="C969" s="71" t="n"/>
      <c r="D969" s="71" t="n"/>
      <c r="E969" s="71" t="n"/>
      <c r="F969" s="71" t="n"/>
      <c r="G969" s="71" t="n"/>
      <c r="H969" s="71" t="n"/>
      <c r="I969" s="71" t="n"/>
      <c r="J969" s="71" t="n"/>
      <c r="K969" s="71" t="n"/>
      <c r="L969" s="71" t="n"/>
      <c r="M969" s="71" t="n"/>
      <c r="N969" s="71" t="n"/>
      <c r="O969" s="71" t="n"/>
      <c r="P969" s="71" t="n"/>
      <c r="Q969" s="71" t="n"/>
      <c r="R969" s="71" t="n"/>
      <c r="S969" s="71" t="n"/>
      <c r="T969" s="71" t="n"/>
      <c r="U969" s="71" t="n"/>
      <c r="V969" s="71" t="n"/>
      <c r="W969" s="71" t="n"/>
      <c r="X969" s="71" t="n"/>
      <c r="Y969" s="71" t="n"/>
      <c r="Z969" s="71" t="n"/>
    </row>
    <row r="970" ht="15.75" customHeight="1">
      <c r="A970" s="71" t="n"/>
      <c r="B970" s="71" t="n"/>
      <c r="C970" s="71" t="n"/>
      <c r="D970" s="71" t="n"/>
      <c r="E970" s="71" t="n"/>
      <c r="F970" s="71" t="n"/>
      <c r="G970" s="71" t="n"/>
      <c r="H970" s="71" t="n"/>
      <c r="I970" s="71" t="n"/>
      <c r="J970" s="71" t="n"/>
      <c r="K970" s="71" t="n"/>
      <c r="L970" s="71" t="n"/>
      <c r="M970" s="71" t="n"/>
      <c r="N970" s="71" t="n"/>
      <c r="O970" s="71" t="n"/>
      <c r="P970" s="71" t="n"/>
      <c r="Q970" s="71" t="n"/>
      <c r="R970" s="71" t="n"/>
      <c r="S970" s="71" t="n"/>
      <c r="T970" s="71" t="n"/>
      <c r="U970" s="71" t="n"/>
      <c r="V970" s="71" t="n"/>
      <c r="W970" s="71" t="n"/>
      <c r="X970" s="71" t="n"/>
      <c r="Y970" s="71" t="n"/>
      <c r="Z970" s="71" t="n"/>
    </row>
    <row r="971" ht="15.75" customHeight="1">
      <c r="A971" s="71" t="n"/>
      <c r="B971" s="71" t="n"/>
      <c r="C971" s="71" t="n"/>
      <c r="D971" s="71" t="n"/>
      <c r="E971" s="71" t="n"/>
      <c r="F971" s="71" t="n"/>
      <c r="G971" s="71" t="n"/>
      <c r="H971" s="71" t="n"/>
      <c r="I971" s="71" t="n"/>
      <c r="J971" s="71" t="n"/>
      <c r="K971" s="71" t="n"/>
      <c r="L971" s="71" t="n"/>
      <c r="M971" s="71" t="n"/>
      <c r="N971" s="71" t="n"/>
      <c r="O971" s="71" t="n"/>
      <c r="P971" s="71" t="n"/>
      <c r="Q971" s="71" t="n"/>
      <c r="R971" s="71" t="n"/>
      <c r="S971" s="71" t="n"/>
      <c r="T971" s="71" t="n"/>
      <c r="U971" s="71" t="n"/>
      <c r="V971" s="71" t="n"/>
      <c r="W971" s="71" t="n"/>
      <c r="X971" s="71" t="n"/>
      <c r="Y971" s="71" t="n"/>
      <c r="Z971" s="71" t="n"/>
    </row>
    <row r="972" ht="15.75" customHeight="1">
      <c r="A972" s="71" t="n"/>
      <c r="B972" s="71" t="n"/>
      <c r="C972" s="71" t="n"/>
      <c r="D972" s="71" t="n"/>
      <c r="E972" s="71" t="n"/>
      <c r="F972" s="71" t="n"/>
      <c r="G972" s="71" t="n"/>
      <c r="H972" s="71" t="n"/>
      <c r="I972" s="71" t="n"/>
      <c r="J972" s="71" t="n"/>
      <c r="K972" s="71" t="n"/>
      <c r="L972" s="71" t="n"/>
      <c r="M972" s="71" t="n"/>
      <c r="N972" s="71" t="n"/>
      <c r="O972" s="71" t="n"/>
      <c r="P972" s="71" t="n"/>
      <c r="Q972" s="71" t="n"/>
      <c r="R972" s="71" t="n"/>
      <c r="S972" s="71" t="n"/>
      <c r="T972" s="71" t="n"/>
      <c r="U972" s="71" t="n"/>
      <c r="V972" s="71" t="n"/>
      <c r="W972" s="71" t="n"/>
      <c r="X972" s="71" t="n"/>
      <c r="Y972" s="71" t="n"/>
      <c r="Z972" s="71" t="n"/>
    </row>
    <row r="973" ht="15.75" customHeight="1">
      <c r="A973" s="71" t="n"/>
      <c r="B973" s="71" t="n"/>
      <c r="C973" s="71" t="n"/>
      <c r="D973" s="71" t="n"/>
      <c r="E973" s="71" t="n"/>
      <c r="F973" s="71" t="n"/>
      <c r="G973" s="71" t="n"/>
      <c r="H973" s="71" t="n"/>
      <c r="I973" s="71" t="n"/>
      <c r="J973" s="71" t="n"/>
      <c r="K973" s="71" t="n"/>
      <c r="L973" s="71" t="n"/>
      <c r="M973" s="71" t="n"/>
      <c r="N973" s="71" t="n"/>
      <c r="O973" s="71" t="n"/>
      <c r="P973" s="71" t="n"/>
      <c r="Q973" s="71" t="n"/>
      <c r="R973" s="71" t="n"/>
      <c r="S973" s="71" t="n"/>
      <c r="T973" s="71" t="n"/>
      <c r="U973" s="71" t="n"/>
      <c r="V973" s="71" t="n"/>
      <c r="W973" s="71" t="n"/>
      <c r="X973" s="71" t="n"/>
      <c r="Y973" s="71" t="n"/>
      <c r="Z973" s="71" t="n"/>
    </row>
    <row r="974" ht="15.75" customHeight="1">
      <c r="A974" s="71" t="n"/>
      <c r="B974" s="71" t="n"/>
      <c r="C974" s="71" t="n"/>
      <c r="D974" s="71" t="n"/>
      <c r="E974" s="71" t="n"/>
      <c r="F974" s="71" t="n"/>
      <c r="G974" s="71" t="n"/>
      <c r="H974" s="71" t="n"/>
      <c r="I974" s="71" t="n"/>
      <c r="J974" s="71" t="n"/>
      <c r="K974" s="71" t="n"/>
      <c r="L974" s="71" t="n"/>
      <c r="M974" s="71" t="n"/>
      <c r="N974" s="71" t="n"/>
      <c r="O974" s="71" t="n"/>
      <c r="P974" s="71" t="n"/>
      <c r="Q974" s="71" t="n"/>
      <c r="R974" s="71" t="n"/>
      <c r="S974" s="71" t="n"/>
      <c r="T974" s="71" t="n"/>
      <c r="U974" s="71" t="n"/>
      <c r="V974" s="71" t="n"/>
      <c r="W974" s="71" t="n"/>
      <c r="X974" s="71" t="n"/>
      <c r="Y974" s="71" t="n"/>
      <c r="Z974" s="71" t="n"/>
    </row>
    <row r="975" ht="15.75" customHeight="1">
      <c r="A975" s="71" t="n"/>
      <c r="B975" s="71" t="n"/>
      <c r="C975" s="71" t="n"/>
      <c r="D975" s="71" t="n"/>
      <c r="E975" s="71" t="n"/>
      <c r="F975" s="71" t="n"/>
      <c r="G975" s="71" t="n"/>
      <c r="H975" s="71" t="n"/>
      <c r="I975" s="71" t="n"/>
      <c r="J975" s="71" t="n"/>
      <c r="K975" s="71" t="n"/>
      <c r="L975" s="71" t="n"/>
      <c r="M975" s="71" t="n"/>
      <c r="N975" s="71" t="n"/>
      <c r="O975" s="71" t="n"/>
      <c r="P975" s="71" t="n"/>
      <c r="Q975" s="71" t="n"/>
      <c r="R975" s="71" t="n"/>
      <c r="S975" s="71" t="n"/>
      <c r="T975" s="71" t="n"/>
      <c r="U975" s="71" t="n"/>
      <c r="V975" s="71" t="n"/>
      <c r="W975" s="71" t="n"/>
      <c r="X975" s="71" t="n"/>
      <c r="Y975" s="71" t="n"/>
      <c r="Z975" s="71" t="n"/>
    </row>
    <row r="976" ht="15.75" customHeight="1">
      <c r="A976" s="71" t="n"/>
      <c r="B976" s="71" t="n"/>
      <c r="C976" s="71" t="n"/>
      <c r="D976" s="71" t="n"/>
      <c r="E976" s="71" t="n"/>
      <c r="F976" s="71" t="n"/>
      <c r="G976" s="71" t="n"/>
      <c r="H976" s="71" t="n"/>
      <c r="I976" s="71" t="n"/>
      <c r="J976" s="71" t="n"/>
      <c r="K976" s="71" t="n"/>
      <c r="L976" s="71" t="n"/>
      <c r="M976" s="71" t="n"/>
      <c r="N976" s="71" t="n"/>
      <c r="O976" s="71" t="n"/>
      <c r="P976" s="71" t="n"/>
      <c r="Q976" s="71" t="n"/>
      <c r="R976" s="71" t="n"/>
      <c r="S976" s="71" t="n"/>
      <c r="T976" s="71" t="n"/>
      <c r="U976" s="71" t="n"/>
      <c r="V976" s="71" t="n"/>
      <c r="W976" s="71" t="n"/>
      <c r="X976" s="71" t="n"/>
      <c r="Y976" s="71" t="n"/>
      <c r="Z976" s="71" t="n"/>
    </row>
    <row r="977" ht="15.75" customHeight="1">
      <c r="A977" s="71" t="n"/>
      <c r="B977" s="71" t="n"/>
      <c r="C977" s="71" t="n"/>
      <c r="D977" s="71" t="n"/>
      <c r="E977" s="71" t="n"/>
      <c r="F977" s="71" t="n"/>
      <c r="G977" s="71" t="n"/>
      <c r="H977" s="71" t="n"/>
      <c r="I977" s="71" t="n"/>
      <c r="J977" s="71" t="n"/>
      <c r="K977" s="71" t="n"/>
      <c r="L977" s="71" t="n"/>
      <c r="M977" s="71" t="n"/>
      <c r="N977" s="71" t="n"/>
      <c r="O977" s="71" t="n"/>
      <c r="P977" s="71" t="n"/>
      <c r="Q977" s="71" t="n"/>
      <c r="R977" s="71" t="n"/>
      <c r="S977" s="71" t="n"/>
      <c r="T977" s="71" t="n"/>
      <c r="U977" s="71" t="n"/>
      <c r="V977" s="71" t="n"/>
      <c r="W977" s="71" t="n"/>
      <c r="X977" s="71" t="n"/>
      <c r="Y977" s="71" t="n"/>
      <c r="Z977" s="71" t="n"/>
    </row>
    <row r="978" ht="15.75" customHeight="1">
      <c r="A978" s="71" t="n"/>
      <c r="B978" s="71" t="n"/>
      <c r="C978" s="71" t="n"/>
      <c r="D978" s="71" t="n"/>
      <c r="E978" s="71" t="n"/>
      <c r="F978" s="71" t="n"/>
      <c r="G978" s="71" t="n"/>
      <c r="H978" s="71" t="n"/>
      <c r="I978" s="71" t="n"/>
      <c r="J978" s="71" t="n"/>
      <c r="K978" s="71" t="n"/>
      <c r="L978" s="71" t="n"/>
      <c r="M978" s="71" t="n"/>
      <c r="N978" s="71" t="n"/>
      <c r="O978" s="71" t="n"/>
      <c r="P978" s="71" t="n"/>
      <c r="Q978" s="71" t="n"/>
      <c r="R978" s="71" t="n"/>
      <c r="S978" s="71" t="n"/>
      <c r="T978" s="71" t="n"/>
      <c r="U978" s="71" t="n"/>
      <c r="V978" s="71" t="n"/>
      <c r="W978" s="71" t="n"/>
      <c r="X978" s="71" t="n"/>
      <c r="Y978" s="71" t="n"/>
      <c r="Z978" s="71" t="n"/>
    </row>
    <row r="979" ht="15.75" customHeight="1">
      <c r="A979" s="71" t="n"/>
      <c r="B979" s="71" t="n"/>
      <c r="C979" s="71" t="n"/>
      <c r="D979" s="71" t="n"/>
      <c r="E979" s="71" t="n"/>
      <c r="F979" s="71" t="n"/>
      <c r="G979" s="71" t="n"/>
      <c r="H979" s="71" t="n"/>
      <c r="I979" s="71" t="n"/>
      <c r="J979" s="71" t="n"/>
      <c r="K979" s="71" t="n"/>
      <c r="L979" s="71" t="n"/>
      <c r="M979" s="71" t="n"/>
      <c r="N979" s="71" t="n"/>
      <c r="O979" s="71" t="n"/>
      <c r="P979" s="71" t="n"/>
      <c r="Q979" s="71" t="n"/>
      <c r="R979" s="71" t="n"/>
      <c r="S979" s="71" t="n"/>
      <c r="T979" s="71" t="n"/>
      <c r="U979" s="71" t="n"/>
      <c r="V979" s="71" t="n"/>
      <c r="W979" s="71" t="n"/>
      <c r="X979" s="71" t="n"/>
      <c r="Y979" s="71" t="n"/>
      <c r="Z979" s="71" t="n"/>
    </row>
    <row r="980" ht="15.75" customHeight="1">
      <c r="A980" s="71" t="n"/>
      <c r="B980" s="71" t="n"/>
      <c r="C980" s="71" t="n"/>
      <c r="D980" s="71" t="n"/>
      <c r="E980" s="71" t="n"/>
      <c r="F980" s="71" t="n"/>
      <c r="G980" s="71" t="n"/>
      <c r="H980" s="71" t="n"/>
      <c r="I980" s="71" t="n"/>
      <c r="J980" s="71" t="n"/>
      <c r="K980" s="71" t="n"/>
      <c r="L980" s="71" t="n"/>
      <c r="M980" s="71" t="n"/>
      <c r="N980" s="71" t="n"/>
      <c r="O980" s="71" t="n"/>
      <c r="P980" s="71" t="n"/>
      <c r="Q980" s="71" t="n"/>
      <c r="R980" s="71" t="n"/>
      <c r="S980" s="71" t="n"/>
      <c r="T980" s="71" t="n"/>
      <c r="U980" s="71" t="n"/>
      <c r="V980" s="71" t="n"/>
      <c r="W980" s="71" t="n"/>
      <c r="X980" s="71" t="n"/>
      <c r="Y980" s="71" t="n"/>
      <c r="Z980" s="71" t="n"/>
    </row>
    <row r="981" ht="15.75" customHeight="1">
      <c r="A981" s="71" t="n"/>
      <c r="B981" s="71" t="n"/>
      <c r="C981" s="71" t="n"/>
      <c r="D981" s="71" t="n"/>
      <c r="E981" s="71" t="n"/>
      <c r="F981" s="71" t="n"/>
      <c r="G981" s="71" t="n"/>
      <c r="H981" s="71" t="n"/>
      <c r="I981" s="71" t="n"/>
      <c r="J981" s="71" t="n"/>
      <c r="K981" s="71" t="n"/>
      <c r="L981" s="71" t="n"/>
      <c r="M981" s="71" t="n"/>
      <c r="N981" s="71" t="n"/>
      <c r="O981" s="71" t="n"/>
      <c r="P981" s="71" t="n"/>
      <c r="Q981" s="71" t="n"/>
      <c r="R981" s="71" t="n"/>
      <c r="S981" s="71" t="n"/>
      <c r="T981" s="71" t="n"/>
      <c r="U981" s="71" t="n"/>
      <c r="V981" s="71" t="n"/>
      <c r="W981" s="71" t="n"/>
      <c r="X981" s="71" t="n"/>
      <c r="Y981" s="71" t="n"/>
      <c r="Z981" s="71" t="n"/>
    </row>
    <row r="982" ht="15.75" customHeight="1">
      <c r="A982" s="71" t="n"/>
      <c r="B982" s="71" t="n"/>
      <c r="C982" s="71" t="n"/>
      <c r="D982" s="71" t="n"/>
      <c r="E982" s="71" t="n"/>
      <c r="F982" s="71" t="n"/>
      <c r="G982" s="71" t="n"/>
      <c r="H982" s="71" t="n"/>
      <c r="I982" s="71" t="n"/>
      <c r="J982" s="71" t="n"/>
      <c r="K982" s="71" t="n"/>
      <c r="L982" s="71" t="n"/>
      <c r="M982" s="71" t="n"/>
      <c r="N982" s="71" t="n"/>
      <c r="O982" s="71" t="n"/>
      <c r="P982" s="71" t="n"/>
      <c r="Q982" s="71" t="n"/>
      <c r="R982" s="71" t="n"/>
      <c r="S982" s="71" t="n"/>
      <c r="T982" s="71" t="n"/>
      <c r="U982" s="71" t="n"/>
      <c r="V982" s="71" t="n"/>
      <c r="W982" s="71" t="n"/>
      <c r="X982" s="71" t="n"/>
      <c r="Y982" s="71" t="n"/>
      <c r="Z982" s="71" t="n"/>
    </row>
    <row r="983" ht="15.75" customHeight="1">
      <c r="A983" s="71" t="n"/>
      <c r="B983" s="71" t="n"/>
      <c r="C983" s="71" t="n"/>
      <c r="D983" s="71" t="n"/>
      <c r="E983" s="71" t="n"/>
      <c r="F983" s="71" t="n"/>
      <c r="G983" s="71" t="n"/>
      <c r="H983" s="71" t="n"/>
      <c r="I983" s="71" t="n"/>
      <c r="J983" s="71" t="n"/>
      <c r="K983" s="71" t="n"/>
      <c r="L983" s="71" t="n"/>
      <c r="M983" s="71" t="n"/>
      <c r="N983" s="71" t="n"/>
      <c r="O983" s="71" t="n"/>
      <c r="P983" s="71" t="n"/>
      <c r="Q983" s="71" t="n"/>
      <c r="R983" s="71" t="n"/>
      <c r="S983" s="71" t="n"/>
      <c r="T983" s="71" t="n"/>
      <c r="U983" s="71" t="n"/>
      <c r="V983" s="71" t="n"/>
      <c r="W983" s="71" t="n"/>
      <c r="X983" s="71" t="n"/>
      <c r="Y983" s="71" t="n"/>
      <c r="Z983" s="71" t="n"/>
    </row>
    <row r="984" ht="15.75" customHeight="1">
      <c r="A984" s="71" t="n"/>
      <c r="B984" s="71" t="n"/>
      <c r="C984" s="71" t="n"/>
      <c r="D984" s="71" t="n"/>
      <c r="E984" s="71" t="n"/>
      <c r="F984" s="71" t="n"/>
      <c r="G984" s="71" t="n"/>
      <c r="H984" s="71" t="n"/>
      <c r="I984" s="71" t="n"/>
      <c r="J984" s="71" t="n"/>
      <c r="K984" s="71" t="n"/>
      <c r="L984" s="71" t="n"/>
      <c r="M984" s="71" t="n"/>
      <c r="N984" s="71" t="n"/>
      <c r="O984" s="71" t="n"/>
      <c r="P984" s="71" t="n"/>
      <c r="Q984" s="71" t="n"/>
      <c r="R984" s="71" t="n"/>
      <c r="S984" s="71" t="n"/>
      <c r="T984" s="71" t="n"/>
      <c r="U984" s="71" t="n"/>
      <c r="V984" s="71" t="n"/>
      <c r="W984" s="71" t="n"/>
      <c r="X984" s="71" t="n"/>
      <c r="Y984" s="71" t="n"/>
      <c r="Z984" s="71" t="n"/>
    </row>
    <row r="985" ht="15.75" customHeight="1">
      <c r="A985" s="71" t="n"/>
      <c r="B985" s="71" t="n"/>
      <c r="C985" s="71" t="n"/>
      <c r="D985" s="71" t="n"/>
      <c r="E985" s="71" t="n"/>
      <c r="F985" s="71" t="n"/>
      <c r="G985" s="71" t="n"/>
      <c r="H985" s="71" t="n"/>
      <c r="I985" s="71" t="n"/>
      <c r="J985" s="71" t="n"/>
      <c r="K985" s="71" t="n"/>
      <c r="L985" s="71" t="n"/>
      <c r="M985" s="71" t="n"/>
      <c r="N985" s="71" t="n"/>
      <c r="O985" s="71" t="n"/>
      <c r="P985" s="71" t="n"/>
      <c r="Q985" s="71" t="n"/>
      <c r="R985" s="71" t="n"/>
      <c r="S985" s="71" t="n"/>
      <c r="T985" s="71" t="n"/>
      <c r="U985" s="71" t="n"/>
      <c r="V985" s="71" t="n"/>
      <c r="W985" s="71" t="n"/>
      <c r="X985" s="71" t="n"/>
      <c r="Y985" s="71" t="n"/>
      <c r="Z985" s="71" t="n"/>
    </row>
    <row r="986" ht="15.75" customHeight="1">
      <c r="A986" s="71" t="n"/>
      <c r="B986" s="71" t="n"/>
      <c r="C986" s="71" t="n"/>
      <c r="D986" s="71" t="n"/>
      <c r="E986" s="71" t="n"/>
      <c r="F986" s="71" t="n"/>
      <c r="G986" s="71" t="n"/>
      <c r="H986" s="71" t="n"/>
      <c r="I986" s="71" t="n"/>
      <c r="J986" s="71" t="n"/>
      <c r="K986" s="71" t="n"/>
      <c r="L986" s="71" t="n"/>
      <c r="M986" s="71" t="n"/>
      <c r="N986" s="71" t="n"/>
      <c r="O986" s="71" t="n"/>
      <c r="P986" s="71" t="n"/>
      <c r="Q986" s="71" t="n"/>
      <c r="R986" s="71" t="n"/>
      <c r="S986" s="71" t="n"/>
      <c r="T986" s="71" t="n"/>
      <c r="U986" s="71" t="n"/>
      <c r="V986" s="71" t="n"/>
      <c r="W986" s="71" t="n"/>
      <c r="X986" s="71" t="n"/>
      <c r="Y986" s="71" t="n"/>
      <c r="Z986" s="71" t="n"/>
    </row>
    <row r="987" ht="15.75" customHeight="1">
      <c r="A987" s="71" t="n"/>
      <c r="B987" s="71" t="n"/>
      <c r="C987" s="71" t="n"/>
      <c r="D987" s="71" t="n"/>
      <c r="E987" s="71" t="n"/>
      <c r="F987" s="71" t="n"/>
      <c r="G987" s="71" t="n"/>
      <c r="H987" s="71" t="n"/>
      <c r="I987" s="71" t="n"/>
      <c r="J987" s="71" t="n"/>
      <c r="K987" s="71" t="n"/>
      <c r="L987" s="71" t="n"/>
      <c r="M987" s="71" t="n"/>
      <c r="N987" s="71" t="n"/>
      <c r="O987" s="71" t="n"/>
      <c r="P987" s="71" t="n"/>
      <c r="Q987" s="71" t="n"/>
      <c r="R987" s="71" t="n"/>
      <c r="S987" s="71" t="n"/>
      <c r="T987" s="71" t="n"/>
      <c r="U987" s="71" t="n"/>
      <c r="V987" s="71" t="n"/>
      <c r="W987" s="71" t="n"/>
      <c r="X987" s="71" t="n"/>
      <c r="Y987" s="71" t="n"/>
      <c r="Z987" s="71" t="n"/>
    </row>
    <row r="988" ht="15.75" customHeight="1">
      <c r="A988" s="71" t="n"/>
      <c r="B988" s="71" t="n"/>
      <c r="C988" s="71" t="n"/>
      <c r="D988" s="71" t="n"/>
      <c r="E988" s="71" t="n"/>
      <c r="F988" s="71" t="n"/>
      <c r="G988" s="71" t="n"/>
      <c r="H988" s="71" t="n"/>
      <c r="I988" s="71" t="n"/>
      <c r="J988" s="71" t="n"/>
      <c r="K988" s="71" t="n"/>
      <c r="L988" s="71" t="n"/>
      <c r="M988" s="71" t="n"/>
      <c r="N988" s="71" t="n"/>
      <c r="O988" s="71" t="n"/>
      <c r="P988" s="71" t="n"/>
      <c r="Q988" s="71" t="n"/>
      <c r="R988" s="71" t="n"/>
      <c r="S988" s="71" t="n"/>
      <c r="T988" s="71" t="n"/>
      <c r="U988" s="71" t="n"/>
      <c r="V988" s="71" t="n"/>
      <c r="W988" s="71" t="n"/>
      <c r="X988" s="71" t="n"/>
      <c r="Y988" s="71" t="n"/>
      <c r="Z988" s="71" t="n"/>
    </row>
    <row r="989" ht="15.75" customHeight="1">
      <c r="A989" s="71" t="n"/>
      <c r="B989" s="71" t="n"/>
      <c r="C989" s="71" t="n"/>
      <c r="D989" s="71" t="n"/>
      <c r="E989" s="71" t="n"/>
      <c r="F989" s="71" t="n"/>
      <c r="G989" s="71" t="n"/>
      <c r="H989" s="71" t="n"/>
      <c r="I989" s="71" t="n"/>
      <c r="J989" s="71" t="n"/>
      <c r="K989" s="71" t="n"/>
      <c r="L989" s="71" t="n"/>
      <c r="M989" s="71" t="n"/>
      <c r="N989" s="71" t="n"/>
      <c r="O989" s="71" t="n"/>
      <c r="P989" s="71" t="n"/>
      <c r="Q989" s="71" t="n"/>
      <c r="R989" s="71" t="n"/>
      <c r="S989" s="71" t="n"/>
      <c r="T989" s="71" t="n"/>
      <c r="U989" s="71" t="n"/>
      <c r="V989" s="71" t="n"/>
      <c r="W989" s="71" t="n"/>
      <c r="X989" s="71" t="n"/>
      <c r="Y989" s="71" t="n"/>
      <c r="Z989" s="71" t="n"/>
    </row>
    <row r="990" ht="15.75" customHeight="1">
      <c r="A990" s="71" t="n"/>
      <c r="B990" s="71" t="n"/>
      <c r="C990" s="71" t="n"/>
      <c r="D990" s="71" t="n"/>
      <c r="E990" s="71" t="n"/>
      <c r="F990" s="71" t="n"/>
      <c r="G990" s="71" t="n"/>
      <c r="H990" s="71" t="n"/>
      <c r="I990" s="71" t="n"/>
      <c r="J990" s="71" t="n"/>
      <c r="K990" s="71" t="n"/>
      <c r="L990" s="71" t="n"/>
      <c r="M990" s="71" t="n"/>
      <c r="N990" s="71" t="n"/>
      <c r="O990" s="71" t="n"/>
      <c r="P990" s="71" t="n"/>
      <c r="Q990" s="71" t="n"/>
      <c r="R990" s="71" t="n"/>
      <c r="S990" s="71" t="n"/>
      <c r="T990" s="71" t="n"/>
      <c r="U990" s="71" t="n"/>
      <c r="V990" s="71" t="n"/>
      <c r="W990" s="71" t="n"/>
      <c r="X990" s="71" t="n"/>
      <c r="Y990" s="71" t="n"/>
      <c r="Z990" s="71" t="n"/>
    </row>
    <row r="991" ht="15.75" customHeight="1">
      <c r="A991" s="71" t="n"/>
      <c r="B991" s="71" t="n"/>
      <c r="C991" s="71" t="n"/>
      <c r="D991" s="71" t="n"/>
      <c r="E991" s="71" t="n"/>
      <c r="F991" s="71" t="n"/>
      <c r="G991" s="71" t="n"/>
      <c r="H991" s="71" t="n"/>
      <c r="I991" s="71" t="n"/>
      <c r="J991" s="71" t="n"/>
      <c r="K991" s="71" t="n"/>
      <c r="L991" s="71" t="n"/>
      <c r="M991" s="71" t="n"/>
      <c r="N991" s="71" t="n"/>
      <c r="O991" s="71" t="n"/>
      <c r="P991" s="71" t="n"/>
      <c r="Q991" s="71" t="n"/>
      <c r="R991" s="71" t="n"/>
      <c r="S991" s="71" t="n"/>
      <c r="T991" s="71" t="n"/>
      <c r="U991" s="71" t="n"/>
      <c r="V991" s="71" t="n"/>
      <c r="W991" s="71" t="n"/>
      <c r="X991" s="71" t="n"/>
      <c r="Y991" s="71" t="n"/>
      <c r="Z991" s="71" t="n"/>
    </row>
    <row r="992" ht="15.75" customHeight="1">
      <c r="A992" s="71" t="n"/>
      <c r="B992" s="71" t="n"/>
      <c r="C992" s="71" t="n"/>
      <c r="D992" s="71" t="n"/>
      <c r="E992" s="71" t="n"/>
      <c r="F992" s="71" t="n"/>
      <c r="G992" s="71" t="n"/>
      <c r="H992" s="71" t="n"/>
      <c r="I992" s="71" t="n"/>
      <c r="J992" s="71" t="n"/>
      <c r="K992" s="71" t="n"/>
      <c r="L992" s="71" t="n"/>
      <c r="M992" s="71" t="n"/>
      <c r="N992" s="71" t="n"/>
      <c r="O992" s="71" t="n"/>
      <c r="P992" s="71" t="n"/>
      <c r="Q992" s="71" t="n"/>
      <c r="R992" s="71" t="n"/>
      <c r="S992" s="71" t="n"/>
      <c r="T992" s="71" t="n"/>
      <c r="U992" s="71" t="n"/>
      <c r="V992" s="71" t="n"/>
      <c r="W992" s="71" t="n"/>
      <c r="X992" s="71" t="n"/>
      <c r="Y992" s="71" t="n"/>
      <c r="Z992" s="71" t="n"/>
    </row>
    <row r="993" ht="15.75" customHeight="1">
      <c r="A993" s="71" t="n"/>
      <c r="B993" s="71" t="n"/>
      <c r="C993" s="71" t="n"/>
      <c r="D993" s="71" t="n"/>
      <c r="E993" s="71" t="n"/>
      <c r="F993" s="71" t="n"/>
      <c r="G993" s="71" t="n"/>
      <c r="H993" s="71" t="n"/>
      <c r="I993" s="71" t="n"/>
      <c r="J993" s="71" t="n"/>
      <c r="K993" s="71" t="n"/>
      <c r="L993" s="71" t="n"/>
      <c r="M993" s="71" t="n"/>
      <c r="N993" s="71" t="n"/>
      <c r="O993" s="71" t="n"/>
      <c r="P993" s="71" t="n"/>
      <c r="Q993" s="71" t="n"/>
      <c r="R993" s="71" t="n"/>
      <c r="S993" s="71" t="n"/>
      <c r="T993" s="71" t="n"/>
      <c r="U993" s="71" t="n"/>
      <c r="V993" s="71" t="n"/>
      <c r="W993" s="71" t="n"/>
      <c r="X993" s="71" t="n"/>
      <c r="Y993" s="71" t="n"/>
      <c r="Z993" s="71" t="n"/>
    </row>
    <row r="994" ht="15.75" customHeight="1">
      <c r="A994" s="71" t="n"/>
      <c r="B994" s="71" t="n"/>
      <c r="C994" s="71" t="n"/>
      <c r="D994" s="71" t="n"/>
      <c r="E994" s="71" t="n"/>
      <c r="F994" s="71" t="n"/>
      <c r="G994" s="71" t="n"/>
      <c r="H994" s="71" t="n"/>
      <c r="I994" s="71" t="n"/>
      <c r="J994" s="71" t="n"/>
      <c r="K994" s="71" t="n"/>
      <c r="L994" s="71" t="n"/>
      <c r="M994" s="71" t="n"/>
      <c r="N994" s="71" t="n"/>
      <c r="O994" s="71" t="n"/>
      <c r="P994" s="71" t="n"/>
      <c r="Q994" s="71" t="n"/>
      <c r="R994" s="71" t="n"/>
      <c r="S994" s="71" t="n"/>
      <c r="T994" s="71" t="n"/>
      <c r="U994" s="71" t="n"/>
      <c r="V994" s="71" t="n"/>
      <c r="W994" s="71" t="n"/>
      <c r="X994" s="71" t="n"/>
      <c r="Y994" s="71" t="n"/>
      <c r="Z994" s="71" t="n"/>
    </row>
    <row r="995" ht="15.75" customHeight="1">
      <c r="A995" s="71" t="n"/>
      <c r="B995" s="71" t="n"/>
      <c r="C995" s="71" t="n"/>
      <c r="D995" s="71" t="n"/>
      <c r="E995" s="71" t="n"/>
      <c r="F995" s="71" t="n"/>
      <c r="G995" s="71" t="n"/>
      <c r="H995" s="71" t="n"/>
      <c r="I995" s="71" t="n"/>
      <c r="J995" s="71" t="n"/>
      <c r="K995" s="71" t="n"/>
      <c r="L995" s="71" t="n"/>
      <c r="M995" s="71" t="n"/>
      <c r="N995" s="71" t="n"/>
      <c r="O995" s="71" t="n"/>
      <c r="P995" s="71" t="n"/>
      <c r="Q995" s="71" t="n"/>
      <c r="R995" s="71" t="n"/>
      <c r="S995" s="71" t="n"/>
      <c r="T995" s="71" t="n"/>
      <c r="U995" s="71" t="n"/>
      <c r="V995" s="71" t="n"/>
      <c r="W995" s="71" t="n"/>
      <c r="X995" s="71" t="n"/>
      <c r="Y995" s="71" t="n"/>
      <c r="Z995" s="71" t="n"/>
    </row>
    <row r="996" ht="15.75" customHeight="1">
      <c r="A996" s="71" t="n"/>
      <c r="B996" s="71" t="n"/>
      <c r="C996" s="71" t="n"/>
      <c r="D996" s="71" t="n"/>
      <c r="E996" s="71" t="n"/>
      <c r="F996" s="71" t="n"/>
      <c r="G996" s="71" t="n"/>
      <c r="H996" s="71" t="n"/>
      <c r="I996" s="71" t="n"/>
      <c r="J996" s="71" t="n"/>
      <c r="K996" s="71" t="n"/>
      <c r="L996" s="71" t="n"/>
      <c r="M996" s="71" t="n"/>
      <c r="N996" s="71" t="n"/>
      <c r="O996" s="71" t="n"/>
      <c r="P996" s="71" t="n"/>
      <c r="Q996" s="71" t="n"/>
      <c r="R996" s="71" t="n"/>
      <c r="S996" s="71" t="n"/>
      <c r="T996" s="71" t="n"/>
      <c r="U996" s="71" t="n"/>
      <c r="V996" s="71" t="n"/>
      <c r="W996" s="71" t="n"/>
      <c r="X996" s="71" t="n"/>
      <c r="Y996" s="71" t="n"/>
      <c r="Z996" s="71" t="n"/>
    </row>
    <row r="997" ht="15.75" customHeight="1">
      <c r="A997" s="71" t="n"/>
      <c r="B997" s="71" t="n"/>
      <c r="C997" s="71" t="n"/>
      <c r="D997" s="71" t="n"/>
      <c r="E997" s="71" t="n"/>
      <c r="F997" s="71" t="n"/>
      <c r="G997" s="71" t="n"/>
      <c r="H997" s="71" t="n"/>
      <c r="I997" s="71" t="n"/>
      <c r="J997" s="71" t="n"/>
      <c r="K997" s="71" t="n"/>
      <c r="L997" s="71" t="n"/>
      <c r="M997" s="71" t="n"/>
      <c r="N997" s="71" t="n"/>
      <c r="O997" s="71" t="n"/>
      <c r="P997" s="71" t="n"/>
      <c r="Q997" s="71" t="n"/>
      <c r="R997" s="71" t="n"/>
      <c r="S997" s="71" t="n"/>
      <c r="T997" s="71" t="n"/>
      <c r="U997" s="71" t="n"/>
      <c r="V997" s="71" t="n"/>
      <c r="W997" s="71" t="n"/>
      <c r="X997" s="71" t="n"/>
      <c r="Y997" s="71" t="n"/>
      <c r="Z997" s="71" t="n"/>
    </row>
    <row r="998" ht="15.75" customHeight="1">
      <c r="A998" s="71" t="n"/>
      <c r="B998" s="71" t="n"/>
      <c r="C998" s="71" t="n"/>
      <c r="D998" s="71" t="n"/>
      <c r="E998" s="71" t="n"/>
      <c r="F998" s="71" t="n"/>
      <c r="G998" s="71" t="n"/>
      <c r="H998" s="71" t="n"/>
      <c r="I998" s="71" t="n"/>
      <c r="J998" s="71" t="n"/>
      <c r="K998" s="71" t="n"/>
      <c r="L998" s="71" t="n"/>
      <c r="M998" s="71" t="n"/>
      <c r="N998" s="71" t="n"/>
      <c r="O998" s="71" t="n"/>
      <c r="P998" s="71" t="n"/>
      <c r="Q998" s="71" t="n"/>
      <c r="R998" s="71" t="n"/>
      <c r="S998" s="71" t="n"/>
      <c r="T998" s="71" t="n"/>
      <c r="U998" s="71" t="n"/>
      <c r="V998" s="71" t="n"/>
      <c r="W998" s="71" t="n"/>
      <c r="X998" s="71" t="n"/>
      <c r="Y998" s="71" t="n"/>
      <c r="Z998" s="71" t="n"/>
    </row>
    <row r="999" ht="15.75" customHeight="1">
      <c r="A999" s="71" t="n"/>
      <c r="B999" s="71" t="n"/>
      <c r="C999" s="71" t="n"/>
      <c r="D999" s="71" t="n"/>
      <c r="E999" s="71" t="n"/>
      <c r="F999" s="71" t="n"/>
      <c r="G999" s="71" t="n"/>
      <c r="H999" s="71" t="n"/>
      <c r="I999" s="71" t="n"/>
      <c r="J999" s="71" t="n"/>
      <c r="K999" s="71" t="n"/>
      <c r="L999" s="71" t="n"/>
      <c r="M999" s="71" t="n"/>
      <c r="N999" s="71" t="n"/>
      <c r="O999" s="71" t="n"/>
      <c r="P999" s="71" t="n"/>
      <c r="Q999" s="71" t="n"/>
      <c r="R999" s="71" t="n"/>
      <c r="S999" s="71" t="n"/>
      <c r="T999" s="71" t="n"/>
      <c r="U999" s="71" t="n"/>
      <c r="V999" s="71" t="n"/>
      <c r="W999" s="71" t="n"/>
      <c r="X999" s="71" t="n"/>
      <c r="Y999" s="71" t="n"/>
      <c r="Z999" s="71" t="n"/>
    </row>
    <row r="1000" ht="15.75" customHeight="1">
      <c r="A1000" s="71" t="n"/>
      <c r="B1000" s="71" t="n"/>
      <c r="C1000" s="71" t="n"/>
      <c r="D1000" s="71" t="n"/>
      <c r="E1000" s="71" t="n"/>
      <c r="F1000" s="71" t="n"/>
      <c r="G1000" s="71" t="n"/>
      <c r="H1000" s="71" t="n"/>
      <c r="I1000" s="71" t="n"/>
      <c r="J1000" s="71" t="n"/>
      <c r="K1000" s="71" t="n"/>
      <c r="L1000" s="71" t="n"/>
      <c r="M1000" s="71" t="n"/>
      <c r="N1000" s="71" t="n"/>
      <c r="O1000" s="71" t="n"/>
      <c r="P1000" s="71" t="n"/>
      <c r="Q1000" s="71" t="n"/>
      <c r="R1000" s="71" t="n"/>
      <c r="S1000" s="71" t="n"/>
      <c r="T1000" s="71" t="n"/>
      <c r="U1000" s="71" t="n"/>
      <c r="V1000" s="71" t="n"/>
      <c r="W1000" s="71" t="n"/>
      <c r="X1000" s="71" t="n"/>
      <c r="Y1000" s="71" t="n"/>
      <c r="Z1000" s="71" t="n"/>
    </row>
  </sheetData>
  <mergeCells count="7">
    <mergeCell ref="A35:E35"/>
    <mergeCell ref="B4:E4"/>
    <mergeCell ref="B23:D23"/>
    <mergeCell ref="B9:D9"/>
    <mergeCell ref="A1:E1"/>
    <mergeCell ref="B5:E5"/>
    <mergeCell ref="B7:D7"/>
  </mergeCells>
  <pageMargins left="0.75" right="0.75" top="1" bottom="1" header="0" footer="0"/>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tabColor rgb="FFD76DCC"/>
    <outlinePr summaryBelow="1" summaryRight="1"/>
    <pageSetUpPr/>
  </sheetPr>
  <dimension ref="A1:Z1000"/>
  <sheetViews>
    <sheetView zoomScale="100" zoomScaleNormal="100" workbookViewId="0">
      <selection activeCell="A1" sqref="A1"/>
    </sheetView>
  </sheetViews>
  <sheetFormatPr baseColWidth="8" defaultColWidth="12.6640625" defaultRowHeight="15" outlineLevelRow="0" outlineLevelCol="0"/>
  <cols>
    <col width="18.33203125" customWidth="1" min="1" max="1"/>
    <col width="13.6640625" customWidth="1" min="2" max="2"/>
    <col width="37" customWidth="1" min="3" max="3"/>
    <col width="12.83203125" customWidth="1" min="4" max="4"/>
    <col width="44" customWidth="1" min="5" max="5"/>
    <col width="22.5" customWidth="1" min="6" max="26"/>
  </cols>
  <sheetData>
    <row r="1">
      <c r="A1" s="86" t="inlineStr">
        <is>
          <t>MODELO</t>
        </is>
      </c>
      <c r="F1" s="87" t="n"/>
      <c r="G1" s="87" t="n"/>
      <c r="H1" s="87" t="n"/>
      <c r="I1" s="87" t="n"/>
      <c r="J1" s="87" t="n"/>
      <c r="K1" s="87" t="n"/>
      <c r="L1" s="87" t="n"/>
      <c r="M1" s="87" t="n"/>
      <c r="N1" s="87" t="n"/>
      <c r="O1" s="87" t="n"/>
      <c r="P1" s="87" t="n"/>
      <c r="Q1" s="87" t="n"/>
      <c r="R1" s="87" t="n"/>
      <c r="S1" s="87" t="n"/>
      <c r="T1" s="87" t="n"/>
      <c r="U1" s="87" t="n"/>
      <c r="V1" s="87" t="n"/>
      <c r="W1" s="87" t="n"/>
      <c r="X1" s="87" t="n"/>
      <c r="Y1" s="87" t="n"/>
      <c r="Z1" s="87" t="n"/>
    </row>
    <row r="2">
      <c r="A2" s="88" t="inlineStr">
        <is>
          <t>Inicio Crédito Syscap</t>
        </is>
      </c>
      <c r="B2" s="87" t="inlineStr">
        <is>
          <t>Dic-24</t>
        </is>
      </c>
      <c r="C2" s="89" t="inlineStr">
        <is>
          <t>Cuentas por cobrar, neto</t>
        </is>
      </c>
      <c r="D2" s="90" t="n">
        <v>0</v>
      </c>
      <c r="E2" s="87" t="n"/>
      <c r="F2" s="87" t="n"/>
      <c r="G2" s="87" t="n"/>
      <c r="H2" s="87" t="n"/>
      <c r="I2" s="87" t="n"/>
      <c r="J2" s="87" t="n"/>
      <c r="K2" s="87" t="n"/>
      <c r="L2" s="87" t="n"/>
      <c r="M2" s="87" t="n"/>
      <c r="N2" s="87" t="n"/>
      <c r="O2" s="87" t="n"/>
      <c r="P2" s="87" t="n"/>
      <c r="Q2" s="87" t="n"/>
      <c r="R2" s="87" t="n"/>
      <c r="S2" s="87" t="n"/>
      <c r="T2" s="87" t="n"/>
      <c r="U2" s="87" t="n"/>
      <c r="V2" s="87" t="n"/>
      <c r="W2" s="87" t="n"/>
      <c r="X2" s="87" t="n"/>
      <c r="Y2" s="87" t="n"/>
      <c r="Z2" s="87" t="n"/>
    </row>
    <row r="3">
      <c r="A3" s="88" t="inlineStr">
        <is>
          <t>Disp. Inicial</t>
        </is>
      </c>
      <c r="B3" s="91" t="n">
        <v>5000000</v>
      </c>
      <c r="C3" s="89" t="inlineStr">
        <is>
          <t>Pagos anticipados y otros activos, neto</t>
        </is>
      </c>
      <c r="D3" s="90" t="n">
        <v>1500000</v>
      </c>
      <c r="E3" s="87" t="n"/>
      <c r="F3" s="87" t="n"/>
      <c r="G3" s="87" t="n"/>
      <c r="H3" s="87" t="n"/>
      <c r="I3" s="87" t="n"/>
      <c r="J3" s="87" t="n"/>
      <c r="K3" s="87" t="n"/>
      <c r="L3" s="87" t="n"/>
      <c r="M3" s="87" t="n"/>
      <c r="N3" s="87" t="n"/>
      <c r="O3" s="87" t="n"/>
      <c r="P3" s="87" t="n"/>
      <c r="Q3" s="87" t="n"/>
      <c r="R3" s="87" t="n"/>
      <c r="S3" s="87" t="n"/>
      <c r="T3" s="87" t="n"/>
      <c r="U3" s="87" t="n"/>
      <c r="V3" s="87" t="n"/>
      <c r="W3" s="87" t="n"/>
      <c r="X3" s="87" t="n"/>
      <c r="Y3" s="87" t="n"/>
      <c r="Z3" s="87" t="n"/>
    </row>
    <row r="4">
      <c r="A4" s="88" t="inlineStr">
        <is>
          <t>Cobranza</t>
        </is>
      </c>
      <c r="B4" s="92" t="n">
        <v>0.9</v>
      </c>
      <c r="C4" s="89" t="inlineStr">
        <is>
          <t>Propiedades, mobiliario y equipo, neto</t>
        </is>
      </c>
      <c r="D4" s="90" t="n">
        <v>200000</v>
      </c>
      <c r="E4" s="87" t="n"/>
      <c r="F4" s="87" t="n"/>
      <c r="G4" s="87" t="n"/>
      <c r="H4" s="87" t="n"/>
      <c r="I4" s="87" t="n"/>
      <c r="J4" s="87" t="n"/>
      <c r="K4" s="87" t="n"/>
      <c r="L4" s="87" t="n"/>
      <c r="M4" s="87" t="n"/>
      <c r="N4" s="87" t="n"/>
      <c r="O4" s="87" t="n"/>
      <c r="P4" s="87" t="n"/>
      <c r="Q4" s="87" t="n"/>
      <c r="R4" s="87" t="n"/>
      <c r="S4" s="87" t="n"/>
      <c r="T4" s="87" t="n"/>
      <c r="U4" s="87" t="n"/>
      <c r="V4" s="87" t="n"/>
      <c r="W4" s="87" t="n"/>
      <c r="X4" s="87" t="n"/>
      <c r="Y4" s="87" t="n"/>
      <c r="Z4" s="87" t="n"/>
    </row>
    <row r="5">
      <c r="A5" s="88" t="inlineStr">
        <is>
          <t>Crecimiento Cartera</t>
        </is>
      </c>
      <c r="B5" s="93" t="n">
        <v>0.0075</v>
      </c>
      <c r="C5" s="94" t="inlineStr">
        <is>
          <t>CAPITALIZACIÓN</t>
        </is>
      </c>
      <c r="D5" s="95" t="n">
        <v>20000000</v>
      </c>
      <c r="E5" s="87" t="n"/>
      <c r="F5" s="87" t="n"/>
      <c r="G5" s="87" t="n"/>
      <c r="H5" s="87" t="n"/>
      <c r="I5" s="87" t="n"/>
      <c r="J5" s="87" t="n"/>
      <c r="K5" s="87" t="n"/>
      <c r="L5" s="87" t="n"/>
      <c r="M5" s="87" t="n"/>
      <c r="N5" s="87" t="n"/>
      <c r="O5" s="87" t="n"/>
      <c r="P5" s="87" t="n"/>
      <c r="Q5" s="87" t="n"/>
      <c r="R5" s="87" t="n"/>
      <c r="S5" s="87" t="n"/>
      <c r="T5" s="87" t="n"/>
      <c r="U5" s="87" t="n"/>
      <c r="V5" s="87" t="n"/>
      <c r="W5" s="87" t="n"/>
      <c r="X5" s="87" t="n"/>
      <c r="Y5" s="87" t="n"/>
      <c r="Z5" s="87" t="n"/>
    </row>
    <row r="6">
      <c r="A6" s="88" t="inlineStr">
        <is>
          <t>Crecimiento Gastos</t>
        </is>
      </c>
      <c r="B6" s="92" t="n">
        <v>0.06</v>
      </c>
      <c r="C6" s="88" t="inlineStr">
        <is>
          <t>Castigo Tasa Activa</t>
        </is>
      </c>
      <c r="D6" s="93" t="n">
        <v>0.015</v>
      </c>
      <c r="E6" s="87" t="n"/>
      <c r="F6" s="87" t="n"/>
      <c r="G6" s="87" t="n"/>
      <c r="H6" s="87" t="n"/>
      <c r="I6" s="87" t="n"/>
      <c r="J6" s="87" t="n"/>
      <c r="K6" s="87" t="n"/>
      <c r="L6" s="87" t="n"/>
      <c r="M6" s="87" t="n"/>
      <c r="N6" s="87" t="n"/>
      <c r="O6" s="87" t="n"/>
      <c r="P6" s="87" t="n"/>
      <c r="Q6" s="87" t="n"/>
      <c r="R6" s="87" t="n"/>
      <c r="S6" s="87" t="n"/>
      <c r="T6" s="87" t="n"/>
      <c r="U6" s="87" t="n"/>
      <c r="V6" s="87" t="n"/>
      <c r="W6" s="87" t="n"/>
      <c r="X6" s="87" t="n"/>
      <c r="Y6" s="87" t="n"/>
      <c r="Z6" s="87" t="n"/>
    </row>
    <row r="7">
      <c r="A7" s="87" t="n"/>
      <c r="B7" s="87" t="n"/>
      <c r="C7" s="87" t="n"/>
      <c r="D7" s="87" t="n"/>
      <c r="E7" s="87" t="n"/>
      <c r="F7" s="87" t="n"/>
      <c r="G7" s="87" t="n"/>
      <c r="H7" s="87" t="n"/>
      <c r="I7" s="87" t="n"/>
      <c r="J7" s="87" t="n"/>
      <c r="K7" s="87" t="n"/>
      <c r="L7" s="87" t="n"/>
      <c r="M7" s="87" t="n"/>
      <c r="N7" s="87" t="n"/>
      <c r="O7" s="87" t="n"/>
      <c r="P7" s="87" t="n"/>
      <c r="Q7" s="87" t="n"/>
      <c r="R7" s="87" t="n"/>
      <c r="S7" s="87" t="n"/>
      <c r="T7" s="87" t="n"/>
      <c r="U7" s="87" t="n"/>
      <c r="V7" s="87" t="n"/>
      <c r="W7" s="87" t="n"/>
      <c r="X7" s="87" t="n"/>
      <c r="Y7" s="87" t="n"/>
      <c r="Z7" s="87" t="n"/>
    </row>
    <row r="8">
      <c r="A8" s="86" t="inlineStr">
        <is>
          <t>CARTERA</t>
        </is>
      </c>
      <c r="F8" s="87" t="n"/>
      <c r="G8" s="87" t="n"/>
      <c r="H8" s="87" t="n"/>
      <c r="I8" s="87" t="n"/>
      <c r="J8" s="87" t="n"/>
      <c r="K8" s="87" t="n"/>
      <c r="L8" s="87" t="n"/>
      <c r="M8" s="87" t="n"/>
      <c r="N8" s="87" t="n"/>
      <c r="O8" s="87" t="n"/>
      <c r="P8" s="87" t="n"/>
      <c r="Q8" s="87" t="n"/>
      <c r="R8" s="87" t="n"/>
      <c r="S8" s="87" t="n"/>
      <c r="T8" s="87" t="n"/>
      <c r="U8" s="87" t="n"/>
      <c r="V8" s="87" t="n"/>
      <c r="W8" s="87" t="n"/>
      <c r="X8" s="87" t="n"/>
      <c r="Y8" s="87" t="n"/>
      <c r="Z8" s="87" t="n"/>
    </row>
    <row r="9">
      <c r="A9" s="88" t="inlineStr">
        <is>
          <t># de Registros</t>
        </is>
      </c>
      <c r="B9" s="87">
        <f>COUNT(#REF!)</f>
        <v/>
      </c>
      <c r="C9" s="88" t="inlineStr">
        <is>
          <t>Días de Atraso Vencimientos</t>
        </is>
      </c>
      <c r="D9" s="87" t="n">
        <v>90</v>
      </c>
      <c r="E9" s="87" t="n"/>
      <c r="F9" s="87" t="n"/>
      <c r="G9" s="87" t="n"/>
      <c r="H9" s="87" t="n"/>
      <c r="I9" s="87" t="n"/>
      <c r="J9" s="87" t="n"/>
      <c r="K9" s="87" t="n"/>
      <c r="L9" s="87" t="n"/>
      <c r="M9" s="87" t="n"/>
      <c r="N9" s="87" t="n"/>
      <c r="O9" s="87" t="n"/>
      <c r="P9" s="87" t="n"/>
      <c r="Q9" s="87" t="n"/>
      <c r="R9" s="87" t="n"/>
      <c r="S9" s="87" t="n"/>
      <c r="T9" s="87" t="n"/>
      <c r="U9" s="87" t="n"/>
      <c r="V9" s="87" t="n"/>
      <c r="W9" s="87" t="n"/>
      <c r="X9" s="87" t="n"/>
      <c r="Y9" s="87" t="n"/>
      <c r="Z9" s="87" t="n"/>
    </row>
    <row r="10">
      <c r="A10" s="88" t="inlineStr">
        <is>
          <t>Primer Crédito</t>
        </is>
      </c>
      <c r="B10" s="96">
        <f>MIN(#REF!)-DAY(MIN(#REF!))+1</f>
        <v/>
      </c>
      <c r="C10" s="88" t="inlineStr">
        <is>
          <t>Participación Histórica</t>
        </is>
      </c>
      <c r="D10" s="92" t="n">
        <v>0.01</v>
      </c>
      <c r="E10" s="87" t="n"/>
      <c r="F10" s="87" t="n"/>
      <c r="G10" s="87" t="n"/>
      <c r="H10" s="87" t="n"/>
      <c r="I10" s="87" t="n"/>
      <c r="J10" s="87" t="n"/>
      <c r="K10" s="87" t="n"/>
      <c r="L10" s="87" t="n"/>
      <c r="M10" s="87" t="n"/>
      <c r="N10" s="87" t="n"/>
      <c r="O10" s="87" t="n"/>
      <c r="P10" s="87" t="n"/>
      <c r="Q10" s="87" t="n"/>
      <c r="R10" s="87" t="n"/>
      <c r="S10" s="87" t="n"/>
      <c r="T10" s="87" t="n"/>
      <c r="U10" s="87" t="n"/>
      <c r="V10" s="87" t="n"/>
      <c r="W10" s="87" t="n"/>
      <c r="X10" s="87" t="n"/>
      <c r="Y10" s="87" t="n"/>
      <c r="Z10" s="87" t="n"/>
    </row>
    <row r="11">
      <c r="A11" s="88" t="inlineStr">
        <is>
          <t>Tasa Activa Ponderada</t>
        </is>
      </c>
      <c r="B11" s="93">
        <f>SUMPRODUCT(#REF!,#REF!)</f>
        <v/>
      </c>
      <c r="C11" s="88" t="inlineStr">
        <is>
          <t>Inicio Com. Apertura</t>
        </is>
      </c>
      <c r="D11" s="97" t="n">
        <v>44986</v>
      </c>
      <c r="E11" s="87" t="n"/>
      <c r="F11" s="87" t="n"/>
      <c r="G11" s="87" t="n"/>
      <c r="H11" s="87" t="n"/>
      <c r="I11" s="87" t="n"/>
      <c r="J11" s="87" t="n"/>
      <c r="K11" s="87" t="n"/>
      <c r="L11" s="87" t="n"/>
      <c r="M11" s="87" t="n"/>
      <c r="N11" s="87" t="n"/>
      <c r="O11" s="87" t="n"/>
      <c r="P11" s="87" t="n"/>
      <c r="Q11" s="87" t="n"/>
      <c r="R11" s="87" t="n"/>
      <c r="S11" s="87" t="n"/>
      <c r="T11" s="87" t="n"/>
      <c r="U11" s="87" t="n"/>
      <c r="V11" s="87" t="n"/>
      <c r="W11" s="87" t="n"/>
      <c r="X11" s="87" t="n"/>
      <c r="Y11" s="87" t="n"/>
      <c r="Z11" s="87" t="n"/>
    </row>
    <row r="12">
      <c r="A12" s="88" t="inlineStr">
        <is>
          <t>Fecha LT</t>
        </is>
      </c>
      <c r="B12" s="98" t="n">
        <v>45657</v>
      </c>
      <c r="C12" s="87" t="n"/>
      <c r="D12" s="87" t="n"/>
      <c r="E12" s="87" t="n"/>
      <c r="F12" s="87" t="n"/>
      <c r="G12" s="87" t="n"/>
      <c r="H12" s="87" t="n"/>
      <c r="I12" s="87" t="n"/>
      <c r="J12" s="87" t="n"/>
      <c r="K12" s="87" t="n"/>
      <c r="L12" s="87" t="n"/>
      <c r="M12" s="87" t="n"/>
      <c r="N12" s="87" t="n"/>
      <c r="O12" s="87" t="n"/>
      <c r="P12" s="87" t="n"/>
      <c r="Q12" s="87" t="n"/>
      <c r="R12" s="87" t="n"/>
      <c r="S12" s="87" t="n"/>
      <c r="T12" s="87" t="n"/>
      <c r="U12" s="87" t="n"/>
      <c r="V12" s="87" t="n"/>
      <c r="W12" s="87" t="n"/>
      <c r="X12" s="87" t="n"/>
      <c r="Y12" s="87" t="n"/>
      <c r="Z12" s="87" t="n"/>
    </row>
    <row r="13">
      <c r="A13" s="86" t="inlineStr">
        <is>
          <t>COMISIONES</t>
        </is>
      </c>
      <c r="F13" s="87" t="n"/>
      <c r="G13" s="87" t="n"/>
      <c r="H13" s="87" t="n"/>
      <c r="I13" s="87" t="n"/>
      <c r="J13" s="87" t="n"/>
      <c r="K13" s="87" t="n"/>
      <c r="L13" s="87" t="n"/>
      <c r="M13" s="87" t="n"/>
      <c r="N13" s="87" t="n"/>
      <c r="O13" s="87" t="n"/>
      <c r="P13" s="87" t="n"/>
      <c r="Q13" s="87" t="n"/>
      <c r="R13" s="87" t="n"/>
      <c r="S13" s="87" t="n"/>
      <c r="T13" s="87" t="n"/>
      <c r="U13" s="87" t="n"/>
      <c r="V13" s="87" t="n"/>
      <c r="W13" s="87" t="n"/>
      <c r="X13" s="87" t="n"/>
      <c r="Y13" s="87" t="n"/>
      <c r="Z13" s="87" t="n"/>
    </row>
    <row r="14">
      <c r="A14" s="88" t="inlineStr">
        <is>
          <t>Tipo Producto</t>
        </is>
      </c>
      <c r="B14" s="99" t="inlineStr">
        <is>
          <t>Preoriginación</t>
        </is>
      </c>
      <c r="C14" s="100" t="inlineStr">
        <is>
          <t>Contratación</t>
        </is>
      </c>
      <c r="D14" s="101" t="inlineStr">
        <is>
          <t>Administración</t>
        </is>
      </c>
      <c r="E14" s="102" t="inlineStr">
        <is>
          <t>Notas</t>
        </is>
      </c>
      <c r="F14" s="87" t="n"/>
      <c r="G14" s="87" t="n"/>
      <c r="H14" s="87" t="n"/>
      <c r="I14" s="87" t="n"/>
      <c r="J14" s="87" t="n"/>
      <c r="K14" s="87" t="n"/>
      <c r="L14" s="87" t="n"/>
      <c r="M14" s="87" t="n"/>
      <c r="N14" s="87" t="n"/>
      <c r="O14" s="87" t="n"/>
      <c r="P14" s="87" t="n"/>
      <c r="Q14" s="87" t="n"/>
      <c r="R14" s="87" t="n"/>
      <c r="S14" s="87" t="n"/>
      <c r="T14" s="87" t="n"/>
      <c r="U14" s="87" t="n"/>
      <c r="V14" s="87" t="n"/>
      <c r="W14" s="87" t="n"/>
      <c r="X14" s="87" t="n"/>
      <c r="Y14" s="87" t="n"/>
      <c r="Z14" s="87" t="n"/>
    </row>
    <row r="15">
      <c r="A15" s="88" t="inlineStr">
        <is>
          <t>Verde</t>
        </is>
      </c>
      <c r="B15" s="103" t="n">
        <v>0.02</v>
      </c>
      <c r="C15" s="104" t="n">
        <v>0.06</v>
      </c>
      <c r="D15" s="105" t="n">
        <v>0</v>
      </c>
      <c r="E15" s="98" t="inlineStr">
        <is>
          <t>Antes del 1 de Enero 2023</t>
        </is>
      </c>
      <c r="F15" s="87" t="n"/>
      <c r="G15" s="87" t="n"/>
      <c r="H15" s="87" t="n"/>
      <c r="I15" s="87" t="n"/>
      <c r="J15" s="87" t="n"/>
      <c r="K15" s="87" t="n"/>
      <c r="L15" s="87" t="n"/>
      <c r="M15" s="87" t="n"/>
      <c r="N15" s="87" t="n"/>
      <c r="O15" s="87" t="n"/>
      <c r="P15" s="87" t="n"/>
      <c r="Q15" s="87" t="n"/>
      <c r="R15" s="87" t="n"/>
      <c r="S15" s="87" t="n"/>
      <c r="T15" s="87" t="n"/>
      <c r="U15" s="87" t="n"/>
      <c r="V15" s="87" t="n"/>
      <c r="W15" s="87" t="n"/>
      <c r="X15" s="87" t="n"/>
      <c r="Y15" s="87" t="n"/>
      <c r="Z15" s="87" t="n"/>
    </row>
    <row r="16">
      <c r="A16" s="88" t="inlineStr">
        <is>
          <t>Verde+</t>
        </is>
      </c>
      <c r="B16" s="103" t="n">
        <v>0.02</v>
      </c>
      <c r="C16" s="104" t="n">
        <v>0</v>
      </c>
      <c r="D16" s="106" t="n">
        <v>0.01</v>
      </c>
      <c r="E16" s="98" t="inlineStr">
        <is>
          <t>Entre 01/01/23 y 01/01/24 - SOBRE EL SALDO INSOLUTO</t>
        </is>
      </c>
      <c r="F16" s="87" t="n"/>
      <c r="G16" s="87" t="n"/>
      <c r="H16" s="87" t="n"/>
      <c r="I16" s="87" t="n"/>
      <c r="J16" s="87" t="n"/>
      <c r="K16" s="87" t="n"/>
      <c r="L16" s="87" t="n"/>
      <c r="M16" s="87" t="n"/>
      <c r="N16" s="87" t="n"/>
      <c r="O16" s="87" t="n"/>
      <c r="P16" s="87" t="n"/>
      <c r="Q16" s="87" t="n"/>
      <c r="R16" s="87" t="n"/>
      <c r="S16" s="87" t="n"/>
      <c r="T16" s="87" t="n"/>
      <c r="U16" s="87" t="n"/>
      <c r="V16" s="87" t="n"/>
      <c r="W16" s="87" t="n"/>
      <c r="X16" s="87" t="n"/>
      <c r="Y16" s="87" t="n"/>
      <c r="Z16" s="87" t="n"/>
    </row>
    <row r="17">
      <c r="A17" s="88" t="inlineStr">
        <is>
          <t>Crédito Automotriz</t>
        </is>
      </c>
      <c r="B17" s="103" t="n">
        <v>0.02</v>
      </c>
      <c r="C17" s="107" t="n">
        <v>0.015</v>
      </c>
      <c r="D17" s="105" t="n">
        <v>0.011</v>
      </c>
      <c r="E17" s="87" t="inlineStr">
        <is>
          <t>A partir del 2024</t>
        </is>
      </c>
      <c r="F17" s="87" t="n"/>
      <c r="G17" s="87" t="n"/>
      <c r="H17" s="87" t="n"/>
      <c r="I17" s="87" t="n"/>
      <c r="J17" s="87" t="n"/>
      <c r="K17" s="87" t="n"/>
      <c r="L17" s="87" t="n"/>
      <c r="M17" s="87" t="n"/>
      <c r="N17" s="87" t="n"/>
      <c r="O17" s="87" t="n"/>
      <c r="P17" s="87" t="n"/>
      <c r="Q17" s="87" t="n"/>
      <c r="R17" s="87" t="n"/>
      <c r="S17" s="87" t="n"/>
      <c r="T17" s="87" t="n"/>
      <c r="U17" s="87" t="n"/>
      <c r="V17" s="87" t="n"/>
      <c r="W17" s="87" t="n"/>
      <c r="X17" s="87" t="n"/>
      <c r="Y17" s="87" t="n"/>
      <c r="Z17" s="87" t="n"/>
    </row>
    <row r="18">
      <c r="A18" s="88" t="inlineStr">
        <is>
          <t>Crédito Personal</t>
        </is>
      </c>
      <c r="B18" s="103" t="n">
        <v>0.02</v>
      </c>
      <c r="C18" s="104" t="n">
        <v>0.02</v>
      </c>
      <c r="D18" s="105" t="n">
        <v>0.0135</v>
      </c>
      <c r="E18" s="87" t="inlineStr">
        <is>
          <t>A partir del 2024</t>
        </is>
      </c>
      <c r="F18" s="87" t="n"/>
      <c r="G18" s="87" t="n"/>
      <c r="H18" s="87" t="n"/>
      <c r="I18" s="87" t="n"/>
      <c r="J18" s="87" t="n"/>
      <c r="K18" s="87" t="n"/>
      <c r="L18" s="87" t="n"/>
      <c r="M18" s="87" t="n"/>
      <c r="N18" s="87" t="n"/>
      <c r="O18" s="87" t="n"/>
      <c r="P18" s="87" t="n"/>
      <c r="Q18" s="87" t="n"/>
      <c r="R18" s="87" t="n"/>
      <c r="S18" s="87" t="n"/>
      <c r="T18" s="87" t="n"/>
      <c r="U18" s="87" t="n"/>
      <c r="V18" s="87" t="n"/>
      <c r="W18" s="87" t="n"/>
      <c r="X18" s="87" t="n"/>
      <c r="Y18" s="87" t="n"/>
      <c r="Z18" s="87" t="n"/>
    </row>
    <row r="19">
      <c r="A19" s="88" t="inlineStr">
        <is>
          <t>Crédito PYME</t>
        </is>
      </c>
      <c r="B19" s="103" t="n">
        <v>0.02</v>
      </c>
      <c r="C19" s="107" t="n">
        <v>0.015</v>
      </c>
      <c r="D19" s="105" t="n">
        <v>0.011</v>
      </c>
      <c r="E19" s="87" t="inlineStr">
        <is>
          <t>A partir del 2024</t>
        </is>
      </c>
      <c r="F19" s="87" t="n"/>
      <c r="G19" s="87" t="n"/>
      <c r="H19" s="87" t="n"/>
      <c r="I19" s="87" t="n"/>
      <c r="J19" s="87" t="n"/>
      <c r="K19" s="87" t="n"/>
      <c r="L19" s="87" t="n"/>
      <c r="M19" s="87" t="n"/>
      <c r="N19" s="87" t="n"/>
      <c r="O19" s="87" t="n"/>
      <c r="P19" s="87" t="n"/>
      <c r="Q19" s="87" t="n"/>
      <c r="R19" s="87" t="n"/>
      <c r="S19" s="87" t="n"/>
      <c r="T19" s="87" t="n"/>
      <c r="U19" s="87" t="n"/>
      <c r="V19" s="87" t="n"/>
      <c r="W19" s="87" t="n"/>
      <c r="X19" s="87" t="n"/>
      <c r="Y19" s="87" t="n"/>
      <c r="Z19" s="87" t="n"/>
    </row>
    <row r="20">
      <c r="A20" s="88" t="inlineStr">
        <is>
          <t>Crédito Solar</t>
        </is>
      </c>
      <c r="B20" s="103" t="n">
        <v>0.02</v>
      </c>
      <c r="C20" s="104" t="n">
        <v>0.01</v>
      </c>
      <c r="D20" s="105" t="n">
        <v>0.008500000000000001</v>
      </c>
      <c r="E20" s="87" t="inlineStr">
        <is>
          <t>A partir del 2024</t>
        </is>
      </c>
      <c r="F20" s="87" t="n"/>
      <c r="G20" s="87" t="n"/>
      <c r="H20" s="87" t="n"/>
      <c r="I20" s="87" t="n"/>
      <c r="J20" s="87" t="n"/>
      <c r="K20" s="87" t="n"/>
      <c r="L20" s="87" t="n"/>
      <c r="M20" s="87" t="n"/>
      <c r="N20" s="87" t="n"/>
      <c r="O20" s="87" t="n"/>
      <c r="P20" s="87" t="n"/>
      <c r="Q20" s="87" t="n"/>
      <c r="R20" s="87" t="n"/>
      <c r="S20" s="87" t="n"/>
      <c r="T20" s="87" t="n"/>
      <c r="U20" s="87" t="n"/>
      <c r="V20" s="87" t="n"/>
      <c r="W20" s="87" t="n"/>
      <c r="X20" s="87" t="n"/>
      <c r="Y20" s="87" t="n"/>
      <c r="Z20" s="87" t="n"/>
    </row>
    <row r="21" ht="15.75" customHeight="1">
      <c r="A21" s="88" t="inlineStr">
        <is>
          <t>Comisión Éxito Vieja</t>
        </is>
      </c>
      <c r="B21" s="92" t="n">
        <v>0.02</v>
      </c>
      <c r="C21" s="87" t="n"/>
      <c r="D21" s="87" t="n"/>
      <c r="E21" s="87" t="inlineStr">
        <is>
          <t>Sobre cobranza total (intereses y amortizaciones)</t>
        </is>
      </c>
      <c r="F21" s="87" t="n"/>
      <c r="G21" s="87" t="n"/>
      <c r="H21" s="87" t="n"/>
      <c r="I21" s="87" t="n"/>
      <c r="J21" s="87" t="n"/>
      <c r="K21" s="87" t="n"/>
      <c r="L21" s="87" t="n"/>
      <c r="M21" s="87" t="n"/>
      <c r="N21" s="87" t="n"/>
      <c r="O21" s="87" t="n"/>
      <c r="P21" s="87" t="n"/>
      <c r="Q21" s="87" t="n"/>
      <c r="R21" s="87" t="n"/>
      <c r="S21" s="87" t="n"/>
      <c r="T21" s="87" t="n"/>
      <c r="U21" s="87" t="n"/>
      <c r="V21" s="87" t="n"/>
      <c r="W21" s="87" t="n"/>
      <c r="X21" s="87" t="n"/>
      <c r="Y21" s="87" t="n"/>
      <c r="Z21" s="87" t="n"/>
    </row>
    <row r="22" ht="15.75" customHeight="1">
      <c r="A22" s="88" t="inlineStr">
        <is>
          <t>Comisión Éxito Nueva</t>
        </is>
      </c>
      <c r="B22" s="92" t="n">
        <v>0.1</v>
      </c>
      <c r="C22" s="88" t="inlineStr">
        <is>
          <t>Desde</t>
        </is>
      </c>
      <c r="D22" s="98" t="n">
        <v>45536</v>
      </c>
      <c r="E22" s="87" t="inlineStr">
        <is>
          <t>Sobre intereses a partir de Sep. 2024</t>
        </is>
      </c>
      <c r="F22" s="87" t="n"/>
      <c r="G22" s="87" t="n"/>
      <c r="H22" s="87" t="n"/>
      <c r="I22" s="87" t="n"/>
      <c r="J22" s="87" t="n"/>
      <c r="K22" s="87" t="n"/>
      <c r="L22" s="87" t="n"/>
      <c r="M22" s="87" t="n"/>
      <c r="N22" s="87" t="n"/>
      <c r="O22" s="87" t="n"/>
      <c r="P22" s="87" t="n"/>
      <c r="Q22" s="87" t="n"/>
      <c r="R22" s="87" t="n"/>
      <c r="S22" s="87" t="n"/>
      <c r="T22" s="87" t="n"/>
      <c r="U22" s="87" t="n"/>
      <c r="V22" s="87" t="n"/>
      <c r="W22" s="87" t="n"/>
      <c r="X22" s="87" t="n"/>
      <c r="Y22" s="87" t="n"/>
      <c r="Z22" s="87" t="n"/>
    </row>
    <row r="23" ht="15.75" customHeight="1">
      <c r="A23" s="87" t="n"/>
      <c r="B23" s="87" t="n"/>
      <c r="C23" s="87" t="n"/>
      <c r="D23" s="87" t="n"/>
      <c r="E23" s="87" t="n"/>
      <c r="F23" s="87" t="n"/>
      <c r="G23" s="87" t="n"/>
      <c r="H23" s="87" t="n"/>
      <c r="I23" s="87" t="n"/>
      <c r="J23" s="87" t="n"/>
      <c r="K23" s="87" t="n"/>
      <c r="L23" s="87" t="n"/>
      <c r="M23" s="87" t="n"/>
      <c r="N23" s="87" t="n"/>
      <c r="O23" s="87" t="n"/>
      <c r="P23" s="87" t="n"/>
      <c r="Q23" s="87" t="n"/>
      <c r="R23" s="87" t="n"/>
      <c r="S23" s="87" t="n"/>
      <c r="T23" s="87" t="n"/>
      <c r="U23" s="87" t="n"/>
      <c r="V23" s="87" t="n"/>
      <c r="W23" s="87" t="n"/>
      <c r="X23" s="87" t="n"/>
      <c r="Y23" s="87" t="n"/>
      <c r="Z23" s="87" t="n"/>
    </row>
    <row r="24" ht="15.75" customHeight="1">
      <c r="A24" s="87" t="n"/>
      <c r="B24" s="87" t="n"/>
      <c r="C24" s="87" t="n"/>
      <c r="D24" s="87" t="n"/>
      <c r="E24" s="87" t="n"/>
      <c r="F24" s="87" t="n"/>
      <c r="G24" s="87" t="n"/>
      <c r="H24" s="87" t="n"/>
      <c r="I24" s="87" t="n"/>
      <c r="J24" s="87" t="n"/>
      <c r="K24" s="87" t="n"/>
      <c r="L24" s="87" t="n"/>
      <c r="M24" s="87" t="n"/>
      <c r="N24" s="87" t="n"/>
      <c r="O24" s="87" t="n"/>
      <c r="P24" s="87" t="n"/>
      <c r="Q24" s="87" t="n"/>
      <c r="R24" s="87" t="n"/>
      <c r="S24" s="87" t="n"/>
      <c r="T24" s="87" t="n"/>
      <c r="U24" s="87" t="n"/>
      <c r="V24" s="87" t="n"/>
      <c r="W24" s="87" t="n"/>
      <c r="X24" s="87" t="n"/>
      <c r="Y24" s="87" t="n"/>
      <c r="Z24" s="87" t="n"/>
    </row>
    <row r="25" ht="15.75" customHeight="1">
      <c r="A25" s="87" t="n"/>
      <c r="B25" s="87" t="n"/>
      <c r="C25" s="87" t="n"/>
      <c r="D25" s="87" t="n"/>
      <c r="E25" s="87" t="n"/>
      <c r="F25" s="87" t="n"/>
      <c r="G25" s="87" t="n"/>
      <c r="H25" s="87" t="n"/>
      <c r="I25" s="87" t="n"/>
      <c r="J25" s="87" t="n"/>
      <c r="K25" s="87" t="n"/>
      <c r="L25" s="87" t="n"/>
      <c r="M25" s="87" t="n"/>
      <c r="N25" s="87" t="n"/>
      <c r="O25" s="87" t="n"/>
      <c r="P25" s="87" t="n"/>
      <c r="Q25" s="87" t="n"/>
      <c r="R25" s="87" t="n"/>
      <c r="S25" s="87" t="n"/>
      <c r="T25" s="87" t="n"/>
      <c r="U25" s="87" t="n"/>
      <c r="V25" s="87" t="n"/>
      <c r="W25" s="87" t="n"/>
      <c r="X25" s="87" t="n"/>
      <c r="Y25" s="87" t="n"/>
      <c r="Z25" s="87" t="n"/>
    </row>
    <row r="26" ht="15.75" customHeight="1">
      <c r="A26" s="87" t="n"/>
      <c r="B26" s="87" t="n"/>
      <c r="C26" s="87" t="n"/>
      <c r="D26" s="87" t="n"/>
      <c r="E26" s="87" t="n"/>
      <c r="F26" s="87" t="n"/>
      <c r="G26" s="87" t="n"/>
      <c r="H26" s="87" t="n"/>
      <c r="I26" s="87" t="n"/>
      <c r="J26" s="87" t="n"/>
      <c r="K26" s="87" t="n"/>
      <c r="L26" s="87" t="n"/>
      <c r="M26" s="87" t="n"/>
      <c r="N26" s="87" t="n"/>
      <c r="O26" s="87" t="n"/>
      <c r="P26" s="87" t="n"/>
      <c r="Q26" s="87" t="n"/>
      <c r="R26" s="87" t="n"/>
      <c r="S26" s="87" t="n"/>
      <c r="T26" s="87" t="n"/>
      <c r="U26" s="87" t="n"/>
      <c r="V26" s="87" t="n"/>
      <c r="W26" s="87" t="n"/>
      <c r="X26" s="87" t="n"/>
      <c r="Y26" s="87" t="n"/>
      <c r="Z26" s="87" t="n"/>
    </row>
    <row r="27" ht="15.75" customHeight="1">
      <c r="A27" s="87" t="n"/>
      <c r="B27" s="87" t="n"/>
      <c r="C27" s="87" t="n"/>
      <c r="D27" s="87" t="n"/>
      <c r="E27" s="87" t="n"/>
      <c r="F27" s="87" t="n"/>
      <c r="G27" s="87" t="n"/>
      <c r="H27" s="87" t="n"/>
      <c r="I27" s="87" t="n"/>
      <c r="J27" s="87" t="n"/>
      <c r="K27" s="87" t="n"/>
      <c r="L27" s="87" t="n"/>
      <c r="M27" s="87" t="n"/>
      <c r="N27" s="87" t="n"/>
      <c r="O27" s="87" t="n"/>
      <c r="P27" s="87" t="n"/>
      <c r="Q27" s="87" t="n"/>
      <c r="R27" s="87" t="n"/>
      <c r="S27" s="87" t="n"/>
      <c r="T27" s="87" t="n"/>
      <c r="U27" s="87" t="n"/>
      <c r="V27" s="87" t="n"/>
      <c r="W27" s="87" t="n"/>
      <c r="X27" s="87" t="n"/>
      <c r="Y27" s="87" t="n"/>
      <c r="Z27" s="87" t="n"/>
    </row>
    <row r="28" ht="15.75" customHeight="1">
      <c r="A28" s="87" t="n"/>
      <c r="B28" s="87" t="n"/>
      <c r="C28" s="87" t="n"/>
      <c r="D28" s="87" t="n"/>
      <c r="E28" s="87" t="n"/>
      <c r="F28" s="87" t="n"/>
      <c r="G28" s="87" t="n"/>
      <c r="H28" s="87" t="n"/>
      <c r="I28" s="87" t="n"/>
      <c r="J28" s="87" t="n"/>
      <c r="K28" s="87" t="n"/>
      <c r="L28" s="87" t="n"/>
      <c r="M28" s="87" t="n"/>
      <c r="N28" s="87" t="n"/>
      <c r="O28" s="87" t="n"/>
      <c r="P28" s="87" t="n"/>
      <c r="Q28" s="87" t="n"/>
      <c r="R28" s="87" t="n"/>
      <c r="S28" s="87" t="n"/>
      <c r="T28" s="87" t="n"/>
      <c r="U28" s="87" t="n"/>
      <c r="V28" s="87" t="n"/>
      <c r="W28" s="87" t="n"/>
      <c r="X28" s="87" t="n"/>
      <c r="Y28" s="87" t="n"/>
      <c r="Z28" s="87" t="n"/>
    </row>
    <row r="29" ht="15.75" customHeight="1">
      <c r="A29" s="87" t="n"/>
      <c r="B29" s="87" t="n"/>
      <c r="C29" s="87" t="n"/>
      <c r="D29" s="87" t="n"/>
      <c r="E29" s="87" t="n"/>
      <c r="F29" s="87" t="n"/>
      <c r="G29" s="87" t="n"/>
      <c r="H29" s="87" t="n"/>
      <c r="I29" s="87" t="n"/>
      <c r="J29" s="87" t="n"/>
      <c r="K29" s="87" t="n"/>
      <c r="L29" s="87" t="n"/>
      <c r="M29" s="87" t="n"/>
      <c r="N29" s="87" t="n"/>
      <c r="O29" s="87" t="n"/>
      <c r="P29" s="87" t="n"/>
      <c r="Q29" s="87" t="n"/>
      <c r="R29" s="87" t="n"/>
      <c r="S29" s="87" t="n"/>
      <c r="T29" s="87" t="n"/>
      <c r="U29" s="87" t="n"/>
      <c r="V29" s="87" t="n"/>
      <c r="W29" s="87" t="n"/>
      <c r="X29" s="87" t="n"/>
      <c r="Y29" s="87" t="n"/>
      <c r="Z29" s="87" t="n"/>
    </row>
    <row r="30" ht="15.75" customHeight="1">
      <c r="A30" s="87" t="n"/>
      <c r="B30" s="87" t="n"/>
      <c r="C30" s="87" t="n"/>
      <c r="D30" s="87" t="n"/>
      <c r="E30" s="87" t="n"/>
      <c r="F30" s="87" t="n"/>
      <c r="G30" s="87" t="n"/>
      <c r="H30" s="87" t="n"/>
      <c r="I30" s="87" t="n"/>
      <c r="J30" s="87" t="n"/>
      <c r="K30" s="87" t="n"/>
      <c r="L30" s="87" t="n"/>
      <c r="M30" s="87" t="n"/>
      <c r="N30" s="87" t="n"/>
      <c r="O30" s="87" t="n"/>
      <c r="P30" s="87" t="n"/>
      <c r="Q30" s="87" t="n"/>
      <c r="R30" s="87" t="n"/>
      <c r="S30" s="87" t="n"/>
      <c r="T30" s="87" t="n"/>
      <c r="U30" s="87" t="n"/>
      <c r="V30" s="87" t="n"/>
      <c r="W30" s="87" t="n"/>
      <c r="X30" s="87" t="n"/>
      <c r="Y30" s="87" t="n"/>
      <c r="Z30" s="87" t="n"/>
    </row>
    <row r="31" ht="15.75" customHeight="1">
      <c r="A31" s="87" t="n"/>
      <c r="B31" s="87" t="n"/>
      <c r="C31" s="87" t="n"/>
      <c r="D31" s="87" t="n"/>
      <c r="E31" s="87" t="n"/>
      <c r="F31" s="87" t="n"/>
      <c r="G31" s="87" t="n"/>
      <c r="H31" s="87" t="n"/>
      <c r="I31" s="87" t="n"/>
      <c r="J31" s="87" t="n"/>
      <c r="K31" s="87" t="n"/>
      <c r="L31" s="87" t="n"/>
      <c r="M31" s="87" t="n"/>
      <c r="N31" s="87" t="n"/>
      <c r="O31" s="87" t="n"/>
      <c r="P31" s="87" t="n"/>
      <c r="Q31" s="87" t="n"/>
      <c r="R31" s="87" t="n"/>
      <c r="S31" s="87" t="n"/>
      <c r="T31" s="87" t="n"/>
      <c r="U31" s="87" t="n"/>
      <c r="V31" s="87" t="n"/>
      <c r="W31" s="87" t="n"/>
      <c r="X31" s="87" t="n"/>
      <c r="Y31" s="87" t="n"/>
      <c r="Z31" s="87" t="n"/>
    </row>
    <row r="32" ht="15.75" customHeight="1">
      <c r="A32" s="87" t="n"/>
      <c r="B32" s="87" t="n"/>
      <c r="C32" s="87" t="n"/>
      <c r="D32" s="87" t="n"/>
      <c r="E32" s="87" t="n"/>
      <c r="F32" s="87" t="n"/>
      <c r="G32" s="87" t="n"/>
      <c r="H32" s="87" t="n"/>
      <c r="I32" s="87" t="n"/>
      <c r="J32" s="87" t="n"/>
      <c r="K32" s="87" t="n"/>
      <c r="L32" s="87" t="n"/>
      <c r="M32" s="87" t="n"/>
      <c r="N32" s="87" t="n"/>
      <c r="O32" s="87" t="n"/>
      <c r="P32" s="87" t="n"/>
      <c r="Q32" s="87" t="n"/>
      <c r="R32" s="87" t="n"/>
      <c r="S32" s="87" t="n"/>
      <c r="T32" s="87" t="n"/>
      <c r="U32" s="87" t="n"/>
      <c r="V32" s="87" t="n"/>
      <c r="W32" s="87" t="n"/>
      <c r="X32" s="87" t="n"/>
      <c r="Y32" s="87" t="n"/>
      <c r="Z32" s="87" t="n"/>
    </row>
    <row r="33" ht="15.75" customHeight="1">
      <c r="A33" s="87" t="n"/>
      <c r="B33" s="87" t="n"/>
      <c r="C33" s="87" t="n"/>
      <c r="D33" s="87" t="n"/>
      <c r="E33" s="87" t="n"/>
      <c r="F33" s="87" t="n"/>
      <c r="G33" s="87" t="n"/>
      <c r="H33" s="87" t="n"/>
      <c r="I33" s="87" t="n"/>
      <c r="J33" s="87" t="n"/>
      <c r="K33" s="87" t="n"/>
      <c r="L33" s="87" t="n"/>
      <c r="M33" s="87" t="n"/>
      <c r="N33" s="87" t="n"/>
      <c r="O33" s="87" t="n"/>
      <c r="P33" s="87" t="n"/>
      <c r="Q33" s="87" t="n"/>
      <c r="R33" s="87" t="n"/>
      <c r="S33" s="87" t="n"/>
      <c r="T33" s="87" t="n"/>
      <c r="U33" s="87" t="n"/>
      <c r="V33" s="87" t="n"/>
      <c r="W33" s="87" t="n"/>
      <c r="X33" s="87" t="n"/>
      <c r="Y33" s="87" t="n"/>
      <c r="Z33" s="87" t="n"/>
    </row>
    <row r="34" ht="15.75" customHeight="1">
      <c r="A34" s="87" t="n"/>
      <c r="B34" s="87" t="n"/>
      <c r="C34" s="87" t="n"/>
      <c r="D34" s="87" t="n"/>
      <c r="E34" s="87" t="n"/>
      <c r="F34" s="87" t="n"/>
      <c r="G34" s="87" t="n"/>
      <c r="H34" s="87" t="n"/>
      <c r="I34" s="87" t="n"/>
      <c r="J34" s="87" t="n"/>
      <c r="K34" s="87" t="n"/>
      <c r="L34" s="87" t="n"/>
      <c r="M34" s="87" t="n"/>
      <c r="N34" s="87" t="n"/>
      <c r="O34" s="87" t="n"/>
      <c r="P34" s="87" t="n"/>
      <c r="Q34" s="87" t="n"/>
      <c r="R34" s="87" t="n"/>
      <c r="S34" s="87" t="n"/>
      <c r="T34" s="87" t="n"/>
      <c r="U34" s="87" t="n"/>
      <c r="V34" s="87" t="n"/>
      <c r="W34" s="87" t="n"/>
      <c r="X34" s="87" t="n"/>
      <c r="Y34" s="87" t="n"/>
      <c r="Z34" s="87" t="n"/>
    </row>
    <row r="35" ht="15.75" customHeight="1">
      <c r="A35" s="87" t="n"/>
      <c r="B35" s="87" t="n"/>
      <c r="C35" s="87" t="n"/>
      <c r="D35" s="87" t="n"/>
      <c r="E35" s="87" t="n"/>
      <c r="F35" s="87" t="n"/>
      <c r="G35" s="87" t="n"/>
      <c r="H35" s="87" t="n"/>
      <c r="I35" s="87" t="n"/>
      <c r="J35" s="87" t="n"/>
      <c r="K35" s="87" t="n"/>
      <c r="L35" s="87" t="n"/>
      <c r="M35" s="87" t="n"/>
      <c r="N35" s="87" t="n"/>
      <c r="O35" s="87" t="n"/>
      <c r="P35" s="87" t="n"/>
      <c r="Q35" s="87" t="n"/>
      <c r="R35" s="87" t="n"/>
      <c r="S35" s="87" t="n"/>
      <c r="T35" s="87" t="n"/>
      <c r="U35" s="87" t="n"/>
      <c r="V35" s="87" t="n"/>
      <c r="W35" s="87" t="n"/>
      <c r="X35" s="87" t="n"/>
      <c r="Y35" s="87" t="n"/>
      <c r="Z35" s="87" t="n"/>
    </row>
    <row r="36" ht="15.75" customHeight="1">
      <c r="A36" s="87" t="n"/>
      <c r="B36" s="87" t="n"/>
      <c r="C36" s="87" t="n"/>
      <c r="D36" s="87" t="n"/>
      <c r="E36" s="87" t="n"/>
      <c r="F36" s="87" t="n"/>
      <c r="G36" s="87" t="n"/>
      <c r="H36" s="87" t="n"/>
      <c r="I36" s="87" t="n"/>
      <c r="J36" s="87" t="n"/>
      <c r="K36" s="87" t="n"/>
      <c r="L36" s="87" t="n"/>
      <c r="M36" s="87" t="n"/>
      <c r="N36" s="87" t="n"/>
      <c r="O36" s="87" t="n"/>
      <c r="P36" s="87" t="n"/>
      <c r="Q36" s="87" t="n"/>
      <c r="R36" s="87" t="n"/>
      <c r="S36" s="87" t="n"/>
      <c r="T36" s="87" t="n"/>
      <c r="U36" s="87" t="n"/>
      <c r="V36" s="87" t="n"/>
      <c r="W36" s="87" t="n"/>
      <c r="X36" s="87" t="n"/>
      <c r="Y36" s="87" t="n"/>
      <c r="Z36" s="87" t="n"/>
    </row>
    <row r="37" ht="15.75" customHeight="1">
      <c r="A37" s="87" t="n"/>
      <c r="B37" s="87" t="n"/>
      <c r="C37" s="87" t="n"/>
      <c r="D37" s="87" t="n"/>
      <c r="E37" s="87" t="n"/>
      <c r="F37" s="87" t="n"/>
      <c r="G37" s="87" t="n"/>
      <c r="H37" s="87" t="n"/>
      <c r="I37" s="87" t="n"/>
      <c r="J37" s="87" t="n"/>
      <c r="K37" s="87" t="n"/>
      <c r="L37" s="87" t="n"/>
      <c r="M37" s="87" t="n"/>
      <c r="N37" s="87" t="n"/>
      <c r="O37" s="87" t="n"/>
      <c r="P37" s="87" t="n"/>
      <c r="Q37" s="87" t="n"/>
      <c r="R37" s="87" t="n"/>
      <c r="S37" s="87" t="n"/>
      <c r="T37" s="87" t="n"/>
      <c r="U37" s="87" t="n"/>
      <c r="V37" s="87" t="n"/>
      <c r="W37" s="87" t="n"/>
      <c r="X37" s="87" t="n"/>
      <c r="Y37" s="87" t="n"/>
      <c r="Z37" s="87" t="n"/>
    </row>
    <row r="38" ht="15.75" customHeight="1">
      <c r="A38" s="87" t="n"/>
      <c r="B38" s="87" t="n"/>
      <c r="C38" s="87" t="n"/>
      <c r="D38" s="87" t="n"/>
      <c r="E38" s="87" t="n"/>
      <c r="F38" s="87" t="n"/>
      <c r="G38" s="87" t="n"/>
      <c r="H38" s="87" t="n"/>
      <c r="I38" s="87" t="n"/>
      <c r="J38" s="87" t="n"/>
      <c r="K38" s="87" t="n"/>
      <c r="L38" s="87" t="n"/>
      <c r="M38" s="87" t="n"/>
      <c r="N38" s="87" t="n"/>
      <c r="O38" s="87" t="n"/>
      <c r="P38" s="87" t="n"/>
      <c r="Q38" s="87" t="n"/>
      <c r="R38" s="87" t="n"/>
      <c r="S38" s="87" t="n"/>
      <c r="T38" s="87" t="n"/>
      <c r="U38" s="87" t="n"/>
      <c r="V38" s="87" t="n"/>
      <c r="W38" s="87" t="n"/>
      <c r="X38" s="87" t="n"/>
      <c r="Y38" s="87" t="n"/>
      <c r="Z38" s="87" t="n"/>
    </row>
    <row r="39" ht="15.75" customHeight="1">
      <c r="A39" s="87" t="n"/>
      <c r="B39" s="87" t="n"/>
      <c r="C39" s="87" t="n"/>
      <c r="D39" s="87" t="n"/>
      <c r="E39" s="87" t="n"/>
      <c r="F39" s="87" t="n"/>
      <c r="G39" s="87" t="n"/>
      <c r="H39" s="87" t="n"/>
      <c r="I39" s="87" t="n"/>
      <c r="J39" s="87" t="n"/>
      <c r="K39" s="87" t="n"/>
      <c r="L39" s="87" t="n"/>
      <c r="M39" s="87" t="n"/>
      <c r="N39" s="87" t="n"/>
      <c r="O39" s="87" t="n"/>
      <c r="P39" s="87" t="n"/>
      <c r="Q39" s="87" t="n"/>
      <c r="R39" s="87" t="n"/>
      <c r="S39" s="87" t="n"/>
      <c r="T39" s="87" t="n"/>
      <c r="U39" s="87" t="n"/>
      <c r="V39" s="87" t="n"/>
      <c r="W39" s="87" t="n"/>
      <c r="X39" s="87" t="n"/>
      <c r="Y39" s="87" t="n"/>
      <c r="Z39" s="87" t="n"/>
    </row>
    <row r="40" ht="15.75" customHeight="1">
      <c r="A40" s="87" t="n"/>
      <c r="B40" s="87" t="n"/>
      <c r="C40" s="87" t="n"/>
      <c r="D40" s="87" t="n"/>
      <c r="E40" s="87" t="n"/>
      <c r="F40" s="87" t="n"/>
      <c r="G40" s="87" t="n"/>
      <c r="H40" s="87" t="n"/>
      <c r="I40" s="87" t="n"/>
      <c r="J40" s="87" t="n"/>
      <c r="K40" s="87" t="n"/>
      <c r="L40" s="87" t="n"/>
      <c r="M40" s="87" t="n"/>
      <c r="N40" s="87" t="n"/>
      <c r="O40" s="87" t="n"/>
      <c r="P40" s="87" t="n"/>
      <c r="Q40" s="87" t="n"/>
      <c r="R40" s="87" t="n"/>
      <c r="S40" s="87" t="n"/>
      <c r="T40" s="87" t="n"/>
      <c r="U40" s="87" t="n"/>
      <c r="V40" s="87" t="n"/>
      <c r="W40" s="87" t="n"/>
      <c r="X40" s="87" t="n"/>
      <c r="Y40" s="87" t="n"/>
      <c r="Z40" s="87" t="n"/>
    </row>
    <row r="41" ht="15.75" customHeight="1">
      <c r="A41" s="87" t="n"/>
      <c r="B41" s="87" t="n"/>
      <c r="C41" s="87" t="n"/>
      <c r="D41" s="87" t="n"/>
      <c r="E41" s="87" t="n"/>
      <c r="F41" s="87" t="n"/>
      <c r="G41" s="87" t="n"/>
      <c r="H41" s="87" t="n"/>
      <c r="I41" s="87" t="n"/>
      <c r="J41" s="87" t="n"/>
      <c r="K41" s="87" t="n"/>
      <c r="L41" s="87" t="n"/>
      <c r="M41" s="87" t="n"/>
      <c r="N41" s="87" t="n"/>
      <c r="O41" s="87" t="n"/>
      <c r="P41" s="87" t="n"/>
      <c r="Q41" s="87" t="n"/>
      <c r="R41" s="87" t="n"/>
      <c r="S41" s="87" t="n"/>
      <c r="T41" s="87" t="n"/>
      <c r="U41" s="87" t="n"/>
      <c r="V41" s="87" t="n"/>
      <c r="W41" s="87" t="n"/>
      <c r="X41" s="87" t="n"/>
      <c r="Y41" s="87" t="n"/>
      <c r="Z41" s="87" t="n"/>
    </row>
    <row r="42" ht="15.75" customHeight="1">
      <c r="A42" s="87" t="n"/>
      <c r="B42" s="87" t="n"/>
      <c r="C42" s="87" t="n"/>
      <c r="D42" s="87" t="n"/>
      <c r="E42" s="87" t="n"/>
      <c r="F42" s="87" t="n"/>
      <c r="G42" s="87" t="n"/>
      <c r="H42" s="87" t="n"/>
      <c r="I42" s="87" t="n"/>
      <c r="J42" s="87" t="n"/>
      <c r="K42" s="87" t="n"/>
      <c r="L42" s="87" t="n"/>
      <c r="M42" s="87" t="n"/>
      <c r="N42" s="87" t="n"/>
      <c r="O42" s="87" t="n"/>
      <c r="P42" s="87" t="n"/>
      <c r="Q42" s="87" t="n"/>
      <c r="R42" s="87" t="n"/>
      <c r="S42" s="87" t="n"/>
      <c r="T42" s="87" t="n"/>
      <c r="U42" s="87" t="n"/>
      <c r="V42" s="87" t="n"/>
      <c r="W42" s="87" t="n"/>
      <c r="X42" s="87" t="n"/>
      <c r="Y42" s="87" t="n"/>
      <c r="Z42" s="87" t="n"/>
    </row>
    <row r="43" ht="15.75" customHeight="1">
      <c r="A43" s="87" t="n"/>
      <c r="B43" s="87" t="n"/>
      <c r="C43" s="87" t="n"/>
      <c r="D43" s="87" t="n"/>
      <c r="E43" s="87" t="n"/>
      <c r="F43" s="87" t="n"/>
      <c r="G43" s="87" t="n"/>
      <c r="H43" s="87" t="n"/>
      <c r="I43" s="87" t="n"/>
      <c r="J43" s="87" t="n"/>
      <c r="K43" s="87" t="n"/>
      <c r="L43" s="87" t="n"/>
      <c r="M43" s="87" t="n"/>
      <c r="N43" s="87" t="n"/>
      <c r="O43" s="87" t="n"/>
      <c r="P43" s="87" t="n"/>
      <c r="Q43" s="87" t="n"/>
      <c r="R43" s="87" t="n"/>
      <c r="S43" s="87" t="n"/>
      <c r="T43" s="87" t="n"/>
      <c r="U43" s="87" t="n"/>
      <c r="V43" s="87" t="n"/>
      <c r="W43" s="87" t="n"/>
      <c r="X43" s="87" t="n"/>
      <c r="Y43" s="87" t="n"/>
      <c r="Z43" s="87" t="n"/>
    </row>
    <row r="44" ht="15.75" customHeight="1">
      <c r="A44" s="87" t="n"/>
      <c r="B44" s="87" t="n"/>
      <c r="C44" s="87" t="n"/>
      <c r="D44" s="87" t="n"/>
      <c r="E44" s="87" t="n"/>
      <c r="F44" s="87" t="n"/>
      <c r="G44" s="87" t="n"/>
      <c r="H44" s="87" t="n"/>
      <c r="I44" s="87" t="n"/>
      <c r="J44" s="87" t="n"/>
      <c r="K44" s="87" t="n"/>
      <c r="L44" s="87" t="n"/>
      <c r="M44" s="87" t="n"/>
      <c r="N44" s="87" t="n"/>
      <c r="O44" s="87" t="n"/>
      <c r="P44" s="87" t="n"/>
      <c r="Q44" s="87" t="n"/>
      <c r="R44" s="87" t="n"/>
      <c r="S44" s="87" t="n"/>
      <c r="T44" s="87" t="n"/>
      <c r="U44" s="87" t="n"/>
      <c r="V44" s="87" t="n"/>
      <c r="W44" s="87" t="n"/>
      <c r="X44" s="87" t="n"/>
      <c r="Y44" s="87" t="n"/>
      <c r="Z44" s="87" t="n"/>
    </row>
    <row r="45" ht="15.75" customHeight="1">
      <c r="A45" s="87" t="n"/>
      <c r="B45" s="87" t="n"/>
      <c r="C45" s="87" t="n"/>
      <c r="D45" s="87" t="n"/>
      <c r="E45" s="87" t="n"/>
      <c r="F45" s="87" t="n"/>
      <c r="G45" s="87" t="n"/>
      <c r="H45" s="87" t="n"/>
      <c r="I45" s="87" t="n"/>
      <c r="J45" s="87" t="n"/>
      <c r="K45" s="87" t="n"/>
      <c r="L45" s="87" t="n"/>
      <c r="M45" s="87" t="n"/>
      <c r="N45" s="87" t="n"/>
      <c r="O45" s="87" t="n"/>
      <c r="P45" s="87" t="n"/>
      <c r="Q45" s="87" t="n"/>
      <c r="R45" s="87" t="n"/>
      <c r="S45" s="87" t="n"/>
      <c r="T45" s="87" t="n"/>
      <c r="U45" s="87" t="n"/>
      <c r="V45" s="87" t="n"/>
      <c r="W45" s="87" t="n"/>
      <c r="X45" s="87" t="n"/>
      <c r="Y45" s="87" t="n"/>
      <c r="Z45" s="87" t="n"/>
    </row>
    <row r="46" ht="15.75" customHeight="1">
      <c r="A46" s="87" t="n"/>
      <c r="B46" s="87" t="n"/>
      <c r="C46" s="87" t="n"/>
      <c r="D46" s="87" t="n"/>
      <c r="E46" s="87" t="n"/>
      <c r="F46" s="87" t="n"/>
      <c r="G46" s="87" t="n"/>
      <c r="H46" s="87" t="n"/>
      <c r="I46" s="87" t="n"/>
      <c r="J46" s="87" t="n"/>
      <c r="K46" s="87" t="n"/>
      <c r="L46" s="87" t="n"/>
      <c r="M46" s="87" t="n"/>
      <c r="N46" s="87" t="n"/>
      <c r="O46" s="87" t="n"/>
      <c r="P46" s="87" t="n"/>
      <c r="Q46" s="87" t="n"/>
      <c r="R46" s="87" t="n"/>
      <c r="S46" s="87" t="n"/>
      <c r="T46" s="87" t="n"/>
      <c r="U46" s="87" t="n"/>
      <c r="V46" s="87" t="n"/>
      <c r="W46" s="87" t="n"/>
      <c r="X46" s="87" t="n"/>
      <c r="Y46" s="87" t="n"/>
      <c r="Z46" s="87" t="n"/>
    </row>
    <row r="47" ht="15.75" customHeight="1">
      <c r="A47" s="87" t="n"/>
      <c r="B47" s="87" t="n"/>
      <c r="C47" s="87" t="n"/>
      <c r="D47" s="87" t="n"/>
      <c r="E47" s="87" t="n"/>
      <c r="F47" s="87" t="n"/>
      <c r="G47" s="87" t="n"/>
      <c r="H47" s="87" t="n"/>
      <c r="I47" s="87" t="n"/>
      <c r="J47" s="87" t="n"/>
      <c r="K47" s="87" t="n"/>
      <c r="L47" s="87" t="n"/>
      <c r="M47" s="87" t="n"/>
      <c r="N47" s="87" t="n"/>
      <c r="O47" s="87" t="n"/>
      <c r="P47" s="87" t="n"/>
      <c r="Q47" s="87" t="n"/>
      <c r="R47" s="87" t="n"/>
      <c r="S47" s="87" t="n"/>
      <c r="T47" s="87" t="n"/>
      <c r="U47" s="87" t="n"/>
      <c r="V47" s="87" t="n"/>
      <c r="W47" s="87" t="n"/>
      <c r="X47" s="87" t="n"/>
      <c r="Y47" s="87" t="n"/>
      <c r="Z47" s="87" t="n"/>
    </row>
    <row r="48" ht="15.75" customHeight="1">
      <c r="A48" s="87" t="n"/>
      <c r="B48" s="87" t="n"/>
      <c r="C48" s="87" t="n"/>
      <c r="D48" s="87" t="n"/>
      <c r="E48" s="87" t="n"/>
      <c r="F48" s="87" t="n"/>
      <c r="G48" s="87" t="n"/>
      <c r="H48" s="87" t="n"/>
      <c r="I48" s="87" t="n"/>
      <c r="J48" s="87" t="n"/>
      <c r="K48" s="87" t="n"/>
      <c r="L48" s="87" t="n"/>
      <c r="M48" s="87" t="n"/>
      <c r="N48" s="87" t="n"/>
      <c r="O48" s="87" t="n"/>
      <c r="P48" s="87" t="n"/>
      <c r="Q48" s="87" t="n"/>
      <c r="R48" s="87" t="n"/>
      <c r="S48" s="87" t="n"/>
      <c r="T48" s="87" t="n"/>
      <c r="U48" s="87" t="n"/>
      <c r="V48" s="87" t="n"/>
      <c r="W48" s="87" t="n"/>
      <c r="X48" s="87" t="n"/>
      <c r="Y48" s="87" t="n"/>
      <c r="Z48" s="87" t="n"/>
    </row>
    <row r="49" ht="15.75" customHeight="1">
      <c r="A49" s="87" t="n"/>
      <c r="B49" s="87" t="n"/>
      <c r="C49" s="87" t="n"/>
      <c r="D49" s="87" t="n"/>
      <c r="E49" s="87" t="n"/>
      <c r="F49" s="87" t="n"/>
      <c r="G49" s="87" t="n"/>
      <c r="H49" s="87" t="n"/>
      <c r="I49" s="87" t="n"/>
      <c r="J49" s="87" t="n"/>
      <c r="K49" s="87" t="n"/>
      <c r="L49" s="87" t="n"/>
      <c r="M49" s="87" t="n"/>
      <c r="N49" s="87" t="n"/>
      <c r="O49" s="87" t="n"/>
      <c r="P49" s="87" t="n"/>
      <c r="Q49" s="87" t="n"/>
      <c r="R49" s="87" t="n"/>
      <c r="S49" s="87" t="n"/>
      <c r="T49" s="87" t="n"/>
      <c r="U49" s="87" t="n"/>
      <c r="V49" s="87" t="n"/>
      <c r="W49" s="87" t="n"/>
      <c r="X49" s="87" t="n"/>
      <c r="Y49" s="87" t="n"/>
      <c r="Z49" s="87" t="n"/>
    </row>
    <row r="50" ht="15.75" customHeight="1">
      <c r="A50" s="87" t="n"/>
      <c r="B50" s="87" t="n"/>
      <c r="C50" s="87" t="n"/>
      <c r="D50" s="87" t="n"/>
      <c r="E50" s="87" t="n"/>
      <c r="F50" s="87" t="n"/>
      <c r="G50" s="87" t="n"/>
      <c r="H50" s="87" t="n"/>
      <c r="I50" s="87" t="n"/>
      <c r="J50" s="87" t="n"/>
      <c r="K50" s="87" t="n"/>
      <c r="L50" s="87" t="n"/>
      <c r="M50" s="87" t="n"/>
      <c r="N50" s="87" t="n"/>
      <c r="O50" s="87" t="n"/>
      <c r="P50" s="87" t="n"/>
      <c r="Q50" s="87" t="n"/>
      <c r="R50" s="87" t="n"/>
      <c r="S50" s="87" t="n"/>
      <c r="T50" s="87" t="n"/>
      <c r="U50" s="87" t="n"/>
      <c r="V50" s="87" t="n"/>
      <c r="W50" s="87" t="n"/>
      <c r="X50" s="87" t="n"/>
      <c r="Y50" s="87" t="n"/>
      <c r="Z50" s="87" t="n"/>
    </row>
    <row r="51" ht="15.75" customHeight="1">
      <c r="A51" s="87" t="n"/>
      <c r="B51" s="87" t="n"/>
      <c r="C51" s="87" t="n"/>
      <c r="D51" s="87" t="n"/>
      <c r="E51" s="87" t="n"/>
      <c r="F51" s="87" t="n"/>
      <c r="G51" s="87" t="n"/>
      <c r="H51" s="87" t="n"/>
      <c r="I51" s="87" t="n"/>
      <c r="J51" s="87" t="n"/>
      <c r="K51" s="87" t="n"/>
      <c r="L51" s="87" t="n"/>
      <c r="M51" s="87" t="n"/>
      <c r="N51" s="87" t="n"/>
      <c r="O51" s="87" t="n"/>
      <c r="P51" s="87" t="n"/>
      <c r="Q51" s="87" t="n"/>
      <c r="R51" s="87" t="n"/>
      <c r="S51" s="87" t="n"/>
      <c r="T51" s="87" t="n"/>
      <c r="U51" s="87" t="n"/>
      <c r="V51" s="87" t="n"/>
      <c r="W51" s="87" t="n"/>
      <c r="X51" s="87" t="n"/>
      <c r="Y51" s="87" t="n"/>
      <c r="Z51" s="87" t="n"/>
    </row>
    <row r="52" ht="15.75" customHeight="1">
      <c r="A52" s="87" t="n"/>
      <c r="B52" s="87" t="n"/>
      <c r="C52" s="87" t="n"/>
      <c r="D52" s="87" t="n"/>
      <c r="E52" s="87" t="n"/>
      <c r="F52" s="87" t="n"/>
      <c r="G52" s="87" t="n"/>
      <c r="H52" s="87" t="n"/>
      <c r="I52" s="87" t="n"/>
      <c r="J52" s="87" t="n"/>
      <c r="K52" s="87" t="n"/>
      <c r="L52" s="87" t="n"/>
      <c r="M52" s="87" t="n"/>
      <c r="N52" s="87" t="n"/>
      <c r="O52" s="87" t="n"/>
      <c r="P52" s="87" t="n"/>
      <c r="Q52" s="87" t="n"/>
      <c r="R52" s="87" t="n"/>
      <c r="S52" s="87" t="n"/>
      <c r="T52" s="87" t="n"/>
      <c r="U52" s="87" t="n"/>
      <c r="V52" s="87" t="n"/>
      <c r="W52" s="87" t="n"/>
      <c r="X52" s="87" t="n"/>
      <c r="Y52" s="87" t="n"/>
      <c r="Z52" s="87" t="n"/>
    </row>
    <row r="53" ht="15.75" customHeight="1">
      <c r="A53" s="87" t="n"/>
      <c r="B53" s="87" t="n"/>
      <c r="C53" s="87" t="n"/>
      <c r="D53" s="87" t="n"/>
      <c r="E53" s="87" t="n"/>
      <c r="F53" s="87" t="n"/>
      <c r="G53" s="87" t="n"/>
      <c r="H53" s="87" t="n"/>
      <c r="I53" s="87" t="n"/>
      <c r="J53" s="87" t="n"/>
      <c r="K53" s="87" t="n"/>
      <c r="L53" s="87" t="n"/>
      <c r="M53" s="87" t="n"/>
      <c r="N53" s="87" t="n"/>
      <c r="O53" s="87" t="n"/>
      <c r="P53" s="87" t="n"/>
      <c r="Q53" s="87" t="n"/>
      <c r="R53" s="87" t="n"/>
      <c r="S53" s="87" t="n"/>
      <c r="T53" s="87" t="n"/>
      <c r="U53" s="87" t="n"/>
      <c r="V53" s="87" t="n"/>
      <c r="W53" s="87" t="n"/>
      <c r="X53" s="87" t="n"/>
      <c r="Y53" s="87" t="n"/>
      <c r="Z53" s="87" t="n"/>
    </row>
    <row r="54" ht="15.75" customHeight="1">
      <c r="A54" s="87" t="n"/>
      <c r="B54" s="87" t="n"/>
      <c r="C54" s="87" t="n"/>
      <c r="D54" s="87" t="n"/>
      <c r="E54" s="87" t="n"/>
      <c r="F54" s="87" t="n"/>
      <c r="G54" s="87" t="n"/>
      <c r="H54" s="87" t="n"/>
      <c r="I54" s="87" t="n"/>
      <c r="J54" s="87" t="n"/>
      <c r="K54" s="87" t="n"/>
      <c r="L54" s="87" t="n"/>
      <c r="M54" s="87" t="n"/>
      <c r="N54" s="87" t="n"/>
      <c r="O54" s="87" t="n"/>
      <c r="P54" s="87" t="n"/>
      <c r="Q54" s="87" t="n"/>
      <c r="R54" s="87" t="n"/>
      <c r="S54" s="87" t="n"/>
      <c r="T54" s="87" t="n"/>
      <c r="U54" s="87" t="n"/>
      <c r="V54" s="87" t="n"/>
      <c r="W54" s="87" t="n"/>
      <c r="X54" s="87" t="n"/>
      <c r="Y54" s="87" t="n"/>
      <c r="Z54" s="87" t="n"/>
    </row>
    <row r="55" ht="15.75" customHeight="1">
      <c r="A55" s="87" t="n"/>
      <c r="B55" s="87" t="n"/>
      <c r="C55" s="87" t="n"/>
      <c r="D55" s="87" t="n"/>
      <c r="E55" s="87" t="n"/>
      <c r="F55" s="87" t="n"/>
      <c r="G55" s="87" t="n"/>
      <c r="H55" s="87" t="n"/>
      <c r="I55" s="87" t="n"/>
      <c r="J55" s="87" t="n"/>
      <c r="K55" s="87" t="n"/>
      <c r="L55" s="87" t="n"/>
      <c r="M55" s="87" t="n"/>
      <c r="N55" s="87" t="n"/>
      <c r="O55" s="87" t="n"/>
      <c r="P55" s="87" t="n"/>
      <c r="Q55" s="87" t="n"/>
      <c r="R55" s="87" t="n"/>
      <c r="S55" s="87" t="n"/>
      <c r="T55" s="87" t="n"/>
      <c r="U55" s="87" t="n"/>
      <c r="V55" s="87" t="n"/>
      <c r="W55" s="87" t="n"/>
      <c r="X55" s="87" t="n"/>
      <c r="Y55" s="87" t="n"/>
      <c r="Z55" s="87" t="n"/>
    </row>
    <row r="56" ht="15.75" customHeight="1">
      <c r="A56" s="87" t="n"/>
      <c r="B56" s="87" t="n"/>
      <c r="C56" s="87" t="n"/>
      <c r="D56" s="87" t="n"/>
      <c r="E56" s="87" t="n"/>
      <c r="F56" s="87" t="n"/>
      <c r="G56" s="87" t="n"/>
      <c r="H56" s="87" t="n"/>
      <c r="I56" s="87" t="n"/>
      <c r="J56" s="87" t="n"/>
      <c r="K56" s="87" t="n"/>
      <c r="L56" s="87" t="n"/>
      <c r="M56" s="87" t="n"/>
      <c r="N56" s="87" t="n"/>
      <c r="O56" s="87" t="n"/>
      <c r="P56" s="87" t="n"/>
      <c r="Q56" s="87" t="n"/>
      <c r="R56" s="87" t="n"/>
      <c r="S56" s="87" t="n"/>
      <c r="T56" s="87" t="n"/>
      <c r="U56" s="87" t="n"/>
      <c r="V56" s="87" t="n"/>
      <c r="W56" s="87" t="n"/>
      <c r="X56" s="87" t="n"/>
      <c r="Y56" s="87" t="n"/>
      <c r="Z56" s="87" t="n"/>
    </row>
    <row r="57" ht="15.75" customHeight="1">
      <c r="A57" s="87" t="n"/>
      <c r="B57" s="87" t="n"/>
      <c r="C57" s="87" t="n"/>
      <c r="D57" s="87" t="n"/>
      <c r="E57" s="87" t="n"/>
      <c r="F57" s="87" t="n"/>
      <c r="G57" s="87" t="n"/>
      <c r="H57" s="87" t="n"/>
      <c r="I57" s="87" t="n"/>
      <c r="J57" s="87" t="n"/>
      <c r="K57" s="87" t="n"/>
      <c r="L57" s="87" t="n"/>
      <c r="M57" s="87" t="n"/>
      <c r="N57" s="87" t="n"/>
      <c r="O57" s="87" t="n"/>
      <c r="P57" s="87" t="n"/>
      <c r="Q57" s="87" t="n"/>
      <c r="R57" s="87" t="n"/>
      <c r="S57" s="87" t="n"/>
      <c r="T57" s="87" t="n"/>
      <c r="U57" s="87" t="n"/>
      <c r="V57" s="87" t="n"/>
      <c r="W57" s="87" t="n"/>
      <c r="X57" s="87" t="n"/>
      <c r="Y57" s="87" t="n"/>
      <c r="Z57" s="87" t="n"/>
    </row>
    <row r="58" ht="15.75" customHeight="1">
      <c r="A58" s="87" t="n"/>
      <c r="B58" s="87" t="n"/>
      <c r="C58" s="87" t="n"/>
      <c r="D58" s="87" t="n"/>
      <c r="E58" s="87" t="n"/>
      <c r="F58" s="87" t="n"/>
      <c r="G58" s="87" t="n"/>
      <c r="H58" s="87" t="n"/>
      <c r="I58" s="87" t="n"/>
      <c r="J58" s="87" t="n"/>
      <c r="K58" s="87" t="n"/>
      <c r="L58" s="87" t="n"/>
      <c r="M58" s="87" t="n"/>
      <c r="N58" s="87" t="n"/>
      <c r="O58" s="87" t="n"/>
      <c r="P58" s="87" t="n"/>
      <c r="Q58" s="87" t="n"/>
      <c r="R58" s="87" t="n"/>
      <c r="S58" s="87" t="n"/>
      <c r="T58" s="87" t="n"/>
      <c r="U58" s="87" t="n"/>
      <c r="V58" s="87" t="n"/>
      <c r="W58" s="87" t="n"/>
      <c r="X58" s="87" t="n"/>
      <c r="Y58" s="87" t="n"/>
      <c r="Z58" s="87" t="n"/>
    </row>
    <row r="59" ht="15.75" customHeight="1">
      <c r="A59" s="87" t="n"/>
      <c r="B59" s="87" t="n"/>
      <c r="C59" s="87" t="n"/>
      <c r="D59" s="87" t="n"/>
      <c r="E59" s="87" t="n"/>
      <c r="F59" s="87" t="n"/>
      <c r="G59" s="87" t="n"/>
      <c r="H59" s="87" t="n"/>
      <c r="I59" s="87" t="n"/>
      <c r="J59" s="87" t="n"/>
      <c r="K59" s="87" t="n"/>
      <c r="L59" s="87" t="n"/>
      <c r="M59" s="87" t="n"/>
      <c r="N59" s="87" t="n"/>
      <c r="O59" s="87" t="n"/>
      <c r="P59" s="87" t="n"/>
      <c r="Q59" s="87" t="n"/>
      <c r="R59" s="87" t="n"/>
      <c r="S59" s="87" t="n"/>
      <c r="T59" s="87" t="n"/>
      <c r="U59" s="87" t="n"/>
      <c r="V59" s="87" t="n"/>
      <c r="W59" s="87" t="n"/>
      <c r="X59" s="87" t="n"/>
      <c r="Y59" s="87" t="n"/>
      <c r="Z59" s="87" t="n"/>
    </row>
    <row r="60" ht="15.75" customHeight="1">
      <c r="A60" s="87" t="n"/>
      <c r="B60" s="87" t="n"/>
      <c r="C60" s="87" t="n"/>
      <c r="D60" s="87" t="n"/>
      <c r="E60" s="87" t="n"/>
      <c r="F60" s="87" t="n"/>
      <c r="G60" s="87" t="n"/>
      <c r="H60" s="87" t="n"/>
      <c r="I60" s="87" t="n"/>
      <c r="J60" s="87" t="n"/>
      <c r="K60" s="87" t="n"/>
      <c r="L60" s="87" t="n"/>
      <c r="M60" s="87" t="n"/>
      <c r="N60" s="87" t="n"/>
      <c r="O60" s="87" t="n"/>
      <c r="P60" s="87" t="n"/>
      <c r="Q60" s="87" t="n"/>
      <c r="R60" s="87" t="n"/>
      <c r="S60" s="87" t="n"/>
      <c r="T60" s="87" t="n"/>
      <c r="U60" s="87" t="n"/>
      <c r="V60" s="87" t="n"/>
      <c r="W60" s="87" t="n"/>
      <c r="X60" s="87" t="n"/>
      <c r="Y60" s="87" t="n"/>
      <c r="Z60" s="87" t="n"/>
    </row>
    <row r="61" ht="15.75" customHeight="1">
      <c r="A61" s="87" t="n"/>
      <c r="B61" s="87" t="n"/>
      <c r="C61" s="87" t="n"/>
      <c r="D61" s="87" t="n"/>
      <c r="E61" s="87" t="n"/>
      <c r="F61" s="87" t="n"/>
      <c r="G61" s="87" t="n"/>
      <c r="H61" s="87" t="n"/>
      <c r="I61" s="87" t="n"/>
      <c r="J61" s="87" t="n"/>
      <c r="K61" s="87" t="n"/>
      <c r="L61" s="87" t="n"/>
      <c r="M61" s="87" t="n"/>
      <c r="N61" s="87" t="n"/>
      <c r="O61" s="87" t="n"/>
      <c r="P61" s="87" t="n"/>
      <c r="Q61" s="87" t="n"/>
      <c r="R61" s="87" t="n"/>
      <c r="S61" s="87" t="n"/>
      <c r="T61" s="87" t="n"/>
      <c r="U61" s="87" t="n"/>
      <c r="V61" s="87" t="n"/>
      <c r="W61" s="87" t="n"/>
      <c r="X61" s="87" t="n"/>
      <c r="Y61" s="87" t="n"/>
      <c r="Z61" s="87" t="n"/>
    </row>
    <row r="62" ht="15.75" customHeight="1">
      <c r="A62" s="87" t="n"/>
      <c r="B62" s="87" t="n"/>
      <c r="C62" s="87" t="n"/>
      <c r="D62" s="87" t="n"/>
      <c r="E62" s="87" t="n"/>
      <c r="F62" s="87" t="n"/>
      <c r="G62" s="87" t="n"/>
      <c r="H62" s="87" t="n"/>
      <c r="I62" s="87" t="n"/>
      <c r="J62" s="87" t="n"/>
      <c r="K62" s="87" t="n"/>
      <c r="L62" s="87" t="n"/>
      <c r="M62" s="87" t="n"/>
      <c r="N62" s="87" t="n"/>
      <c r="O62" s="87" t="n"/>
      <c r="P62" s="87" t="n"/>
      <c r="Q62" s="87" t="n"/>
      <c r="R62" s="87" t="n"/>
      <c r="S62" s="87" t="n"/>
      <c r="T62" s="87" t="n"/>
      <c r="U62" s="87" t="n"/>
      <c r="V62" s="87" t="n"/>
      <c r="W62" s="87" t="n"/>
      <c r="X62" s="87" t="n"/>
      <c r="Y62" s="87" t="n"/>
      <c r="Z62" s="87" t="n"/>
    </row>
    <row r="63" ht="15.75" customHeight="1">
      <c r="A63" s="87" t="n"/>
      <c r="B63" s="87" t="n"/>
      <c r="C63" s="87" t="n"/>
      <c r="D63" s="87" t="n"/>
      <c r="E63" s="87" t="n"/>
      <c r="F63" s="87" t="n"/>
      <c r="G63" s="87" t="n"/>
      <c r="H63" s="87" t="n"/>
      <c r="I63" s="87" t="n"/>
      <c r="J63" s="87" t="n"/>
      <c r="K63" s="87" t="n"/>
      <c r="L63" s="87" t="n"/>
      <c r="M63" s="87" t="n"/>
      <c r="N63" s="87" t="n"/>
      <c r="O63" s="87" t="n"/>
      <c r="P63" s="87" t="n"/>
      <c r="Q63" s="87" t="n"/>
      <c r="R63" s="87" t="n"/>
      <c r="S63" s="87" t="n"/>
      <c r="T63" s="87" t="n"/>
      <c r="U63" s="87" t="n"/>
      <c r="V63" s="87" t="n"/>
      <c r="W63" s="87" t="n"/>
      <c r="X63" s="87" t="n"/>
      <c r="Y63" s="87" t="n"/>
      <c r="Z63" s="87" t="n"/>
    </row>
    <row r="64" ht="15.75" customHeight="1">
      <c r="A64" s="87" t="n"/>
      <c r="B64" s="87" t="n"/>
      <c r="C64" s="87" t="n"/>
      <c r="D64" s="87" t="n"/>
      <c r="E64" s="87" t="n"/>
      <c r="F64" s="87" t="n"/>
      <c r="G64" s="87" t="n"/>
      <c r="H64" s="87" t="n"/>
      <c r="I64" s="87" t="n"/>
      <c r="J64" s="87" t="n"/>
      <c r="K64" s="87" t="n"/>
      <c r="L64" s="87" t="n"/>
      <c r="M64" s="87" t="n"/>
      <c r="N64" s="87" t="n"/>
      <c r="O64" s="87" t="n"/>
      <c r="P64" s="87" t="n"/>
      <c r="Q64" s="87" t="n"/>
      <c r="R64" s="87" t="n"/>
      <c r="S64" s="87" t="n"/>
      <c r="T64" s="87" t="n"/>
      <c r="U64" s="87" t="n"/>
      <c r="V64" s="87" t="n"/>
      <c r="W64" s="87" t="n"/>
      <c r="X64" s="87" t="n"/>
      <c r="Y64" s="87" t="n"/>
      <c r="Z64" s="87" t="n"/>
    </row>
    <row r="65" ht="15.75" customHeight="1">
      <c r="A65" s="87" t="n"/>
      <c r="B65" s="87" t="n"/>
      <c r="C65" s="87" t="n"/>
      <c r="D65" s="87" t="n"/>
      <c r="E65" s="87" t="n"/>
      <c r="F65" s="87" t="n"/>
      <c r="G65" s="87" t="n"/>
      <c r="H65" s="87" t="n"/>
      <c r="I65" s="87" t="n"/>
      <c r="J65" s="87" t="n"/>
      <c r="K65" s="87" t="n"/>
      <c r="L65" s="87" t="n"/>
      <c r="M65" s="87" t="n"/>
      <c r="N65" s="87" t="n"/>
      <c r="O65" s="87" t="n"/>
      <c r="P65" s="87" t="n"/>
      <c r="Q65" s="87" t="n"/>
      <c r="R65" s="87" t="n"/>
      <c r="S65" s="87" t="n"/>
      <c r="T65" s="87" t="n"/>
      <c r="U65" s="87" t="n"/>
      <c r="V65" s="87" t="n"/>
      <c r="W65" s="87" t="n"/>
      <c r="X65" s="87" t="n"/>
      <c r="Y65" s="87" t="n"/>
      <c r="Z65" s="87" t="n"/>
    </row>
    <row r="66" ht="15.75" customHeight="1">
      <c r="A66" s="87" t="n"/>
      <c r="B66" s="87" t="n"/>
      <c r="C66" s="87" t="n"/>
      <c r="D66" s="87" t="n"/>
      <c r="E66" s="87" t="n"/>
      <c r="F66" s="87" t="n"/>
      <c r="G66" s="87" t="n"/>
      <c r="H66" s="87" t="n"/>
      <c r="I66" s="87" t="n"/>
      <c r="J66" s="87" t="n"/>
      <c r="K66" s="87" t="n"/>
      <c r="L66" s="87" t="n"/>
      <c r="M66" s="87" t="n"/>
      <c r="N66" s="87" t="n"/>
      <c r="O66" s="87" t="n"/>
      <c r="P66" s="87" t="n"/>
      <c r="Q66" s="87" t="n"/>
      <c r="R66" s="87" t="n"/>
      <c r="S66" s="87" t="n"/>
      <c r="T66" s="87" t="n"/>
      <c r="U66" s="87" t="n"/>
      <c r="V66" s="87" t="n"/>
      <c r="W66" s="87" t="n"/>
      <c r="X66" s="87" t="n"/>
      <c r="Y66" s="87" t="n"/>
      <c r="Z66" s="87" t="n"/>
    </row>
    <row r="67" ht="15.75" customHeight="1">
      <c r="A67" s="87" t="n"/>
      <c r="B67" s="87" t="n"/>
      <c r="C67" s="87" t="n"/>
      <c r="D67" s="87" t="n"/>
      <c r="E67" s="87" t="n"/>
      <c r="F67" s="87" t="n"/>
      <c r="G67" s="87" t="n"/>
      <c r="H67" s="87" t="n"/>
      <c r="I67" s="87" t="n"/>
      <c r="J67" s="87" t="n"/>
      <c r="K67" s="87" t="n"/>
      <c r="L67" s="87" t="n"/>
      <c r="M67" s="87" t="n"/>
      <c r="N67" s="87" t="n"/>
      <c r="O67" s="87" t="n"/>
      <c r="P67" s="87" t="n"/>
      <c r="Q67" s="87" t="n"/>
      <c r="R67" s="87" t="n"/>
      <c r="S67" s="87" t="n"/>
      <c r="T67" s="87" t="n"/>
      <c r="U67" s="87" t="n"/>
      <c r="V67" s="87" t="n"/>
      <c r="W67" s="87" t="n"/>
      <c r="X67" s="87" t="n"/>
      <c r="Y67" s="87" t="n"/>
      <c r="Z67" s="87" t="n"/>
    </row>
    <row r="68" ht="15.75" customHeight="1">
      <c r="A68" s="87" t="n"/>
      <c r="B68" s="87" t="n"/>
      <c r="C68" s="87" t="n"/>
      <c r="D68" s="87" t="n"/>
      <c r="E68" s="87" t="n"/>
      <c r="F68" s="87" t="n"/>
      <c r="G68" s="87" t="n"/>
      <c r="H68" s="87" t="n"/>
      <c r="I68" s="87" t="n"/>
      <c r="J68" s="87" t="n"/>
      <c r="K68" s="87" t="n"/>
      <c r="L68" s="87" t="n"/>
      <c r="M68" s="87" t="n"/>
      <c r="N68" s="87" t="n"/>
      <c r="O68" s="87" t="n"/>
      <c r="P68" s="87" t="n"/>
      <c r="Q68" s="87" t="n"/>
      <c r="R68" s="87" t="n"/>
      <c r="S68" s="87" t="n"/>
      <c r="T68" s="87" t="n"/>
      <c r="U68" s="87" t="n"/>
      <c r="V68" s="87" t="n"/>
      <c r="W68" s="87" t="n"/>
      <c r="X68" s="87" t="n"/>
      <c r="Y68" s="87" t="n"/>
      <c r="Z68" s="87" t="n"/>
    </row>
    <row r="69" ht="15.75" customHeight="1">
      <c r="A69" s="87" t="n"/>
      <c r="B69" s="87" t="n"/>
      <c r="C69" s="87" t="n"/>
      <c r="D69" s="87" t="n"/>
      <c r="E69" s="87" t="n"/>
      <c r="F69" s="87" t="n"/>
      <c r="G69" s="87" t="n"/>
      <c r="H69" s="87" t="n"/>
      <c r="I69" s="87" t="n"/>
      <c r="J69" s="87" t="n"/>
      <c r="K69" s="87" t="n"/>
      <c r="L69" s="87" t="n"/>
      <c r="M69" s="87" t="n"/>
      <c r="N69" s="87" t="n"/>
      <c r="O69" s="87" t="n"/>
      <c r="P69" s="87" t="n"/>
      <c r="Q69" s="87" t="n"/>
      <c r="R69" s="87" t="n"/>
      <c r="S69" s="87" t="n"/>
      <c r="T69" s="87" t="n"/>
      <c r="U69" s="87" t="n"/>
      <c r="V69" s="87" t="n"/>
      <c r="W69" s="87" t="n"/>
      <c r="X69" s="87" t="n"/>
      <c r="Y69" s="87" t="n"/>
      <c r="Z69" s="87" t="n"/>
    </row>
    <row r="70" ht="15.75" customHeight="1">
      <c r="A70" s="87" t="n"/>
      <c r="B70" s="87" t="n"/>
      <c r="C70" s="87" t="n"/>
      <c r="D70" s="87" t="n"/>
      <c r="E70" s="87" t="n"/>
      <c r="F70" s="87" t="n"/>
      <c r="G70" s="87" t="n"/>
      <c r="H70" s="87" t="n"/>
      <c r="I70" s="87" t="n"/>
      <c r="J70" s="87" t="n"/>
      <c r="K70" s="87" t="n"/>
      <c r="L70" s="87" t="n"/>
      <c r="M70" s="87" t="n"/>
      <c r="N70" s="87" t="n"/>
      <c r="O70" s="87" t="n"/>
      <c r="P70" s="87" t="n"/>
      <c r="Q70" s="87" t="n"/>
      <c r="R70" s="87" t="n"/>
      <c r="S70" s="87" t="n"/>
      <c r="T70" s="87" t="n"/>
      <c r="U70" s="87" t="n"/>
      <c r="V70" s="87" t="n"/>
      <c r="W70" s="87" t="n"/>
      <c r="X70" s="87" t="n"/>
      <c r="Y70" s="87" t="n"/>
      <c r="Z70" s="87" t="n"/>
    </row>
    <row r="71" ht="15.75" customHeight="1">
      <c r="A71" s="87" t="n"/>
      <c r="B71" s="87" t="n"/>
      <c r="C71" s="87" t="n"/>
      <c r="D71" s="87" t="n"/>
      <c r="E71" s="87" t="n"/>
      <c r="F71" s="87" t="n"/>
      <c r="G71" s="87" t="n"/>
      <c r="H71" s="87" t="n"/>
      <c r="I71" s="87" t="n"/>
      <c r="J71" s="87" t="n"/>
      <c r="K71" s="87" t="n"/>
      <c r="L71" s="87" t="n"/>
      <c r="M71" s="87" t="n"/>
      <c r="N71" s="87" t="n"/>
      <c r="O71" s="87" t="n"/>
      <c r="P71" s="87" t="n"/>
      <c r="Q71" s="87" t="n"/>
      <c r="R71" s="87" t="n"/>
      <c r="S71" s="87" t="n"/>
      <c r="T71" s="87" t="n"/>
      <c r="U71" s="87" t="n"/>
      <c r="V71" s="87" t="n"/>
      <c r="W71" s="87" t="n"/>
      <c r="X71" s="87" t="n"/>
      <c r="Y71" s="87" t="n"/>
      <c r="Z71" s="87" t="n"/>
    </row>
    <row r="72" ht="15.75" customHeight="1">
      <c r="A72" s="87" t="n"/>
      <c r="B72" s="87" t="n"/>
      <c r="C72" s="87" t="n"/>
      <c r="D72" s="87" t="n"/>
      <c r="E72" s="87" t="n"/>
      <c r="F72" s="87" t="n"/>
      <c r="G72" s="87" t="n"/>
      <c r="H72" s="87" t="n"/>
      <c r="I72" s="87" t="n"/>
      <c r="J72" s="87" t="n"/>
      <c r="K72" s="87" t="n"/>
      <c r="L72" s="87" t="n"/>
      <c r="M72" s="87" t="n"/>
      <c r="N72" s="87" t="n"/>
      <c r="O72" s="87" t="n"/>
      <c r="P72" s="87" t="n"/>
      <c r="Q72" s="87" t="n"/>
      <c r="R72" s="87" t="n"/>
      <c r="S72" s="87" t="n"/>
      <c r="T72" s="87" t="n"/>
      <c r="U72" s="87" t="n"/>
      <c r="V72" s="87" t="n"/>
      <c r="W72" s="87" t="n"/>
      <c r="X72" s="87" t="n"/>
      <c r="Y72" s="87" t="n"/>
      <c r="Z72" s="87" t="n"/>
    </row>
    <row r="73" ht="15.75" customHeight="1">
      <c r="A73" s="87" t="n"/>
      <c r="B73" s="87" t="n"/>
      <c r="C73" s="87" t="n"/>
      <c r="D73" s="87" t="n"/>
      <c r="E73" s="87" t="n"/>
      <c r="F73" s="87" t="n"/>
      <c r="G73" s="87" t="n"/>
      <c r="H73" s="87" t="n"/>
      <c r="I73" s="87" t="n"/>
      <c r="J73" s="87" t="n"/>
      <c r="K73" s="87" t="n"/>
      <c r="L73" s="87" t="n"/>
      <c r="M73" s="87" t="n"/>
      <c r="N73" s="87" t="n"/>
      <c r="O73" s="87" t="n"/>
      <c r="P73" s="87" t="n"/>
      <c r="Q73" s="87" t="n"/>
      <c r="R73" s="87" t="n"/>
      <c r="S73" s="87" t="n"/>
      <c r="T73" s="87" t="n"/>
      <c r="U73" s="87" t="n"/>
      <c r="V73" s="87" t="n"/>
      <c r="W73" s="87" t="n"/>
      <c r="X73" s="87" t="n"/>
      <c r="Y73" s="87" t="n"/>
      <c r="Z73" s="87" t="n"/>
    </row>
    <row r="74" ht="15.75" customHeight="1">
      <c r="A74" s="87" t="n"/>
      <c r="B74" s="87" t="n"/>
      <c r="C74" s="87" t="n"/>
      <c r="D74" s="87" t="n"/>
      <c r="E74" s="87" t="n"/>
      <c r="F74" s="87" t="n"/>
      <c r="G74" s="87" t="n"/>
      <c r="H74" s="87" t="n"/>
      <c r="I74" s="87" t="n"/>
      <c r="J74" s="87" t="n"/>
      <c r="K74" s="87" t="n"/>
      <c r="L74" s="87" t="n"/>
      <c r="M74" s="87" t="n"/>
      <c r="N74" s="87" t="n"/>
      <c r="O74" s="87" t="n"/>
      <c r="P74" s="87" t="n"/>
      <c r="Q74" s="87" t="n"/>
      <c r="R74" s="87" t="n"/>
      <c r="S74" s="87" t="n"/>
      <c r="T74" s="87" t="n"/>
      <c r="U74" s="87" t="n"/>
      <c r="V74" s="87" t="n"/>
      <c r="W74" s="87" t="n"/>
      <c r="X74" s="87" t="n"/>
      <c r="Y74" s="87" t="n"/>
      <c r="Z74" s="87" t="n"/>
    </row>
    <row r="75" ht="15.75" customHeight="1">
      <c r="A75" s="87" t="n"/>
      <c r="B75" s="87" t="n"/>
      <c r="C75" s="87" t="n"/>
      <c r="D75" s="87" t="n"/>
      <c r="E75" s="87" t="n"/>
      <c r="F75" s="87" t="n"/>
      <c r="G75" s="87" t="n"/>
      <c r="H75" s="87" t="n"/>
      <c r="I75" s="87" t="n"/>
      <c r="J75" s="87" t="n"/>
      <c r="K75" s="87" t="n"/>
      <c r="L75" s="87" t="n"/>
      <c r="M75" s="87" t="n"/>
      <c r="N75" s="87" t="n"/>
      <c r="O75" s="87" t="n"/>
      <c r="P75" s="87" t="n"/>
      <c r="Q75" s="87" t="n"/>
      <c r="R75" s="87" t="n"/>
      <c r="S75" s="87" t="n"/>
      <c r="T75" s="87" t="n"/>
      <c r="U75" s="87" t="n"/>
      <c r="V75" s="87" t="n"/>
      <c r="W75" s="87" t="n"/>
      <c r="X75" s="87" t="n"/>
      <c r="Y75" s="87" t="n"/>
      <c r="Z75" s="87" t="n"/>
    </row>
    <row r="76" ht="15.75" customHeight="1">
      <c r="A76" s="87" t="n"/>
      <c r="B76" s="87" t="n"/>
      <c r="C76" s="87" t="n"/>
      <c r="D76" s="87" t="n"/>
      <c r="E76" s="87" t="n"/>
      <c r="F76" s="87" t="n"/>
      <c r="G76" s="87" t="n"/>
      <c r="H76" s="87" t="n"/>
      <c r="I76" s="87" t="n"/>
      <c r="J76" s="87" t="n"/>
      <c r="K76" s="87" t="n"/>
      <c r="L76" s="87" t="n"/>
      <c r="M76" s="87" t="n"/>
      <c r="N76" s="87" t="n"/>
      <c r="O76" s="87" t="n"/>
      <c r="P76" s="87" t="n"/>
      <c r="Q76" s="87" t="n"/>
      <c r="R76" s="87" t="n"/>
      <c r="S76" s="87" t="n"/>
      <c r="T76" s="87" t="n"/>
      <c r="U76" s="87" t="n"/>
      <c r="V76" s="87" t="n"/>
      <c r="W76" s="87" t="n"/>
      <c r="X76" s="87" t="n"/>
      <c r="Y76" s="87" t="n"/>
      <c r="Z76" s="87" t="n"/>
    </row>
    <row r="77" ht="15.75" customHeight="1">
      <c r="A77" s="87" t="n"/>
      <c r="B77" s="87" t="n"/>
      <c r="C77" s="87" t="n"/>
      <c r="D77" s="87" t="n"/>
      <c r="E77" s="87" t="n"/>
      <c r="F77" s="87" t="n"/>
      <c r="G77" s="87" t="n"/>
      <c r="H77" s="87" t="n"/>
      <c r="I77" s="87" t="n"/>
      <c r="J77" s="87" t="n"/>
      <c r="K77" s="87" t="n"/>
      <c r="L77" s="87" t="n"/>
      <c r="M77" s="87" t="n"/>
      <c r="N77" s="87" t="n"/>
      <c r="O77" s="87" t="n"/>
      <c r="P77" s="87" t="n"/>
      <c r="Q77" s="87" t="n"/>
      <c r="R77" s="87" t="n"/>
      <c r="S77" s="87" t="n"/>
      <c r="T77" s="87" t="n"/>
      <c r="U77" s="87" t="n"/>
      <c r="V77" s="87" t="n"/>
      <c r="W77" s="87" t="n"/>
      <c r="X77" s="87" t="n"/>
      <c r="Y77" s="87" t="n"/>
      <c r="Z77" s="87" t="n"/>
    </row>
    <row r="78" ht="15.75" customHeight="1">
      <c r="A78" s="87" t="n"/>
      <c r="B78" s="87" t="n"/>
      <c r="C78" s="87" t="n"/>
      <c r="D78" s="87" t="n"/>
      <c r="E78" s="87" t="n"/>
      <c r="F78" s="87" t="n"/>
      <c r="G78" s="87" t="n"/>
      <c r="H78" s="87" t="n"/>
      <c r="I78" s="87" t="n"/>
      <c r="J78" s="87" t="n"/>
      <c r="K78" s="87" t="n"/>
      <c r="L78" s="87" t="n"/>
      <c r="M78" s="87" t="n"/>
      <c r="N78" s="87" t="n"/>
      <c r="O78" s="87" t="n"/>
      <c r="P78" s="87" t="n"/>
      <c r="Q78" s="87" t="n"/>
      <c r="R78" s="87" t="n"/>
      <c r="S78" s="87" t="n"/>
      <c r="T78" s="87" t="n"/>
      <c r="U78" s="87" t="n"/>
      <c r="V78" s="87" t="n"/>
      <c r="W78" s="87" t="n"/>
      <c r="X78" s="87" t="n"/>
      <c r="Y78" s="87" t="n"/>
      <c r="Z78" s="87" t="n"/>
    </row>
    <row r="79" ht="15.75" customHeight="1">
      <c r="A79" s="87" t="n"/>
      <c r="B79" s="87" t="n"/>
      <c r="C79" s="87" t="n"/>
      <c r="D79" s="87" t="n"/>
      <c r="E79" s="87" t="n"/>
      <c r="F79" s="87" t="n"/>
      <c r="G79" s="87" t="n"/>
      <c r="H79" s="87" t="n"/>
      <c r="I79" s="87" t="n"/>
      <c r="J79" s="87" t="n"/>
      <c r="K79" s="87" t="n"/>
      <c r="L79" s="87" t="n"/>
      <c r="M79" s="87" t="n"/>
      <c r="N79" s="87" t="n"/>
      <c r="O79" s="87" t="n"/>
      <c r="P79" s="87" t="n"/>
      <c r="Q79" s="87" t="n"/>
      <c r="R79" s="87" t="n"/>
      <c r="S79" s="87" t="n"/>
      <c r="T79" s="87" t="n"/>
      <c r="U79" s="87" t="n"/>
      <c r="V79" s="87" t="n"/>
      <c r="W79" s="87" t="n"/>
      <c r="X79" s="87" t="n"/>
      <c r="Y79" s="87" t="n"/>
      <c r="Z79" s="87" t="n"/>
    </row>
    <row r="80" ht="15.75" customHeight="1">
      <c r="A80" s="87" t="n"/>
      <c r="B80" s="87" t="n"/>
      <c r="C80" s="87" t="n"/>
      <c r="D80" s="87" t="n"/>
      <c r="E80" s="87" t="n"/>
      <c r="F80" s="87" t="n"/>
      <c r="G80" s="87" t="n"/>
      <c r="H80" s="87" t="n"/>
      <c r="I80" s="87" t="n"/>
      <c r="J80" s="87" t="n"/>
      <c r="K80" s="87" t="n"/>
      <c r="L80" s="87" t="n"/>
      <c r="M80" s="87" t="n"/>
      <c r="N80" s="87" t="n"/>
      <c r="O80" s="87" t="n"/>
      <c r="P80" s="87" t="n"/>
      <c r="Q80" s="87" t="n"/>
      <c r="R80" s="87" t="n"/>
      <c r="S80" s="87" t="n"/>
      <c r="T80" s="87" t="n"/>
      <c r="U80" s="87" t="n"/>
      <c r="V80" s="87" t="n"/>
      <c r="W80" s="87" t="n"/>
      <c r="X80" s="87" t="n"/>
      <c r="Y80" s="87" t="n"/>
      <c r="Z80" s="87" t="n"/>
    </row>
    <row r="81" ht="15.75" customHeight="1">
      <c r="A81" s="87" t="n"/>
      <c r="B81" s="87" t="n"/>
      <c r="C81" s="87" t="n"/>
      <c r="D81" s="87" t="n"/>
      <c r="E81" s="87" t="n"/>
      <c r="F81" s="87" t="n"/>
      <c r="G81" s="87" t="n"/>
      <c r="H81" s="87" t="n"/>
      <c r="I81" s="87" t="n"/>
      <c r="J81" s="87" t="n"/>
      <c r="K81" s="87" t="n"/>
      <c r="L81" s="87" t="n"/>
      <c r="M81" s="87" t="n"/>
      <c r="N81" s="87" t="n"/>
      <c r="O81" s="87" t="n"/>
      <c r="P81" s="87" t="n"/>
      <c r="Q81" s="87" t="n"/>
      <c r="R81" s="87" t="n"/>
      <c r="S81" s="87" t="n"/>
      <c r="T81" s="87" t="n"/>
      <c r="U81" s="87" t="n"/>
      <c r="V81" s="87" t="n"/>
      <c r="W81" s="87" t="n"/>
      <c r="X81" s="87" t="n"/>
      <c r="Y81" s="87" t="n"/>
      <c r="Z81" s="87" t="n"/>
    </row>
    <row r="82" ht="15.75" customHeight="1">
      <c r="A82" s="87" t="n"/>
      <c r="B82" s="87" t="n"/>
      <c r="C82" s="87" t="n"/>
      <c r="D82" s="87" t="n"/>
      <c r="E82" s="87" t="n"/>
      <c r="F82" s="87" t="n"/>
      <c r="G82" s="87" t="n"/>
      <c r="H82" s="87" t="n"/>
      <c r="I82" s="87" t="n"/>
      <c r="J82" s="87" t="n"/>
      <c r="K82" s="87" t="n"/>
      <c r="L82" s="87" t="n"/>
      <c r="M82" s="87" t="n"/>
      <c r="N82" s="87" t="n"/>
      <c r="O82" s="87" t="n"/>
      <c r="P82" s="87" t="n"/>
      <c r="Q82" s="87" t="n"/>
      <c r="R82" s="87" t="n"/>
      <c r="S82" s="87" t="n"/>
      <c r="T82" s="87" t="n"/>
      <c r="U82" s="87" t="n"/>
      <c r="V82" s="87" t="n"/>
      <c r="W82" s="87" t="n"/>
      <c r="X82" s="87" t="n"/>
      <c r="Y82" s="87" t="n"/>
      <c r="Z82" s="87" t="n"/>
    </row>
    <row r="83" ht="15.75" customHeight="1">
      <c r="A83" s="87" t="n"/>
      <c r="B83" s="87" t="n"/>
      <c r="C83" s="87" t="n"/>
      <c r="D83" s="87" t="n"/>
      <c r="E83" s="87" t="n"/>
      <c r="F83" s="87" t="n"/>
      <c r="G83" s="87" t="n"/>
      <c r="H83" s="87" t="n"/>
      <c r="I83" s="87" t="n"/>
      <c r="J83" s="87" t="n"/>
      <c r="K83" s="87" t="n"/>
      <c r="L83" s="87" t="n"/>
      <c r="M83" s="87" t="n"/>
      <c r="N83" s="87" t="n"/>
      <c r="O83" s="87" t="n"/>
      <c r="P83" s="87" t="n"/>
      <c r="Q83" s="87" t="n"/>
      <c r="R83" s="87" t="n"/>
      <c r="S83" s="87" t="n"/>
      <c r="T83" s="87" t="n"/>
      <c r="U83" s="87" t="n"/>
      <c r="V83" s="87" t="n"/>
      <c r="W83" s="87" t="n"/>
      <c r="X83" s="87" t="n"/>
      <c r="Y83" s="87" t="n"/>
      <c r="Z83" s="87" t="n"/>
    </row>
    <row r="84" ht="15.75" customHeight="1">
      <c r="A84" s="87" t="n"/>
      <c r="B84" s="87" t="n"/>
      <c r="C84" s="87" t="n"/>
      <c r="D84" s="87" t="n"/>
      <c r="E84" s="87" t="n"/>
      <c r="F84" s="87" t="n"/>
      <c r="G84" s="87" t="n"/>
      <c r="H84" s="87" t="n"/>
      <c r="I84" s="87" t="n"/>
      <c r="J84" s="87" t="n"/>
      <c r="K84" s="87" t="n"/>
      <c r="L84" s="87" t="n"/>
      <c r="M84" s="87" t="n"/>
      <c r="N84" s="87" t="n"/>
      <c r="O84" s="87" t="n"/>
      <c r="P84" s="87" t="n"/>
      <c r="Q84" s="87" t="n"/>
      <c r="R84" s="87" t="n"/>
      <c r="S84" s="87" t="n"/>
      <c r="T84" s="87" t="n"/>
      <c r="U84" s="87" t="n"/>
      <c r="V84" s="87" t="n"/>
      <c r="W84" s="87" t="n"/>
      <c r="X84" s="87" t="n"/>
      <c r="Y84" s="87" t="n"/>
      <c r="Z84" s="87" t="n"/>
    </row>
    <row r="85" ht="15.75" customHeight="1">
      <c r="A85" s="87" t="n"/>
      <c r="B85" s="87" t="n"/>
      <c r="C85" s="87" t="n"/>
      <c r="D85" s="87" t="n"/>
      <c r="E85" s="87" t="n"/>
      <c r="F85" s="87" t="n"/>
      <c r="G85" s="87" t="n"/>
      <c r="H85" s="87" t="n"/>
      <c r="I85" s="87" t="n"/>
      <c r="J85" s="87" t="n"/>
      <c r="K85" s="87" t="n"/>
      <c r="L85" s="87" t="n"/>
      <c r="M85" s="87" t="n"/>
      <c r="N85" s="87" t="n"/>
      <c r="O85" s="87" t="n"/>
      <c r="P85" s="87" t="n"/>
      <c r="Q85" s="87" t="n"/>
      <c r="R85" s="87" t="n"/>
      <c r="S85" s="87" t="n"/>
      <c r="T85" s="87" t="n"/>
      <c r="U85" s="87" t="n"/>
      <c r="V85" s="87" t="n"/>
      <c r="W85" s="87" t="n"/>
      <c r="X85" s="87" t="n"/>
      <c r="Y85" s="87" t="n"/>
      <c r="Z85" s="87" t="n"/>
    </row>
    <row r="86" ht="15.75" customHeight="1">
      <c r="A86" s="87" t="n"/>
      <c r="B86" s="87" t="n"/>
      <c r="C86" s="87" t="n"/>
      <c r="D86" s="87" t="n"/>
      <c r="E86" s="87" t="n"/>
      <c r="F86" s="87" t="n"/>
      <c r="G86" s="87" t="n"/>
      <c r="H86" s="87" t="n"/>
      <c r="I86" s="87" t="n"/>
      <c r="J86" s="87" t="n"/>
      <c r="K86" s="87" t="n"/>
      <c r="L86" s="87" t="n"/>
      <c r="M86" s="87" t="n"/>
      <c r="N86" s="87" t="n"/>
      <c r="O86" s="87" t="n"/>
      <c r="P86" s="87" t="n"/>
      <c r="Q86" s="87" t="n"/>
      <c r="R86" s="87" t="n"/>
      <c r="S86" s="87" t="n"/>
      <c r="T86" s="87" t="n"/>
      <c r="U86" s="87" t="n"/>
      <c r="V86" s="87" t="n"/>
      <c r="W86" s="87" t="n"/>
      <c r="X86" s="87" t="n"/>
      <c r="Y86" s="87" t="n"/>
      <c r="Z86" s="87" t="n"/>
    </row>
    <row r="87" ht="15.75" customHeight="1">
      <c r="A87" s="87" t="n"/>
      <c r="B87" s="87" t="n"/>
      <c r="C87" s="87" t="n"/>
      <c r="D87" s="87" t="n"/>
      <c r="E87" s="87" t="n"/>
      <c r="F87" s="87" t="n"/>
      <c r="G87" s="87" t="n"/>
      <c r="H87" s="87" t="n"/>
      <c r="I87" s="87" t="n"/>
      <c r="J87" s="87" t="n"/>
      <c r="K87" s="87" t="n"/>
      <c r="L87" s="87" t="n"/>
      <c r="M87" s="87" t="n"/>
      <c r="N87" s="87" t="n"/>
      <c r="O87" s="87" t="n"/>
      <c r="P87" s="87" t="n"/>
      <c r="Q87" s="87" t="n"/>
      <c r="R87" s="87" t="n"/>
      <c r="S87" s="87" t="n"/>
      <c r="T87" s="87" t="n"/>
      <c r="U87" s="87" t="n"/>
      <c r="V87" s="87" t="n"/>
      <c r="W87" s="87" t="n"/>
      <c r="X87" s="87" t="n"/>
      <c r="Y87" s="87" t="n"/>
      <c r="Z87" s="87" t="n"/>
    </row>
    <row r="88" ht="15.75" customHeight="1">
      <c r="A88" s="87" t="n"/>
      <c r="B88" s="87" t="n"/>
      <c r="C88" s="87" t="n"/>
      <c r="D88" s="87" t="n"/>
      <c r="E88" s="87" t="n"/>
      <c r="F88" s="87" t="n"/>
      <c r="G88" s="87" t="n"/>
      <c r="H88" s="87" t="n"/>
      <c r="I88" s="87" t="n"/>
      <c r="J88" s="87" t="n"/>
      <c r="K88" s="87" t="n"/>
      <c r="L88" s="87" t="n"/>
      <c r="M88" s="87" t="n"/>
      <c r="N88" s="87" t="n"/>
      <c r="O88" s="87" t="n"/>
      <c r="P88" s="87" t="n"/>
      <c r="Q88" s="87" t="n"/>
      <c r="R88" s="87" t="n"/>
      <c r="S88" s="87" t="n"/>
      <c r="T88" s="87" t="n"/>
      <c r="U88" s="87" t="n"/>
      <c r="V88" s="87" t="n"/>
      <c r="W88" s="87" t="n"/>
      <c r="X88" s="87" t="n"/>
      <c r="Y88" s="87" t="n"/>
      <c r="Z88" s="87" t="n"/>
    </row>
    <row r="89" ht="15.75" customHeight="1">
      <c r="A89" s="87" t="n"/>
      <c r="B89" s="87" t="n"/>
      <c r="C89" s="87" t="n"/>
      <c r="D89" s="87" t="n"/>
      <c r="E89" s="87" t="n"/>
      <c r="F89" s="87" t="n"/>
      <c r="G89" s="87" t="n"/>
      <c r="H89" s="87" t="n"/>
      <c r="I89" s="87" t="n"/>
      <c r="J89" s="87" t="n"/>
      <c r="K89" s="87" t="n"/>
      <c r="L89" s="87" t="n"/>
      <c r="M89" s="87" t="n"/>
      <c r="N89" s="87" t="n"/>
      <c r="O89" s="87" t="n"/>
      <c r="P89" s="87" t="n"/>
      <c r="Q89" s="87" t="n"/>
      <c r="R89" s="87" t="n"/>
      <c r="S89" s="87" t="n"/>
      <c r="T89" s="87" t="n"/>
      <c r="U89" s="87" t="n"/>
      <c r="V89" s="87" t="n"/>
      <c r="W89" s="87" t="n"/>
      <c r="X89" s="87" t="n"/>
      <c r="Y89" s="87" t="n"/>
      <c r="Z89" s="87" t="n"/>
    </row>
    <row r="90" ht="15.75" customHeight="1">
      <c r="A90" s="87" t="n"/>
      <c r="B90" s="87" t="n"/>
      <c r="C90" s="87" t="n"/>
      <c r="D90" s="87" t="n"/>
      <c r="E90" s="87" t="n"/>
      <c r="F90" s="87" t="n"/>
      <c r="G90" s="87" t="n"/>
      <c r="H90" s="87" t="n"/>
      <c r="I90" s="87" t="n"/>
      <c r="J90" s="87" t="n"/>
      <c r="K90" s="87" t="n"/>
      <c r="L90" s="87" t="n"/>
      <c r="M90" s="87" t="n"/>
      <c r="N90" s="87" t="n"/>
      <c r="O90" s="87" t="n"/>
      <c r="P90" s="87" t="n"/>
      <c r="Q90" s="87" t="n"/>
      <c r="R90" s="87" t="n"/>
      <c r="S90" s="87" t="n"/>
      <c r="T90" s="87" t="n"/>
      <c r="U90" s="87" t="n"/>
      <c r="V90" s="87" t="n"/>
      <c r="W90" s="87" t="n"/>
      <c r="X90" s="87" t="n"/>
      <c r="Y90" s="87" t="n"/>
      <c r="Z90" s="87" t="n"/>
    </row>
    <row r="91" ht="15.75" customHeight="1">
      <c r="A91" s="87" t="n"/>
      <c r="B91" s="87" t="n"/>
      <c r="C91" s="87" t="n"/>
      <c r="D91" s="87" t="n"/>
      <c r="E91" s="87" t="n"/>
      <c r="F91" s="87" t="n"/>
      <c r="G91" s="87" t="n"/>
      <c r="H91" s="87" t="n"/>
      <c r="I91" s="87" t="n"/>
      <c r="J91" s="87" t="n"/>
      <c r="K91" s="87" t="n"/>
      <c r="L91" s="87" t="n"/>
      <c r="M91" s="87" t="n"/>
      <c r="N91" s="87" t="n"/>
      <c r="O91" s="87" t="n"/>
      <c r="P91" s="87" t="n"/>
      <c r="Q91" s="87" t="n"/>
      <c r="R91" s="87" t="n"/>
      <c r="S91" s="87" t="n"/>
      <c r="T91" s="87" t="n"/>
      <c r="U91" s="87" t="n"/>
      <c r="V91" s="87" t="n"/>
      <c r="W91" s="87" t="n"/>
      <c r="X91" s="87" t="n"/>
      <c r="Y91" s="87" t="n"/>
      <c r="Z91" s="87" t="n"/>
    </row>
    <row r="92" ht="15.75" customHeight="1">
      <c r="A92" s="87" t="n"/>
      <c r="B92" s="87" t="n"/>
      <c r="C92" s="87" t="n"/>
      <c r="D92" s="87" t="n"/>
      <c r="E92" s="87" t="n"/>
      <c r="F92" s="87" t="n"/>
      <c r="G92" s="87" t="n"/>
      <c r="H92" s="87" t="n"/>
      <c r="I92" s="87" t="n"/>
      <c r="J92" s="87" t="n"/>
      <c r="K92" s="87" t="n"/>
      <c r="L92" s="87" t="n"/>
      <c r="M92" s="87" t="n"/>
      <c r="N92" s="87" t="n"/>
      <c r="O92" s="87" t="n"/>
      <c r="P92" s="87" t="n"/>
      <c r="Q92" s="87" t="n"/>
      <c r="R92" s="87" t="n"/>
      <c r="S92" s="87" t="n"/>
      <c r="T92" s="87" t="n"/>
      <c r="U92" s="87" t="n"/>
      <c r="V92" s="87" t="n"/>
      <c r="W92" s="87" t="n"/>
      <c r="X92" s="87" t="n"/>
      <c r="Y92" s="87" t="n"/>
      <c r="Z92" s="87" t="n"/>
    </row>
    <row r="93" ht="15.75" customHeight="1">
      <c r="A93" s="87" t="n"/>
      <c r="B93" s="87" t="n"/>
      <c r="C93" s="87" t="n"/>
      <c r="D93" s="87" t="n"/>
      <c r="E93" s="87" t="n"/>
      <c r="F93" s="87" t="n"/>
      <c r="G93" s="87" t="n"/>
      <c r="H93" s="87" t="n"/>
      <c r="I93" s="87" t="n"/>
      <c r="J93" s="87" t="n"/>
      <c r="K93" s="87" t="n"/>
      <c r="L93" s="87" t="n"/>
      <c r="M93" s="87" t="n"/>
      <c r="N93" s="87" t="n"/>
      <c r="O93" s="87" t="n"/>
      <c r="P93" s="87" t="n"/>
      <c r="Q93" s="87" t="n"/>
      <c r="R93" s="87" t="n"/>
      <c r="S93" s="87" t="n"/>
      <c r="T93" s="87" t="n"/>
      <c r="U93" s="87" t="n"/>
      <c r="V93" s="87" t="n"/>
      <c r="W93" s="87" t="n"/>
      <c r="X93" s="87" t="n"/>
      <c r="Y93" s="87" t="n"/>
      <c r="Z93" s="87" t="n"/>
    </row>
    <row r="94" ht="15.75" customHeight="1">
      <c r="A94" s="87" t="n"/>
      <c r="B94" s="87" t="n"/>
      <c r="C94" s="87" t="n"/>
      <c r="D94" s="87" t="n"/>
      <c r="E94" s="87" t="n"/>
      <c r="F94" s="87" t="n"/>
      <c r="G94" s="87" t="n"/>
      <c r="H94" s="87" t="n"/>
      <c r="I94" s="87" t="n"/>
      <c r="J94" s="87" t="n"/>
      <c r="K94" s="87" t="n"/>
      <c r="L94" s="87" t="n"/>
      <c r="M94" s="87" t="n"/>
      <c r="N94" s="87" t="n"/>
      <c r="O94" s="87" t="n"/>
      <c r="P94" s="87" t="n"/>
      <c r="Q94" s="87" t="n"/>
      <c r="R94" s="87" t="n"/>
      <c r="S94" s="87" t="n"/>
      <c r="T94" s="87" t="n"/>
      <c r="U94" s="87" t="n"/>
      <c r="V94" s="87" t="n"/>
      <c r="W94" s="87" t="n"/>
      <c r="X94" s="87" t="n"/>
      <c r="Y94" s="87" t="n"/>
      <c r="Z94" s="87" t="n"/>
    </row>
    <row r="95" ht="15.75" customHeight="1">
      <c r="A95" s="87" t="n"/>
      <c r="B95" s="87" t="n"/>
      <c r="C95" s="87" t="n"/>
      <c r="D95" s="87" t="n"/>
      <c r="E95" s="87" t="n"/>
      <c r="F95" s="87" t="n"/>
      <c r="G95" s="87" t="n"/>
      <c r="H95" s="87" t="n"/>
      <c r="I95" s="87" t="n"/>
      <c r="J95" s="87" t="n"/>
      <c r="K95" s="87" t="n"/>
      <c r="L95" s="87" t="n"/>
      <c r="M95" s="87" t="n"/>
      <c r="N95" s="87" t="n"/>
      <c r="O95" s="87" t="n"/>
      <c r="P95" s="87" t="n"/>
      <c r="Q95" s="87" t="n"/>
      <c r="R95" s="87" t="n"/>
      <c r="S95" s="87" t="n"/>
      <c r="T95" s="87" t="n"/>
      <c r="U95" s="87" t="n"/>
      <c r="V95" s="87" t="n"/>
      <c r="W95" s="87" t="n"/>
      <c r="X95" s="87" t="n"/>
      <c r="Y95" s="87" t="n"/>
      <c r="Z95" s="87" t="n"/>
    </row>
    <row r="96" ht="15.75" customHeight="1">
      <c r="A96" s="87" t="n"/>
      <c r="B96" s="87" t="n"/>
      <c r="C96" s="87" t="n"/>
      <c r="D96" s="87" t="n"/>
      <c r="E96" s="87" t="n"/>
      <c r="F96" s="87" t="n"/>
      <c r="G96" s="87" t="n"/>
      <c r="H96" s="87" t="n"/>
      <c r="I96" s="87" t="n"/>
      <c r="J96" s="87" t="n"/>
      <c r="K96" s="87" t="n"/>
      <c r="L96" s="87" t="n"/>
      <c r="M96" s="87" t="n"/>
      <c r="N96" s="87" t="n"/>
      <c r="O96" s="87" t="n"/>
      <c r="P96" s="87" t="n"/>
      <c r="Q96" s="87" t="n"/>
      <c r="R96" s="87" t="n"/>
      <c r="S96" s="87" t="n"/>
      <c r="T96" s="87" t="n"/>
      <c r="U96" s="87" t="n"/>
      <c r="V96" s="87" t="n"/>
      <c r="W96" s="87" t="n"/>
      <c r="X96" s="87" t="n"/>
      <c r="Y96" s="87" t="n"/>
      <c r="Z96" s="87" t="n"/>
    </row>
    <row r="97" ht="15.75" customHeight="1">
      <c r="A97" s="87" t="n"/>
      <c r="B97" s="87" t="n"/>
      <c r="C97" s="87" t="n"/>
      <c r="D97" s="87" t="n"/>
      <c r="E97" s="87" t="n"/>
      <c r="F97" s="87" t="n"/>
      <c r="G97" s="87" t="n"/>
      <c r="H97" s="87" t="n"/>
      <c r="I97" s="87" t="n"/>
      <c r="J97" s="87" t="n"/>
      <c r="K97" s="87" t="n"/>
      <c r="L97" s="87" t="n"/>
      <c r="M97" s="87" t="n"/>
      <c r="N97" s="87" t="n"/>
      <c r="O97" s="87" t="n"/>
      <c r="P97" s="87" t="n"/>
      <c r="Q97" s="87" t="n"/>
      <c r="R97" s="87" t="n"/>
      <c r="S97" s="87" t="n"/>
      <c r="T97" s="87" t="n"/>
      <c r="U97" s="87" t="n"/>
      <c r="V97" s="87" t="n"/>
      <c r="W97" s="87" t="n"/>
      <c r="X97" s="87" t="n"/>
      <c r="Y97" s="87" t="n"/>
      <c r="Z97" s="87" t="n"/>
    </row>
    <row r="98" ht="15.75" customHeight="1">
      <c r="A98" s="87" t="n"/>
      <c r="B98" s="87" t="n"/>
      <c r="C98" s="87" t="n"/>
      <c r="D98" s="87" t="n"/>
      <c r="E98" s="87" t="n"/>
      <c r="F98" s="87" t="n"/>
      <c r="G98" s="87" t="n"/>
      <c r="H98" s="87" t="n"/>
      <c r="I98" s="87" t="n"/>
      <c r="J98" s="87" t="n"/>
      <c r="K98" s="87" t="n"/>
      <c r="L98" s="87" t="n"/>
      <c r="M98" s="87" t="n"/>
      <c r="N98" s="87" t="n"/>
      <c r="O98" s="87" t="n"/>
      <c r="P98" s="87" t="n"/>
      <c r="Q98" s="87" t="n"/>
      <c r="R98" s="87" t="n"/>
      <c r="S98" s="87" t="n"/>
      <c r="T98" s="87" t="n"/>
      <c r="U98" s="87" t="n"/>
      <c r="V98" s="87" t="n"/>
      <c r="W98" s="87" t="n"/>
      <c r="X98" s="87" t="n"/>
      <c r="Y98" s="87" t="n"/>
      <c r="Z98" s="87" t="n"/>
    </row>
    <row r="99" ht="15.75" customHeight="1">
      <c r="A99" s="87" t="n"/>
      <c r="B99" s="87" t="n"/>
      <c r="C99" s="87" t="n"/>
      <c r="D99" s="87" t="n"/>
      <c r="E99" s="87" t="n"/>
      <c r="F99" s="87" t="n"/>
      <c r="G99" s="87" t="n"/>
      <c r="H99" s="87" t="n"/>
      <c r="I99" s="87" t="n"/>
      <c r="J99" s="87" t="n"/>
      <c r="K99" s="87" t="n"/>
      <c r="L99" s="87" t="n"/>
      <c r="M99" s="87" t="n"/>
      <c r="N99" s="87" t="n"/>
      <c r="O99" s="87" t="n"/>
      <c r="P99" s="87" t="n"/>
      <c r="Q99" s="87" t="n"/>
      <c r="R99" s="87" t="n"/>
      <c r="S99" s="87" t="n"/>
      <c r="T99" s="87" t="n"/>
      <c r="U99" s="87" t="n"/>
      <c r="V99" s="87" t="n"/>
      <c r="W99" s="87" t="n"/>
      <c r="X99" s="87" t="n"/>
      <c r="Y99" s="87" t="n"/>
      <c r="Z99" s="87" t="n"/>
    </row>
    <row r="100" ht="15.75" customHeight="1">
      <c r="A100" s="87" t="n"/>
      <c r="B100" s="87" t="n"/>
      <c r="C100" s="87" t="n"/>
      <c r="D100" s="87" t="n"/>
      <c r="E100" s="87" t="n"/>
      <c r="F100" s="87" t="n"/>
      <c r="G100" s="87" t="n"/>
      <c r="H100" s="87" t="n"/>
      <c r="I100" s="87" t="n"/>
      <c r="J100" s="87" t="n"/>
      <c r="K100" s="87" t="n"/>
      <c r="L100" s="87" t="n"/>
      <c r="M100" s="87" t="n"/>
      <c r="N100" s="87" t="n"/>
      <c r="O100" s="87" t="n"/>
      <c r="P100" s="87" t="n"/>
      <c r="Q100" s="87" t="n"/>
      <c r="R100" s="87" t="n"/>
      <c r="S100" s="87" t="n"/>
      <c r="T100" s="87" t="n"/>
      <c r="U100" s="87" t="n"/>
      <c r="V100" s="87" t="n"/>
      <c r="W100" s="87" t="n"/>
      <c r="X100" s="87" t="n"/>
      <c r="Y100" s="87" t="n"/>
      <c r="Z100" s="87" t="n"/>
    </row>
    <row r="101" ht="15.75" customHeight="1">
      <c r="A101" s="87" t="n"/>
      <c r="B101" s="87" t="n"/>
      <c r="C101" s="87" t="n"/>
      <c r="D101" s="87" t="n"/>
      <c r="E101" s="87" t="n"/>
      <c r="F101" s="87" t="n"/>
      <c r="G101" s="87" t="n"/>
      <c r="H101" s="87" t="n"/>
      <c r="I101" s="87" t="n"/>
      <c r="J101" s="87" t="n"/>
      <c r="K101" s="87" t="n"/>
      <c r="L101" s="87" t="n"/>
      <c r="M101" s="87" t="n"/>
      <c r="N101" s="87" t="n"/>
      <c r="O101" s="87" t="n"/>
      <c r="P101" s="87" t="n"/>
      <c r="Q101" s="87" t="n"/>
      <c r="R101" s="87" t="n"/>
      <c r="S101" s="87" t="n"/>
      <c r="T101" s="87" t="n"/>
      <c r="U101" s="87" t="n"/>
      <c r="V101" s="87" t="n"/>
      <c r="W101" s="87" t="n"/>
      <c r="X101" s="87" t="n"/>
      <c r="Y101" s="87" t="n"/>
      <c r="Z101" s="87" t="n"/>
    </row>
    <row r="102" ht="15.75" customHeight="1">
      <c r="A102" s="87" t="n"/>
      <c r="B102" s="87" t="n"/>
      <c r="C102" s="87" t="n"/>
      <c r="D102" s="87" t="n"/>
      <c r="E102" s="87" t="n"/>
      <c r="F102" s="87" t="n"/>
      <c r="G102" s="87" t="n"/>
      <c r="H102" s="87" t="n"/>
      <c r="I102" s="87" t="n"/>
      <c r="J102" s="87" t="n"/>
      <c r="K102" s="87" t="n"/>
      <c r="L102" s="87" t="n"/>
      <c r="M102" s="87" t="n"/>
      <c r="N102" s="87" t="n"/>
      <c r="O102" s="87" t="n"/>
      <c r="P102" s="87" t="n"/>
      <c r="Q102" s="87" t="n"/>
      <c r="R102" s="87" t="n"/>
      <c r="S102" s="87" t="n"/>
      <c r="T102" s="87" t="n"/>
      <c r="U102" s="87" t="n"/>
      <c r="V102" s="87" t="n"/>
      <c r="W102" s="87" t="n"/>
      <c r="X102" s="87" t="n"/>
      <c r="Y102" s="87" t="n"/>
      <c r="Z102" s="87" t="n"/>
    </row>
    <row r="103" ht="15.75" customHeight="1">
      <c r="A103" s="87" t="n"/>
      <c r="B103" s="87" t="n"/>
      <c r="C103" s="87" t="n"/>
      <c r="D103" s="87" t="n"/>
      <c r="E103" s="87" t="n"/>
      <c r="F103" s="87" t="n"/>
      <c r="G103" s="87" t="n"/>
      <c r="H103" s="87" t="n"/>
      <c r="I103" s="87" t="n"/>
      <c r="J103" s="87" t="n"/>
      <c r="K103" s="87" t="n"/>
      <c r="L103" s="87" t="n"/>
      <c r="M103" s="87" t="n"/>
      <c r="N103" s="87" t="n"/>
      <c r="O103" s="87" t="n"/>
      <c r="P103" s="87" t="n"/>
      <c r="Q103" s="87" t="n"/>
      <c r="R103" s="87" t="n"/>
      <c r="S103" s="87" t="n"/>
      <c r="T103" s="87" t="n"/>
      <c r="U103" s="87" t="n"/>
      <c r="V103" s="87" t="n"/>
      <c r="W103" s="87" t="n"/>
      <c r="X103" s="87" t="n"/>
      <c r="Y103" s="87" t="n"/>
      <c r="Z103" s="87" t="n"/>
    </row>
    <row r="104" ht="15.75" customHeight="1">
      <c r="A104" s="87" t="n"/>
      <c r="B104" s="87" t="n"/>
      <c r="C104" s="87" t="n"/>
      <c r="D104" s="87" t="n"/>
      <c r="E104" s="87" t="n"/>
      <c r="F104" s="87" t="n"/>
      <c r="G104" s="87" t="n"/>
      <c r="H104" s="87" t="n"/>
      <c r="I104" s="87" t="n"/>
      <c r="J104" s="87" t="n"/>
      <c r="K104" s="87" t="n"/>
      <c r="L104" s="87" t="n"/>
      <c r="M104" s="87" t="n"/>
      <c r="N104" s="87" t="n"/>
      <c r="O104" s="87" t="n"/>
      <c r="P104" s="87" t="n"/>
      <c r="Q104" s="87" t="n"/>
      <c r="R104" s="87" t="n"/>
      <c r="S104" s="87" t="n"/>
      <c r="T104" s="87" t="n"/>
      <c r="U104" s="87" t="n"/>
      <c r="V104" s="87" t="n"/>
      <c r="W104" s="87" t="n"/>
      <c r="X104" s="87" t="n"/>
      <c r="Y104" s="87" t="n"/>
      <c r="Z104" s="87" t="n"/>
    </row>
    <row r="105" ht="15.75" customHeight="1">
      <c r="A105" s="87" t="n"/>
      <c r="B105" s="87" t="n"/>
      <c r="C105" s="87" t="n"/>
      <c r="D105" s="87" t="n"/>
      <c r="E105" s="87" t="n"/>
      <c r="F105" s="87" t="n"/>
      <c r="G105" s="87" t="n"/>
      <c r="H105" s="87" t="n"/>
      <c r="I105" s="87" t="n"/>
      <c r="J105" s="87" t="n"/>
      <c r="K105" s="87" t="n"/>
      <c r="L105" s="87" t="n"/>
      <c r="M105" s="87" t="n"/>
      <c r="N105" s="87" t="n"/>
      <c r="O105" s="87" t="n"/>
      <c r="P105" s="87" t="n"/>
      <c r="Q105" s="87" t="n"/>
      <c r="R105" s="87" t="n"/>
      <c r="S105" s="87" t="n"/>
      <c r="T105" s="87" t="n"/>
      <c r="U105" s="87" t="n"/>
      <c r="V105" s="87" t="n"/>
      <c r="W105" s="87" t="n"/>
      <c r="X105" s="87" t="n"/>
      <c r="Y105" s="87" t="n"/>
      <c r="Z105" s="87" t="n"/>
    </row>
    <row r="106" ht="15.75" customHeight="1">
      <c r="A106" s="87" t="n"/>
      <c r="B106" s="87" t="n"/>
      <c r="C106" s="87" t="n"/>
      <c r="D106" s="87" t="n"/>
      <c r="E106" s="87" t="n"/>
      <c r="F106" s="87" t="n"/>
      <c r="G106" s="87" t="n"/>
      <c r="H106" s="87" t="n"/>
      <c r="I106" s="87" t="n"/>
      <c r="J106" s="87" t="n"/>
      <c r="K106" s="87" t="n"/>
      <c r="L106" s="87" t="n"/>
      <c r="M106" s="87" t="n"/>
      <c r="N106" s="87" t="n"/>
      <c r="O106" s="87" t="n"/>
      <c r="P106" s="87" t="n"/>
      <c r="Q106" s="87" t="n"/>
      <c r="R106" s="87" t="n"/>
      <c r="S106" s="87" t="n"/>
      <c r="T106" s="87" t="n"/>
      <c r="U106" s="87" t="n"/>
      <c r="V106" s="87" t="n"/>
      <c r="W106" s="87" t="n"/>
      <c r="X106" s="87" t="n"/>
      <c r="Y106" s="87" t="n"/>
      <c r="Z106" s="87" t="n"/>
    </row>
    <row r="107" ht="15.75" customHeight="1">
      <c r="A107" s="87" t="n"/>
      <c r="B107" s="87" t="n"/>
      <c r="C107" s="87" t="n"/>
      <c r="D107" s="87" t="n"/>
      <c r="E107" s="87" t="n"/>
      <c r="F107" s="87" t="n"/>
      <c r="G107" s="87" t="n"/>
      <c r="H107" s="87" t="n"/>
      <c r="I107" s="87" t="n"/>
      <c r="J107" s="87" t="n"/>
      <c r="K107" s="87" t="n"/>
      <c r="L107" s="87" t="n"/>
      <c r="M107" s="87" t="n"/>
      <c r="N107" s="87" t="n"/>
      <c r="O107" s="87" t="n"/>
      <c r="P107" s="87" t="n"/>
      <c r="Q107" s="87" t="n"/>
      <c r="R107" s="87" t="n"/>
      <c r="S107" s="87" t="n"/>
      <c r="T107" s="87" t="n"/>
      <c r="U107" s="87" t="n"/>
      <c r="V107" s="87" t="n"/>
      <c r="W107" s="87" t="n"/>
      <c r="X107" s="87" t="n"/>
      <c r="Y107" s="87" t="n"/>
      <c r="Z107" s="87" t="n"/>
    </row>
    <row r="108" ht="15.75" customHeight="1">
      <c r="A108" s="87" t="n"/>
      <c r="B108" s="87" t="n"/>
      <c r="C108" s="87" t="n"/>
      <c r="D108" s="87" t="n"/>
      <c r="E108" s="87" t="n"/>
      <c r="F108" s="87" t="n"/>
      <c r="G108" s="87" t="n"/>
      <c r="H108" s="87" t="n"/>
      <c r="I108" s="87" t="n"/>
      <c r="J108" s="87" t="n"/>
      <c r="K108" s="87" t="n"/>
      <c r="L108" s="87" t="n"/>
      <c r="M108" s="87" t="n"/>
      <c r="N108" s="87" t="n"/>
      <c r="O108" s="87" t="n"/>
      <c r="P108" s="87" t="n"/>
      <c r="Q108" s="87" t="n"/>
      <c r="R108" s="87" t="n"/>
      <c r="S108" s="87" t="n"/>
      <c r="T108" s="87" t="n"/>
      <c r="U108" s="87" t="n"/>
      <c r="V108" s="87" t="n"/>
      <c r="W108" s="87" t="n"/>
      <c r="X108" s="87" t="n"/>
      <c r="Y108" s="87" t="n"/>
      <c r="Z108" s="87" t="n"/>
    </row>
    <row r="109" ht="15.75" customHeight="1">
      <c r="A109" s="87" t="n"/>
      <c r="B109" s="87" t="n"/>
      <c r="C109" s="87" t="n"/>
      <c r="D109" s="87" t="n"/>
      <c r="E109" s="87" t="n"/>
      <c r="F109" s="87" t="n"/>
      <c r="G109" s="87" t="n"/>
      <c r="H109" s="87" t="n"/>
      <c r="I109" s="87" t="n"/>
      <c r="J109" s="87" t="n"/>
      <c r="K109" s="87" t="n"/>
      <c r="L109" s="87" t="n"/>
      <c r="M109" s="87" t="n"/>
      <c r="N109" s="87" t="n"/>
      <c r="O109" s="87" t="n"/>
      <c r="P109" s="87" t="n"/>
      <c r="Q109" s="87" t="n"/>
      <c r="R109" s="87" t="n"/>
      <c r="S109" s="87" t="n"/>
      <c r="T109" s="87" t="n"/>
      <c r="U109" s="87" t="n"/>
      <c r="V109" s="87" t="n"/>
      <c r="W109" s="87" t="n"/>
      <c r="X109" s="87" t="n"/>
      <c r="Y109" s="87" t="n"/>
      <c r="Z109" s="87" t="n"/>
    </row>
    <row r="110" ht="15.75" customHeight="1">
      <c r="A110" s="87" t="n"/>
      <c r="B110" s="87" t="n"/>
      <c r="C110" s="87" t="n"/>
      <c r="D110" s="87" t="n"/>
      <c r="E110" s="87" t="n"/>
      <c r="F110" s="87" t="n"/>
      <c r="G110" s="87" t="n"/>
      <c r="H110" s="87" t="n"/>
      <c r="I110" s="87" t="n"/>
      <c r="J110" s="87" t="n"/>
      <c r="K110" s="87" t="n"/>
      <c r="L110" s="87" t="n"/>
      <c r="M110" s="87" t="n"/>
      <c r="N110" s="87" t="n"/>
      <c r="O110" s="87" t="n"/>
      <c r="P110" s="87" t="n"/>
      <c r="Q110" s="87" t="n"/>
      <c r="R110" s="87" t="n"/>
      <c r="S110" s="87" t="n"/>
      <c r="T110" s="87" t="n"/>
      <c r="U110" s="87" t="n"/>
      <c r="V110" s="87" t="n"/>
      <c r="W110" s="87" t="n"/>
      <c r="X110" s="87" t="n"/>
      <c r="Y110" s="87" t="n"/>
      <c r="Z110" s="87" t="n"/>
    </row>
    <row r="111" ht="15.75" customHeight="1">
      <c r="A111" s="87" t="n"/>
      <c r="B111" s="87" t="n"/>
      <c r="C111" s="87" t="n"/>
      <c r="D111" s="87" t="n"/>
      <c r="E111" s="87" t="n"/>
      <c r="F111" s="87" t="n"/>
      <c r="G111" s="87" t="n"/>
      <c r="H111" s="87" t="n"/>
      <c r="I111" s="87" t="n"/>
      <c r="J111" s="87" t="n"/>
      <c r="K111" s="87" t="n"/>
      <c r="L111" s="87" t="n"/>
      <c r="M111" s="87" t="n"/>
      <c r="N111" s="87" t="n"/>
      <c r="O111" s="87" t="n"/>
      <c r="P111" s="87" t="n"/>
      <c r="Q111" s="87" t="n"/>
      <c r="R111" s="87" t="n"/>
      <c r="S111" s="87" t="n"/>
      <c r="T111" s="87" t="n"/>
      <c r="U111" s="87" t="n"/>
      <c r="V111" s="87" t="n"/>
      <c r="W111" s="87" t="n"/>
      <c r="X111" s="87" t="n"/>
      <c r="Y111" s="87" t="n"/>
      <c r="Z111" s="87" t="n"/>
    </row>
    <row r="112" ht="15.75" customHeight="1">
      <c r="A112" s="87" t="n"/>
      <c r="B112" s="87" t="n"/>
      <c r="C112" s="87" t="n"/>
      <c r="D112" s="87" t="n"/>
      <c r="E112" s="87" t="n"/>
      <c r="F112" s="87" t="n"/>
      <c r="G112" s="87" t="n"/>
      <c r="H112" s="87" t="n"/>
      <c r="I112" s="87" t="n"/>
      <c r="J112" s="87" t="n"/>
      <c r="K112" s="87" t="n"/>
      <c r="L112" s="87" t="n"/>
      <c r="M112" s="87" t="n"/>
      <c r="N112" s="87" t="n"/>
      <c r="O112" s="87" t="n"/>
      <c r="P112" s="87" t="n"/>
      <c r="Q112" s="87" t="n"/>
      <c r="R112" s="87" t="n"/>
      <c r="S112" s="87" t="n"/>
      <c r="T112" s="87" t="n"/>
      <c r="U112" s="87" t="n"/>
      <c r="V112" s="87" t="n"/>
      <c r="W112" s="87" t="n"/>
      <c r="X112" s="87" t="n"/>
      <c r="Y112" s="87" t="n"/>
      <c r="Z112" s="87" t="n"/>
    </row>
    <row r="113" ht="15.75" customHeight="1">
      <c r="A113" s="87" t="n"/>
      <c r="B113" s="87" t="n"/>
      <c r="C113" s="87" t="n"/>
      <c r="D113" s="87" t="n"/>
      <c r="E113" s="87" t="n"/>
      <c r="F113" s="87" t="n"/>
      <c r="G113" s="87" t="n"/>
      <c r="H113" s="87" t="n"/>
      <c r="I113" s="87" t="n"/>
      <c r="J113" s="87" t="n"/>
      <c r="K113" s="87" t="n"/>
      <c r="L113" s="87" t="n"/>
      <c r="M113" s="87" t="n"/>
      <c r="N113" s="87" t="n"/>
      <c r="O113" s="87" t="n"/>
      <c r="P113" s="87" t="n"/>
      <c r="Q113" s="87" t="n"/>
      <c r="R113" s="87" t="n"/>
      <c r="S113" s="87" t="n"/>
      <c r="T113" s="87" t="n"/>
      <c r="U113" s="87" t="n"/>
      <c r="V113" s="87" t="n"/>
      <c r="W113" s="87" t="n"/>
      <c r="X113" s="87" t="n"/>
      <c r="Y113" s="87" t="n"/>
      <c r="Z113" s="87" t="n"/>
    </row>
    <row r="114" ht="15.75" customHeight="1">
      <c r="A114" s="87" t="n"/>
      <c r="B114" s="87" t="n"/>
      <c r="C114" s="87" t="n"/>
      <c r="D114" s="87" t="n"/>
      <c r="E114" s="87" t="n"/>
      <c r="F114" s="87" t="n"/>
      <c r="G114" s="87" t="n"/>
      <c r="H114" s="87" t="n"/>
      <c r="I114" s="87" t="n"/>
      <c r="J114" s="87" t="n"/>
      <c r="K114" s="87" t="n"/>
      <c r="L114" s="87" t="n"/>
      <c r="M114" s="87" t="n"/>
      <c r="N114" s="87" t="n"/>
      <c r="O114" s="87" t="n"/>
      <c r="P114" s="87" t="n"/>
      <c r="Q114" s="87" t="n"/>
      <c r="R114" s="87" t="n"/>
      <c r="S114" s="87" t="n"/>
      <c r="T114" s="87" t="n"/>
      <c r="U114" s="87" t="n"/>
      <c r="V114" s="87" t="n"/>
      <c r="W114" s="87" t="n"/>
      <c r="X114" s="87" t="n"/>
      <c r="Y114" s="87" t="n"/>
      <c r="Z114" s="87" t="n"/>
    </row>
    <row r="115" ht="15.75" customHeight="1">
      <c r="A115" s="87" t="n"/>
      <c r="B115" s="87" t="n"/>
      <c r="C115" s="87" t="n"/>
      <c r="D115" s="87" t="n"/>
      <c r="E115" s="87" t="n"/>
      <c r="F115" s="87" t="n"/>
      <c r="G115" s="87" t="n"/>
      <c r="H115" s="87" t="n"/>
      <c r="I115" s="87" t="n"/>
      <c r="J115" s="87" t="n"/>
      <c r="K115" s="87" t="n"/>
      <c r="L115" s="87" t="n"/>
      <c r="M115" s="87" t="n"/>
      <c r="N115" s="87" t="n"/>
      <c r="O115" s="87" t="n"/>
      <c r="P115" s="87" t="n"/>
      <c r="Q115" s="87" t="n"/>
      <c r="R115" s="87" t="n"/>
      <c r="S115" s="87" t="n"/>
      <c r="T115" s="87" t="n"/>
      <c r="U115" s="87" t="n"/>
      <c r="V115" s="87" t="n"/>
      <c r="W115" s="87" t="n"/>
      <c r="X115" s="87" t="n"/>
      <c r="Y115" s="87" t="n"/>
      <c r="Z115" s="87" t="n"/>
    </row>
    <row r="116" ht="15.75" customHeight="1">
      <c r="A116" s="87" t="n"/>
      <c r="B116" s="87" t="n"/>
      <c r="C116" s="87" t="n"/>
      <c r="D116" s="87" t="n"/>
      <c r="E116" s="87" t="n"/>
      <c r="F116" s="87" t="n"/>
      <c r="G116" s="87" t="n"/>
      <c r="H116" s="87" t="n"/>
      <c r="I116" s="87" t="n"/>
      <c r="J116" s="87" t="n"/>
      <c r="K116" s="87" t="n"/>
      <c r="L116" s="87" t="n"/>
      <c r="M116" s="87" t="n"/>
      <c r="N116" s="87" t="n"/>
      <c r="O116" s="87" t="n"/>
      <c r="P116" s="87" t="n"/>
      <c r="Q116" s="87" t="n"/>
      <c r="R116" s="87" t="n"/>
      <c r="S116" s="87" t="n"/>
      <c r="T116" s="87" t="n"/>
      <c r="U116" s="87" t="n"/>
      <c r="V116" s="87" t="n"/>
      <c r="W116" s="87" t="n"/>
      <c r="X116" s="87" t="n"/>
      <c r="Y116" s="87" t="n"/>
      <c r="Z116" s="87" t="n"/>
    </row>
    <row r="117" ht="15.75" customHeight="1">
      <c r="A117" s="87" t="n"/>
      <c r="B117" s="87" t="n"/>
      <c r="C117" s="87" t="n"/>
      <c r="D117" s="87" t="n"/>
      <c r="E117" s="87" t="n"/>
      <c r="F117" s="87" t="n"/>
      <c r="G117" s="87" t="n"/>
      <c r="H117" s="87" t="n"/>
      <c r="I117" s="87" t="n"/>
      <c r="J117" s="87" t="n"/>
      <c r="K117" s="87" t="n"/>
      <c r="L117" s="87" t="n"/>
      <c r="M117" s="87" t="n"/>
      <c r="N117" s="87" t="n"/>
      <c r="O117" s="87" t="n"/>
      <c r="P117" s="87" t="n"/>
      <c r="Q117" s="87" t="n"/>
      <c r="R117" s="87" t="n"/>
      <c r="S117" s="87" t="n"/>
      <c r="T117" s="87" t="n"/>
      <c r="U117" s="87" t="n"/>
      <c r="V117" s="87" t="n"/>
      <c r="W117" s="87" t="n"/>
      <c r="X117" s="87" t="n"/>
      <c r="Y117" s="87" t="n"/>
      <c r="Z117" s="87" t="n"/>
    </row>
    <row r="118" ht="15.75" customHeight="1">
      <c r="A118" s="87" t="n"/>
      <c r="B118" s="87" t="n"/>
      <c r="C118" s="87" t="n"/>
      <c r="D118" s="87" t="n"/>
      <c r="E118" s="87" t="n"/>
      <c r="F118" s="87" t="n"/>
      <c r="G118" s="87" t="n"/>
      <c r="H118" s="87" t="n"/>
      <c r="I118" s="87" t="n"/>
      <c r="J118" s="87" t="n"/>
      <c r="K118" s="87" t="n"/>
      <c r="L118" s="87" t="n"/>
      <c r="M118" s="87" t="n"/>
      <c r="N118" s="87" t="n"/>
      <c r="O118" s="87" t="n"/>
      <c r="P118" s="87" t="n"/>
      <c r="Q118" s="87" t="n"/>
      <c r="R118" s="87" t="n"/>
      <c r="S118" s="87" t="n"/>
      <c r="T118" s="87" t="n"/>
      <c r="U118" s="87" t="n"/>
      <c r="V118" s="87" t="n"/>
      <c r="W118" s="87" t="n"/>
      <c r="X118" s="87" t="n"/>
      <c r="Y118" s="87" t="n"/>
      <c r="Z118" s="87" t="n"/>
    </row>
    <row r="119" ht="15.75" customHeight="1">
      <c r="A119" s="87" t="n"/>
      <c r="B119" s="87" t="n"/>
      <c r="C119" s="87" t="n"/>
      <c r="D119" s="87" t="n"/>
      <c r="E119" s="87" t="n"/>
      <c r="F119" s="87" t="n"/>
      <c r="G119" s="87" t="n"/>
      <c r="H119" s="87" t="n"/>
      <c r="I119" s="87" t="n"/>
      <c r="J119" s="87" t="n"/>
      <c r="K119" s="87" t="n"/>
      <c r="L119" s="87" t="n"/>
      <c r="M119" s="87" t="n"/>
      <c r="N119" s="87" t="n"/>
      <c r="O119" s="87" t="n"/>
      <c r="P119" s="87" t="n"/>
      <c r="Q119" s="87" t="n"/>
      <c r="R119" s="87" t="n"/>
      <c r="S119" s="87" t="n"/>
      <c r="T119" s="87" t="n"/>
      <c r="U119" s="87" t="n"/>
      <c r="V119" s="87" t="n"/>
      <c r="W119" s="87" t="n"/>
      <c r="X119" s="87" t="n"/>
      <c r="Y119" s="87" t="n"/>
      <c r="Z119" s="87" t="n"/>
    </row>
    <row r="120" ht="15.75" customHeight="1">
      <c r="A120" s="87" t="n"/>
      <c r="B120" s="87" t="n"/>
      <c r="C120" s="87" t="n"/>
      <c r="D120" s="87" t="n"/>
      <c r="E120" s="87" t="n"/>
      <c r="F120" s="87" t="n"/>
      <c r="G120" s="87" t="n"/>
      <c r="H120" s="87" t="n"/>
      <c r="I120" s="87" t="n"/>
      <c r="J120" s="87" t="n"/>
      <c r="K120" s="87" t="n"/>
      <c r="L120" s="87" t="n"/>
      <c r="M120" s="87" t="n"/>
      <c r="N120" s="87" t="n"/>
      <c r="O120" s="87" t="n"/>
      <c r="P120" s="87" t="n"/>
      <c r="Q120" s="87" t="n"/>
      <c r="R120" s="87" t="n"/>
      <c r="S120" s="87" t="n"/>
      <c r="T120" s="87" t="n"/>
      <c r="U120" s="87" t="n"/>
      <c r="V120" s="87" t="n"/>
      <c r="W120" s="87" t="n"/>
      <c r="X120" s="87" t="n"/>
      <c r="Y120" s="87" t="n"/>
      <c r="Z120" s="87" t="n"/>
    </row>
    <row r="121" ht="15.75" customHeight="1">
      <c r="A121" s="87" t="n"/>
      <c r="B121" s="87" t="n"/>
      <c r="C121" s="87" t="n"/>
      <c r="D121" s="87" t="n"/>
      <c r="E121" s="87" t="n"/>
      <c r="F121" s="87" t="n"/>
      <c r="G121" s="87" t="n"/>
      <c r="H121" s="87" t="n"/>
      <c r="I121" s="87" t="n"/>
      <c r="J121" s="87" t="n"/>
      <c r="K121" s="87" t="n"/>
      <c r="L121" s="87" t="n"/>
      <c r="M121" s="87" t="n"/>
      <c r="N121" s="87" t="n"/>
      <c r="O121" s="87" t="n"/>
      <c r="P121" s="87" t="n"/>
      <c r="Q121" s="87" t="n"/>
      <c r="R121" s="87" t="n"/>
      <c r="S121" s="87" t="n"/>
      <c r="T121" s="87" t="n"/>
      <c r="U121" s="87" t="n"/>
      <c r="V121" s="87" t="n"/>
      <c r="W121" s="87" t="n"/>
      <c r="X121" s="87" t="n"/>
      <c r="Y121" s="87" t="n"/>
      <c r="Z121" s="87" t="n"/>
    </row>
    <row r="122" ht="15.75" customHeight="1">
      <c r="A122" s="87" t="n"/>
      <c r="B122" s="87" t="n"/>
      <c r="C122" s="87" t="n"/>
      <c r="D122" s="87" t="n"/>
      <c r="E122" s="87" t="n"/>
      <c r="F122" s="87" t="n"/>
      <c r="G122" s="87" t="n"/>
      <c r="H122" s="87" t="n"/>
      <c r="I122" s="87" t="n"/>
      <c r="J122" s="87" t="n"/>
      <c r="K122" s="87" t="n"/>
      <c r="L122" s="87" t="n"/>
      <c r="M122" s="87" t="n"/>
      <c r="N122" s="87" t="n"/>
      <c r="O122" s="87" t="n"/>
      <c r="P122" s="87" t="n"/>
      <c r="Q122" s="87" t="n"/>
      <c r="R122" s="87" t="n"/>
      <c r="S122" s="87" t="n"/>
      <c r="T122" s="87" t="n"/>
      <c r="U122" s="87" t="n"/>
      <c r="V122" s="87" t="n"/>
      <c r="W122" s="87" t="n"/>
      <c r="X122" s="87" t="n"/>
      <c r="Y122" s="87" t="n"/>
      <c r="Z122" s="87" t="n"/>
    </row>
    <row r="123" ht="15.75" customHeight="1">
      <c r="A123" s="87" t="n"/>
      <c r="B123" s="87" t="n"/>
      <c r="C123" s="87" t="n"/>
      <c r="D123" s="87" t="n"/>
      <c r="E123" s="87" t="n"/>
      <c r="F123" s="87" t="n"/>
      <c r="G123" s="87" t="n"/>
      <c r="H123" s="87" t="n"/>
      <c r="I123" s="87" t="n"/>
      <c r="J123" s="87" t="n"/>
      <c r="K123" s="87" t="n"/>
      <c r="L123" s="87" t="n"/>
      <c r="M123" s="87" t="n"/>
      <c r="N123" s="87" t="n"/>
      <c r="O123" s="87" t="n"/>
      <c r="P123" s="87" t="n"/>
      <c r="Q123" s="87" t="n"/>
      <c r="R123" s="87" t="n"/>
      <c r="S123" s="87" t="n"/>
      <c r="T123" s="87" t="n"/>
      <c r="U123" s="87" t="n"/>
      <c r="V123" s="87" t="n"/>
      <c r="W123" s="87" t="n"/>
      <c r="X123" s="87" t="n"/>
      <c r="Y123" s="87" t="n"/>
      <c r="Z123" s="87" t="n"/>
    </row>
    <row r="124" ht="15.75" customHeight="1">
      <c r="A124" s="87" t="n"/>
      <c r="B124" s="87" t="n"/>
      <c r="C124" s="87" t="n"/>
      <c r="D124" s="87" t="n"/>
      <c r="E124" s="87" t="n"/>
      <c r="F124" s="87" t="n"/>
      <c r="G124" s="87" t="n"/>
      <c r="H124" s="87" t="n"/>
      <c r="I124" s="87" t="n"/>
      <c r="J124" s="87" t="n"/>
      <c r="K124" s="87" t="n"/>
      <c r="L124" s="87" t="n"/>
      <c r="M124" s="87" t="n"/>
      <c r="N124" s="87" t="n"/>
      <c r="O124" s="87" t="n"/>
      <c r="P124" s="87" t="n"/>
      <c r="Q124" s="87" t="n"/>
      <c r="R124" s="87" t="n"/>
      <c r="S124" s="87" t="n"/>
      <c r="T124" s="87" t="n"/>
      <c r="U124" s="87" t="n"/>
      <c r="V124" s="87" t="n"/>
      <c r="W124" s="87" t="n"/>
      <c r="X124" s="87" t="n"/>
      <c r="Y124" s="87" t="n"/>
      <c r="Z124" s="87" t="n"/>
    </row>
    <row r="125" ht="15.75" customHeight="1">
      <c r="A125" s="87" t="n"/>
      <c r="B125" s="87" t="n"/>
      <c r="C125" s="87" t="n"/>
      <c r="D125" s="87" t="n"/>
      <c r="E125" s="87" t="n"/>
      <c r="F125" s="87" t="n"/>
      <c r="G125" s="87" t="n"/>
      <c r="H125" s="87" t="n"/>
      <c r="I125" s="87" t="n"/>
      <c r="J125" s="87" t="n"/>
      <c r="K125" s="87" t="n"/>
      <c r="L125" s="87" t="n"/>
      <c r="M125" s="87" t="n"/>
      <c r="N125" s="87" t="n"/>
      <c r="O125" s="87" t="n"/>
      <c r="P125" s="87" t="n"/>
      <c r="Q125" s="87" t="n"/>
      <c r="R125" s="87" t="n"/>
      <c r="S125" s="87" t="n"/>
      <c r="T125" s="87" t="n"/>
      <c r="U125" s="87" t="n"/>
      <c r="V125" s="87" t="n"/>
      <c r="W125" s="87" t="n"/>
      <c r="X125" s="87" t="n"/>
      <c r="Y125" s="87" t="n"/>
      <c r="Z125" s="87" t="n"/>
    </row>
    <row r="126" ht="15.75" customHeight="1">
      <c r="A126" s="87" t="n"/>
      <c r="B126" s="87" t="n"/>
      <c r="C126" s="87" t="n"/>
      <c r="D126" s="87" t="n"/>
      <c r="E126" s="87" t="n"/>
      <c r="F126" s="87" t="n"/>
      <c r="G126" s="87" t="n"/>
      <c r="H126" s="87" t="n"/>
      <c r="I126" s="87" t="n"/>
      <c r="J126" s="87" t="n"/>
      <c r="K126" s="87" t="n"/>
      <c r="L126" s="87" t="n"/>
      <c r="M126" s="87" t="n"/>
      <c r="N126" s="87" t="n"/>
      <c r="O126" s="87" t="n"/>
      <c r="P126" s="87" t="n"/>
      <c r="Q126" s="87" t="n"/>
      <c r="R126" s="87" t="n"/>
      <c r="S126" s="87" t="n"/>
      <c r="T126" s="87" t="n"/>
      <c r="U126" s="87" t="n"/>
      <c r="V126" s="87" t="n"/>
      <c r="W126" s="87" t="n"/>
      <c r="X126" s="87" t="n"/>
      <c r="Y126" s="87" t="n"/>
      <c r="Z126" s="87" t="n"/>
    </row>
    <row r="127" ht="15.75" customHeight="1">
      <c r="A127" s="87" t="n"/>
      <c r="B127" s="87" t="n"/>
      <c r="C127" s="87" t="n"/>
      <c r="D127" s="87" t="n"/>
      <c r="E127" s="87" t="n"/>
      <c r="F127" s="87" t="n"/>
      <c r="G127" s="87" t="n"/>
      <c r="H127" s="87" t="n"/>
      <c r="I127" s="87" t="n"/>
      <c r="J127" s="87" t="n"/>
      <c r="K127" s="87" t="n"/>
      <c r="L127" s="87" t="n"/>
      <c r="M127" s="87" t="n"/>
      <c r="N127" s="87" t="n"/>
      <c r="O127" s="87" t="n"/>
      <c r="P127" s="87" t="n"/>
      <c r="Q127" s="87" t="n"/>
      <c r="R127" s="87" t="n"/>
      <c r="S127" s="87" t="n"/>
      <c r="T127" s="87" t="n"/>
      <c r="U127" s="87" t="n"/>
      <c r="V127" s="87" t="n"/>
      <c r="W127" s="87" t="n"/>
      <c r="X127" s="87" t="n"/>
      <c r="Y127" s="87" t="n"/>
      <c r="Z127" s="87" t="n"/>
    </row>
    <row r="128" ht="15.75" customHeight="1">
      <c r="A128" s="87" t="n"/>
      <c r="B128" s="87" t="n"/>
      <c r="C128" s="87" t="n"/>
      <c r="D128" s="87" t="n"/>
      <c r="E128" s="87" t="n"/>
      <c r="F128" s="87" t="n"/>
      <c r="G128" s="87" t="n"/>
      <c r="H128" s="87" t="n"/>
      <c r="I128" s="87" t="n"/>
      <c r="J128" s="87" t="n"/>
      <c r="K128" s="87" t="n"/>
      <c r="L128" s="87" t="n"/>
      <c r="M128" s="87" t="n"/>
      <c r="N128" s="87" t="n"/>
      <c r="O128" s="87" t="n"/>
      <c r="P128" s="87" t="n"/>
      <c r="Q128" s="87" t="n"/>
      <c r="R128" s="87" t="n"/>
      <c r="S128" s="87" t="n"/>
      <c r="T128" s="87" t="n"/>
      <c r="U128" s="87" t="n"/>
      <c r="V128" s="87" t="n"/>
      <c r="W128" s="87" t="n"/>
      <c r="X128" s="87" t="n"/>
      <c r="Y128" s="87" t="n"/>
      <c r="Z128" s="87" t="n"/>
    </row>
    <row r="129" ht="15.75" customHeight="1">
      <c r="A129" s="87" t="n"/>
      <c r="B129" s="87" t="n"/>
      <c r="C129" s="87" t="n"/>
      <c r="D129" s="87" t="n"/>
      <c r="E129" s="87" t="n"/>
      <c r="F129" s="87" t="n"/>
      <c r="G129" s="87" t="n"/>
      <c r="H129" s="87" t="n"/>
      <c r="I129" s="87" t="n"/>
      <c r="J129" s="87" t="n"/>
      <c r="K129" s="87" t="n"/>
      <c r="L129" s="87" t="n"/>
      <c r="M129" s="87" t="n"/>
      <c r="N129" s="87" t="n"/>
      <c r="O129" s="87" t="n"/>
      <c r="P129" s="87" t="n"/>
      <c r="Q129" s="87" t="n"/>
      <c r="R129" s="87" t="n"/>
      <c r="S129" s="87" t="n"/>
      <c r="T129" s="87" t="n"/>
      <c r="U129" s="87" t="n"/>
      <c r="V129" s="87" t="n"/>
      <c r="W129" s="87" t="n"/>
      <c r="X129" s="87" t="n"/>
      <c r="Y129" s="87" t="n"/>
      <c r="Z129" s="87" t="n"/>
    </row>
    <row r="130" ht="15.75" customHeight="1">
      <c r="A130" s="87" t="n"/>
      <c r="B130" s="87" t="n"/>
      <c r="C130" s="87" t="n"/>
      <c r="D130" s="87" t="n"/>
      <c r="E130" s="87" t="n"/>
      <c r="F130" s="87" t="n"/>
      <c r="G130" s="87" t="n"/>
      <c r="H130" s="87" t="n"/>
      <c r="I130" s="87" t="n"/>
      <c r="J130" s="87" t="n"/>
      <c r="K130" s="87" t="n"/>
      <c r="L130" s="87" t="n"/>
      <c r="M130" s="87" t="n"/>
      <c r="N130" s="87" t="n"/>
      <c r="O130" s="87" t="n"/>
      <c r="P130" s="87" t="n"/>
      <c r="Q130" s="87" t="n"/>
      <c r="R130" s="87" t="n"/>
      <c r="S130" s="87" t="n"/>
      <c r="T130" s="87" t="n"/>
      <c r="U130" s="87" t="n"/>
      <c r="V130" s="87" t="n"/>
      <c r="W130" s="87" t="n"/>
      <c r="X130" s="87" t="n"/>
      <c r="Y130" s="87" t="n"/>
      <c r="Z130" s="87" t="n"/>
    </row>
    <row r="131" ht="15.75" customHeight="1">
      <c r="A131" s="87" t="n"/>
      <c r="B131" s="87" t="n"/>
      <c r="C131" s="87" t="n"/>
      <c r="D131" s="87" t="n"/>
      <c r="E131" s="87" t="n"/>
      <c r="F131" s="87" t="n"/>
      <c r="G131" s="87" t="n"/>
      <c r="H131" s="87" t="n"/>
      <c r="I131" s="87" t="n"/>
      <c r="J131" s="87" t="n"/>
      <c r="K131" s="87" t="n"/>
      <c r="L131" s="87" t="n"/>
      <c r="M131" s="87" t="n"/>
      <c r="N131" s="87" t="n"/>
      <c r="O131" s="87" t="n"/>
      <c r="P131" s="87" t="n"/>
      <c r="Q131" s="87" t="n"/>
      <c r="R131" s="87" t="n"/>
      <c r="S131" s="87" t="n"/>
      <c r="T131" s="87" t="n"/>
      <c r="U131" s="87" t="n"/>
      <c r="V131" s="87" t="n"/>
      <c r="W131" s="87" t="n"/>
      <c r="X131" s="87" t="n"/>
      <c r="Y131" s="87" t="n"/>
      <c r="Z131" s="87" t="n"/>
    </row>
    <row r="132" ht="15.75" customHeight="1">
      <c r="A132" s="87" t="n"/>
      <c r="B132" s="87" t="n"/>
      <c r="C132" s="87" t="n"/>
      <c r="D132" s="87" t="n"/>
      <c r="E132" s="87" t="n"/>
      <c r="F132" s="87" t="n"/>
      <c r="G132" s="87" t="n"/>
      <c r="H132" s="87" t="n"/>
      <c r="I132" s="87" t="n"/>
      <c r="J132" s="87" t="n"/>
      <c r="K132" s="87" t="n"/>
      <c r="L132" s="87" t="n"/>
      <c r="M132" s="87" t="n"/>
      <c r="N132" s="87" t="n"/>
      <c r="O132" s="87" t="n"/>
      <c r="P132" s="87" t="n"/>
      <c r="Q132" s="87" t="n"/>
      <c r="R132" s="87" t="n"/>
      <c r="S132" s="87" t="n"/>
      <c r="T132" s="87" t="n"/>
      <c r="U132" s="87" t="n"/>
      <c r="V132" s="87" t="n"/>
      <c r="W132" s="87" t="n"/>
      <c r="X132" s="87" t="n"/>
      <c r="Y132" s="87" t="n"/>
      <c r="Z132" s="87" t="n"/>
    </row>
    <row r="133" ht="15.75" customHeight="1">
      <c r="A133" s="87" t="n"/>
      <c r="B133" s="87" t="n"/>
      <c r="C133" s="87" t="n"/>
      <c r="D133" s="87" t="n"/>
      <c r="E133" s="87" t="n"/>
      <c r="F133" s="87" t="n"/>
      <c r="G133" s="87" t="n"/>
      <c r="H133" s="87" t="n"/>
      <c r="I133" s="87" t="n"/>
      <c r="J133" s="87" t="n"/>
      <c r="K133" s="87" t="n"/>
      <c r="L133" s="87" t="n"/>
      <c r="M133" s="87" t="n"/>
      <c r="N133" s="87" t="n"/>
      <c r="O133" s="87" t="n"/>
      <c r="P133" s="87" t="n"/>
      <c r="Q133" s="87" t="n"/>
      <c r="R133" s="87" t="n"/>
      <c r="S133" s="87" t="n"/>
      <c r="T133" s="87" t="n"/>
      <c r="U133" s="87" t="n"/>
      <c r="V133" s="87" t="n"/>
      <c r="W133" s="87" t="n"/>
      <c r="X133" s="87" t="n"/>
      <c r="Y133" s="87" t="n"/>
      <c r="Z133" s="87" t="n"/>
    </row>
    <row r="134" ht="15.75" customHeight="1">
      <c r="A134" s="87" t="n"/>
      <c r="B134" s="87" t="n"/>
      <c r="C134" s="87" t="n"/>
      <c r="D134" s="87" t="n"/>
      <c r="E134" s="87" t="n"/>
      <c r="F134" s="87" t="n"/>
      <c r="G134" s="87" t="n"/>
      <c r="H134" s="87" t="n"/>
      <c r="I134" s="87" t="n"/>
      <c r="J134" s="87" t="n"/>
      <c r="K134" s="87" t="n"/>
      <c r="L134" s="87" t="n"/>
      <c r="M134" s="87" t="n"/>
      <c r="N134" s="87" t="n"/>
      <c r="O134" s="87" t="n"/>
      <c r="P134" s="87" t="n"/>
      <c r="Q134" s="87" t="n"/>
      <c r="R134" s="87" t="n"/>
      <c r="S134" s="87" t="n"/>
      <c r="T134" s="87" t="n"/>
      <c r="U134" s="87" t="n"/>
      <c r="V134" s="87" t="n"/>
      <c r="W134" s="87" t="n"/>
      <c r="X134" s="87" t="n"/>
      <c r="Y134" s="87" t="n"/>
      <c r="Z134" s="87" t="n"/>
    </row>
    <row r="135" ht="15.75" customHeight="1">
      <c r="A135" s="87" t="n"/>
      <c r="B135" s="87" t="n"/>
      <c r="C135" s="87" t="n"/>
      <c r="D135" s="87" t="n"/>
      <c r="E135" s="87" t="n"/>
      <c r="F135" s="87" t="n"/>
      <c r="G135" s="87" t="n"/>
      <c r="H135" s="87" t="n"/>
      <c r="I135" s="87" t="n"/>
      <c r="J135" s="87" t="n"/>
      <c r="K135" s="87" t="n"/>
      <c r="L135" s="87" t="n"/>
      <c r="M135" s="87" t="n"/>
      <c r="N135" s="87" t="n"/>
      <c r="O135" s="87" t="n"/>
      <c r="P135" s="87" t="n"/>
      <c r="Q135" s="87" t="n"/>
      <c r="R135" s="87" t="n"/>
      <c r="S135" s="87" t="n"/>
      <c r="T135" s="87" t="n"/>
      <c r="U135" s="87" t="n"/>
      <c r="V135" s="87" t="n"/>
      <c r="W135" s="87" t="n"/>
      <c r="X135" s="87" t="n"/>
      <c r="Y135" s="87" t="n"/>
      <c r="Z135" s="87" t="n"/>
    </row>
    <row r="136" ht="15.75" customHeight="1">
      <c r="A136" s="87" t="n"/>
      <c r="B136" s="87" t="n"/>
      <c r="C136" s="87" t="n"/>
      <c r="D136" s="87" t="n"/>
      <c r="E136" s="87" t="n"/>
      <c r="F136" s="87" t="n"/>
      <c r="G136" s="87" t="n"/>
      <c r="H136" s="87" t="n"/>
      <c r="I136" s="87" t="n"/>
      <c r="J136" s="87" t="n"/>
      <c r="K136" s="87" t="n"/>
      <c r="L136" s="87" t="n"/>
      <c r="M136" s="87" t="n"/>
      <c r="N136" s="87" t="n"/>
      <c r="O136" s="87" t="n"/>
      <c r="P136" s="87" t="n"/>
      <c r="Q136" s="87" t="n"/>
      <c r="R136" s="87" t="n"/>
      <c r="S136" s="87" t="n"/>
      <c r="T136" s="87" t="n"/>
      <c r="U136" s="87" t="n"/>
      <c r="V136" s="87" t="n"/>
      <c r="W136" s="87" t="n"/>
      <c r="X136" s="87" t="n"/>
      <c r="Y136" s="87" t="n"/>
      <c r="Z136" s="87" t="n"/>
    </row>
    <row r="137" ht="15.75" customHeight="1">
      <c r="A137" s="87" t="n"/>
      <c r="B137" s="87" t="n"/>
      <c r="C137" s="87" t="n"/>
      <c r="D137" s="87" t="n"/>
      <c r="E137" s="87" t="n"/>
      <c r="F137" s="87" t="n"/>
      <c r="G137" s="87" t="n"/>
      <c r="H137" s="87" t="n"/>
      <c r="I137" s="87" t="n"/>
      <c r="J137" s="87" t="n"/>
      <c r="K137" s="87" t="n"/>
      <c r="L137" s="87" t="n"/>
      <c r="M137" s="87" t="n"/>
      <c r="N137" s="87" t="n"/>
      <c r="O137" s="87" t="n"/>
      <c r="P137" s="87" t="n"/>
      <c r="Q137" s="87" t="n"/>
      <c r="R137" s="87" t="n"/>
      <c r="S137" s="87" t="n"/>
      <c r="T137" s="87" t="n"/>
      <c r="U137" s="87" t="n"/>
      <c r="V137" s="87" t="n"/>
      <c r="W137" s="87" t="n"/>
      <c r="X137" s="87" t="n"/>
      <c r="Y137" s="87" t="n"/>
      <c r="Z137" s="87" t="n"/>
    </row>
    <row r="138" ht="15.75" customHeight="1">
      <c r="A138" s="87" t="n"/>
      <c r="B138" s="87" t="n"/>
      <c r="C138" s="87" t="n"/>
      <c r="D138" s="87" t="n"/>
      <c r="E138" s="87" t="n"/>
      <c r="F138" s="87" t="n"/>
      <c r="G138" s="87" t="n"/>
      <c r="H138" s="87" t="n"/>
      <c r="I138" s="87" t="n"/>
      <c r="J138" s="87" t="n"/>
      <c r="K138" s="87" t="n"/>
      <c r="L138" s="87" t="n"/>
      <c r="M138" s="87" t="n"/>
      <c r="N138" s="87" t="n"/>
      <c r="O138" s="87" t="n"/>
      <c r="P138" s="87" t="n"/>
      <c r="Q138" s="87" t="n"/>
      <c r="R138" s="87" t="n"/>
      <c r="S138" s="87" t="n"/>
      <c r="T138" s="87" t="n"/>
      <c r="U138" s="87" t="n"/>
      <c r="V138" s="87" t="n"/>
      <c r="W138" s="87" t="n"/>
      <c r="X138" s="87" t="n"/>
      <c r="Y138" s="87" t="n"/>
      <c r="Z138" s="87" t="n"/>
    </row>
    <row r="139" ht="15.75" customHeight="1">
      <c r="A139" s="87" t="n"/>
      <c r="B139" s="87" t="n"/>
      <c r="C139" s="87" t="n"/>
      <c r="D139" s="87" t="n"/>
      <c r="E139" s="87" t="n"/>
      <c r="F139" s="87" t="n"/>
      <c r="G139" s="87" t="n"/>
      <c r="H139" s="87" t="n"/>
      <c r="I139" s="87" t="n"/>
      <c r="J139" s="87" t="n"/>
      <c r="K139" s="87" t="n"/>
      <c r="L139" s="87" t="n"/>
      <c r="M139" s="87" t="n"/>
      <c r="N139" s="87" t="n"/>
      <c r="O139" s="87" t="n"/>
      <c r="P139" s="87" t="n"/>
      <c r="Q139" s="87" t="n"/>
      <c r="R139" s="87" t="n"/>
      <c r="S139" s="87" t="n"/>
      <c r="T139" s="87" t="n"/>
      <c r="U139" s="87" t="n"/>
      <c r="V139" s="87" t="n"/>
      <c r="W139" s="87" t="n"/>
      <c r="X139" s="87" t="n"/>
      <c r="Y139" s="87" t="n"/>
      <c r="Z139" s="87" t="n"/>
    </row>
    <row r="140" ht="15.75" customHeight="1">
      <c r="A140" s="87" t="n"/>
      <c r="B140" s="87" t="n"/>
      <c r="C140" s="87" t="n"/>
      <c r="D140" s="87" t="n"/>
      <c r="E140" s="87" t="n"/>
      <c r="F140" s="87" t="n"/>
      <c r="G140" s="87" t="n"/>
      <c r="H140" s="87" t="n"/>
      <c r="I140" s="87" t="n"/>
      <c r="J140" s="87" t="n"/>
      <c r="K140" s="87" t="n"/>
      <c r="L140" s="87" t="n"/>
      <c r="M140" s="87" t="n"/>
      <c r="N140" s="87" t="n"/>
      <c r="O140" s="87" t="n"/>
      <c r="P140" s="87" t="n"/>
      <c r="Q140" s="87" t="n"/>
      <c r="R140" s="87" t="n"/>
      <c r="S140" s="87" t="n"/>
      <c r="T140" s="87" t="n"/>
      <c r="U140" s="87" t="n"/>
      <c r="V140" s="87" t="n"/>
      <c r="W140" s="87" t="n"/>
      <c r="X140" s="87" t="n"/>
      <c r="Y140" s="87" t="n"/>
      <c r="Z140" s="87" t="n"/>
    </row>
    <row r="141" ht="15.75" customHeight="1">
      <c r="A141" s="87" t="n"/>
      <c r="B141" s="87" t="n"/>
      <c r="C141" s="87" t="n"/>
      <c r="D141" s="87" t="n"/>
      <c r="E141" s="87" t="n"/>
      <c r="F141" s="87" t="n"/>
      <c r="G141" s="87" t="n"/>
      <c r="H141" s="87" t="n"/>
      <c r="I141" s="87" t="n"/>
      <c r="J141" s="87" t="n"/>
      <c r="K141" s="87" t="n"/>
      <c r="L141" s="87" t="n"/>
      <c r="M141" s="87" t="n"/>
      <c r="N141" s="87" t="n"/>
      <c r="O141" s="87" t="n"/>
      <c r="P141" s="87" t="n"/>
      <c r="Q141" s="87" t="n"/>
      <c r="R141" s="87" t="n"/>
      <c r="S141" s="87" t="n"/>
      <c r="T141" s="87" t="n"/>
      <c r="U141" s="87" t="n"/>
      <c r="V141" s="87" t="n"/>
      <c r="W141" s="87" t="n"/>
      <c r="X141" s="87" t="n"/>
      <c r="Y141" s="87" t="n"/>
      <c r="Z141" s="87" t="n"/>
    </row>
    <row r="142" ht="15.75" customHeight="1">
      <c r="A142" s="87" t="n"/>
      <c r="B142" s="87" t="n"/>
      <c r="C142" s="87" t="n"/>
      <c r="D142" s="87" t="n"/>
      <c r="E142" s="87" t="n"/>
      <c r="F142" s="87" t="n"/>
      <c r="G142" s="87" t="n"/>
      <c r="H142" s="87" t="n"/>
      <c r="I142" s="87" t="n"/>
      <c r="J142" s="87" t="n"/>
      <c r="K142" s="87" t="n"/>
      <c r="L142" s="87" t="n"/>
      <c r="M142" s="87" t="n"/>
      <c r="N142" s="87" t="n"/>
      <c r="O142" s="87" t="n"/>
      <c r="P142" s="87" t="n"/>
      <c r="Q142" s="87" t="n"/>
      <c r="R142" s="87" t="n"/>
      <c r="S142" s="87" t="n"/>
      <c r="T142" s="87" t="n"/>
      <c r="U142" s="87" t="n"/>
      <c r="V142" s="87" t="n"/>
      <c r="W142" s="87" t="n"/>
      <c r="X142" s="87" t="n"/>
      <c r="Y142" s="87" t="n"/>
      <c r="Z142" s="87" t="n"/>
    </row>
    <row r="143" ht="15.75" customHeight="1">
      <c r="A143" s="87" t="n"/>
      <c r="B143" s="87" t="n"/>
      <c r="C143" s="87" t="n"/>
      <c r="D143" s="87" t="n"/>
      <c r="E143" s="87" t="n"/>
      <c r="F143" s="87" t="n"/>
      <c r="G143" s="87" t="n"/>
      <c r="H143" s="87" t="n"/>
      <c r="I143" s="87" t="n"/>
      <c r="J143" s="87" t="n"/>
      <c r="K143" s="87" t="n"/>
      <c r="L143" s="87" t="n"/>
      <c r="M143" s="87" t="n"/>
      <c r="N143" s="87" t="n"/>
      <c r="O143" s="87" t="n"/>
      <c r="P143" s="87" t="n"/>
      <c r="Q143" s="87" t="n"/>
      <c r="R143" s="87" t="n"/>
      <c r="S143" s="87" t="n"/>
      <c r="T143" s="87" t="n"/>
      <c r="U143" s="87" t="n"/>
      <c r="V143" s="87" t="n"/>
      <c r="W143" s="87" t="n"/>
      <c r="X143" s="87" t="n"/>
      <c r="Y143" s="87" t="n"/>
      <c r="Z143" s="87" t="n"/>
    </row>
    <row r="144" ht="15.75" customHeight="1">
      <c r="A144" s="87" t="n"/>
      <c r="B144" s="87" t="n"/>
      <c r="C144" s="87" t="n"/>
      <c r="D144" s="87" t="n"/>
      <c r="E144" s="87" t="n"/>
      <c r="F144" s="87" t="n"/>
      <c r="G144" s="87" t="n"/>
      <c r="H144" s="87" t="n"/>
      <c r="I144" s="87" t="n"/>
      <c r="J144" s="87" t="n"/>
      <c r="K144" s="87" t="n"/>
      <c r="L144" s="87" t="n"/>
      <c r="M144" s="87" t="n"/>
      <c r="N144" s="87" t="n"/>
      <c r="O144" s="87" t="n"/>
      <c r="P144" s="87" t="n"/>
      <c r="Q144" s="87" t="n"/>
      <c r="R144" s="87" t="n"/>
      <c r="S144" s="87" t="n"/>
      <c r="T144" s="87" t="n"/>
      <c r="U144" s="87" t="n"/>
      <c r="V144" s="87" t="n"/>
      <c r="W144" s="87" t="n"/>
      <c r="X144" s="87" t="n"/>
      <c r="Y144" s="87" t="n"/>
      <c r="Z144" s="87" t="n"/>
    </row>
    <row r="145" ht="15.75" customHeight="1">
      <c r="A145" s="87" t="n"/>
      <c r="B145" s="87" t="n"/>
      <c r="C145" s="87" t="n"/>
      <c r="D145" s="87" t="n"/>
      <c r="E145" s="87" t="n"/>
      <c r="F145" s="87" t="n"/>
      <c r="G145" s="87" t="n"/>
      <c r="H145" s="87" t="n"/>
      <c r="I145" s="87" t="n"/>
      <c r="J145" s="87" t="n"/>
      <c r="K145" s="87" t="n"/>
      <c r="L145" s="87" t="n"/>
      <c r="M145" s="87" t="n"/>
      <c r="N145" s="87" t="n"/>
      <c r="O145" s="87" t="n"/>
      <c r="P145" s="87" t="n"/>
      <c r="Q145" s="87" t="n"/>
      <c r="R145" s="87" t="n"/>
      <c r="S145" s="87" t="n"/>
      <c r="T145" s="87" t="n"/>
      <c r="U145" s="87" t="n"/>
      <c r="V145" s="87" t="n"/>
      <c r="W145" s="87" t="n"/>
      <c r="X145" s="87" t="n"/>
      <c r="Y145" s="87" t="n"/>
      <c r="Z145" s="87" t="n"/>
    </row>
    <row r="146" ht="15.75" customHeight="1">
      <c r="A146" s="87" t="n"/>
      <c r="B146" s="87" t="n"/>
      <c r="C146" s="87" t="n"/>
      <c r="D146" s="87" t="n"/>
      <c r="E146" s="87" t="n"/>
      <c r="F146" s="87" t="n"/>
      <c r="G146" s="87" t="n"/>
      <c r="H146" s="87" t="n"/>
      <c r="I146" s="87" t="n"/>
      <c r="J146" s="87" t="n"/>
      <c r="K146" s="87" t="n"/>
      <c r="L146" s="87" t="n"/>
      <c r="M146" s="87" t="n"/>
      <c r="N146" s="87" t="n"/>
      <c r="O146" s="87" t="n"/>
      <c r="P146" s="87" t="n"/>
      <c r="Q146" s="87" t="n"/>
      <c r="R146" s="87" t="n"/>
      <c r="S146" s="87" t="n"/>
      <c r="T146" s="87" t="n"/>
      <c r="U146" s="87" t="n"/>
      <c r="V146" s="87" t="n"/>
      <c r="W146" s="87" t="n"/>
      <c r="X146" s="87" t="n"/>
      <c r="Y146" s="87" t="n"/>
      <c r="Z146" s="87" t="n"/>
    </row>
    <row r="147" ht="15.75" customHeight="1">
      <c r="A147" s="87" t="n"/>
      <c r="B147" s="87" t="n"/>
      <c r="C147" s="87" t="n"/>
      <c r="D147" s="87" t="n"/>
      <c r="E147" s="87" t="n"/>
      <c r="F147" s="87" t="n"/>
      <c r="G147" s="87" t="n"/>
      <c r="H147" s="87" t="n"/>
      <c r="I147" s="87" t="n"/>
      <c r="J147" s="87" t="n"/>
      <c r="K147" s="87" t="n"/>
      <c r="L147" s="87" t="n"/>
      <c r="M147" s="87" t="n"/>
      <c r="N147" s="87" t="n"/>
      <c r="O147" s="87" t="n"/>
      <c r="P147" s="87" t="n"/>
      <c r="Q147" s="87" t="n"/>
      <c r="R147" s="87" t="n"/>
      <c r="S147" s="87" t="n"/>
      <c r="T147" s="87" t="n"/>
      <c r="U147" s="87" t="n"/>
      <c r="V147" s="87" t="n"/>
      <c r="W147" s="87" t="n"/>
      <c r="X147" s="87" t="n"/>
      <c r="Y147" s="87" t="n"/>
      <c r="Z147" s="87" t="n"/>
    </row>
    <row r="148" ht="15.75" customHeight="1">
      <c r="A148" s="87" t="n"/>
      <c r="B148" s="87" t="n"/>
      <c r="C148" s="87" t="n"/>
      <c r="D148" s="87" t="n"/>
      <c r="E148" s="87" t="n"/>
      <c r="F148" s="87" t="n"/>
      <c r="G148" s="87" t="n"/>
      <c r="H148" s="87" t="n"/>
      <c r="I148" s="87" t="n"/>
      <c r="J148" s="87" t="n"/>
      <c r="K148" s="87" t="n"/>
      <c r="L148" s="87" t="n"/>
      <c r="M148" s="87" t="n"/>
      <c r="N148" s="87" t="n"/>
      <c r="O148" s="87" t="n"/>
      <c r="P148" s="87" t="n"/>
      <c r="Q148" s="87" t="n"/>
      <c r="R148" s="87" t="n"/>
      <c r="S148" s="87" t="n"/>
      <c r="T148" s="87" t="n"/>
      <c r="U148" s="87" t="n"/>
      <c r="V148" s="87" t="n"/>
      <c r="W148" s="87" t="n"/>
      <c r="X148" s="87" t="n"/>
      <c r="Y148" s="87" t="n"/>
      <c r="Z148" s="87" t="n"/>
    </row>
    <row r="149" ht="15.75" customHeight="1">
      <c r="A149" s="87" t="n"/>
      <c r="B149" s="87" t="n"/>
      <c r="C149" s="87" t="n"/>
      <c r="D149" s="87" t="n"/>
      <c r="E149" s="87" t="n"/>
      <c r="F149" s="87" t="n"/>
      <c r="G149" s="87" t="n"/>
      <c r="H149" s="87" t="n"/>
      <c r="I149" s="87" t="n"/>
      <c r="J149" s="87" t="n"/>
      <c r="K149" s="87" t="n"/>
      <c r="L149" s="87" t="n"/>
      <c r="M149" s="87" t="n"/>
      <c r="N149" s="87" t="n"/>
      <c r="O149" s="87" t="n"/>
      <c r="P149" s="87" t="n"/>
      <c r="Q149" s="87" t="n"/>
      <c r="R149" s="87" t="n"/>
      <c r="S149" s="87" t="n"/>
      <c r="T149" s="87" t="n"/>
      <c r="U149" s="87" t="n"/>
      <c r="V149" s="87" t="n"/>
      <c r="W149" s="87" t="n"/>
      <c r="X149" s="87" t="n"/>
      <c r="Y149" s="87" t="n"/>
      <c r="Z149" s="87" t="n"/>
    </row>
    <row r="150" ht="15.75" customHeight="1">
      <c r="A150" s="87" t="n"/>
      <c r="B150" s="87" t="n"/>
      <c r="C150" s="87" t="n"/>
      <c r="D150" s="87" t="n"/>
      <c r="E150" s="87" t="n"/>
      <c r="F150" s="87" t="n"/>
      <c r="G150" s="87" t="n"/>
      <c r="H150" s="87" t="n"/>
      <c r="I150" s="87" t="n"/>
      <c r="J150" s="87" t="n"/>
      <c r="K150" s="87" t="n"/>
      <c r="L150" s="87" t="n"/>
      <c r="M150" s="87" t="n"/>
      <c r="N150" s="87" t="n"/>
      <c r="O150" s="87" t="n"/>
      <c r="P150" s="87" t="n"/>
      <c r="Q150" s="87" t="n"/>
      <c r="R150" s="87" t="n"/>
      <c r="S150" s="87" t="n"/>
      <c r="T150" s="87" t="n"/>
      <c r="U150" s="87" t="n"/>
      <c r="V150" s="87" t="n"/>
      <c r="W150" s="87" t="n"/>
      <c r="X150" s="87" t="n"/>
      <c r="Y150" s="87" t="n"/>
      <c r="Z150" s="87" t="n"/>
    </row>
    <row r="151" ht="15.75" customHeight="1">
      <c r="A151" s="87" t="n"/>
      <c r="B151" s="87" t="n"/>
      <c r="C151" s="87" t="n"/>
      <c r="D151" s="87" t="n"/>
      <c r="E151" s="87" t="n"/>
      <c r="F151" s="87" t="n"/>
      <c r="G151" s="87" t="n"/>
      <c r="H151" s="87" t="n"/>
      <c r="I151" s="87" t="n"/>
      <c r="J151" s="87" t="n"/>
      <c r="K151" s="87" t="n"/>
      <c r="L151" s="87" t="n"/>
      <c r="M151" s="87" t="n"/>
      <c r="N151" s="87" t="n"/>
      <c r="O151" s="87" t="n"/>
      <c r="P151" s="87" t="n"/>
      <c r="Q151" s="87" t="n"/>
      <c r="R151" s="87" t="n"/>
      <c r="S151" s="87" t="n"/>
      <c r="T151" s="87" t="n"/>
      <c r="U151" s="87" t="n"/>
      <c r="V151" s="87" t="n"/>
      <c r="W151" s="87" t="n"/>
      <c r="X151" s="87" t="n"/>
      <c r="Y151" s="87" t="n"/>
      <c r="Z151" s="87" t="n"/>
    </row>
    <row r="152" ht="15.75" customHeight="1">
      <c r="A152" s="87" t="n"/>
      <c r="B152" s="87" t="n"/>
      <c r="C152" s="87" t="n"/>
      <c r="D152" s="87" t="n"/>
      <c r="E152" s="87" t="n"/>
      <c r="F152" s="87" t="n"/>
      <c r="G152" s="87" t="n"/>
      <c r="H152" s="87" t="n"/>
      <c r="I152" s="87" t="n"/>
      <c r="J152" s="87" t="n"/>
      <c r="K152" s="87" t="n"/>
      <c r="L152" s="87" t="n"/>
      <c r="M152" s="87" t="n"/>
      <c r="N152" s="87" t="n"/>
      <c r="O152" s="87" t="n"/>
      <c r="P152" s="87" t="n"/>
      <c r="Q152" s="87" t="n"/>
      <c r="R152" s="87" t="n"/>
      <c r="S152" s="87" t="n"/>
      <c r="T152" s="87" t="n"/>
      <c r="U152" s="87" t="n"/>
      <c r="V152" s="87" t="n"/>
      <c r="W152" s="87" t="n"/>
      <c r="X152" s="87" t="n"/>
      <c r="Y152" s="87" t="n"/>
      <c r="Z152" s="87" t="n"/>
    </row>
    <row r="153" ht="15.75" customHeight="1">
      <c r="A153" s="87" t="n"/>
      <c r="B153" s="87" t="n"/>
      <c r="C153" s="87" t="n"/>
      <c r="D153" s="87" t="n"/>
      <c r="E153" s="87" t="n"/>
      <c r="F153" s="87" t="n"/>
      <c r="G153" s="87" t="n"/>
      <c r="H153" s="87" t="n"/>
      <c r="I153" s="87" t="n"/>
      <c r="J153" s="87" t="n"/>
      <c r="K153" s="87" t="n"/>
      <c r="L153" s="87" t="n"/>
      <c r="M153" s="87" t="n"/>
      <c r="N153" s="87" t="n"/>
      <c r="O153" s="87" t="n"/>
      <c r="P153" s="87" t="n"/>
      <c r="Q153" s="87" t="n"/>
      <c r="R153" s="87" t="n"/>
      <c r="S153" s="87" t="n"/>
      <c r="T153" s="87" t="n"/>
      <c r="U153" s="87" t="n"/>
      <c r="V153" s="87" t="n"/>
      <c r="W153" s="87" t="n"/>
      <c r="X153" s="87" t="n"/>
      <c r="Y153" s="87" t="n"/>
      <c r="Z153" s="87" t="n"/>
    </row>
    <row r="154" ht="15.75" customHeight="1">
      <c r="A154" s="87" t="n"/>
      <c r="B154" s="87" t="n"/>
      <c r="C154" s="87" t="n"/>
      <c r="D154" s="87" t="n"/>
      <c r="E154" s="87" t="n"/>
      <c r="F154" s="87" t="n"/>
      <c r="G154" s="87" t="n"/>
      <c r="H154" s="87" t="n"/>
      <c r="I154" s="87" t="n"/>
      <c r="J154" s="87" t="n"/>
      <c r="K154" s="87" t="n"/>
      <c r="L154" s="87" t="n"/>
      <c r="M154" s="87" t="n"/>
      <c r="N154" s="87" t="n"/>
      <c r="O154" s="87" t="n"/>
      <c r="P154" s="87" t="n"/>
      <c r="Q154" s="87" t="n"/>
      <c r="R154" s="87" t="n"/>
      <c r="S154" s="87" t="n"/>
      <c r="T154" s="87" t="n"/>
      <c r="U154" s="87" t="n"/>
      <c r="V154" s="87" t="n"/>
      <c r="W154" s="87" t="n"/>
      <c r="X154" s="87" t="n"/>
      <c r="Y154" s="87" t="n"/>
      <c r="Z154" s="87" t="n"/>
    </row>
    <row r="155" ht="15.75" customHeight="1">
      <c r="A155" s="87" t="n"/>
      <c r="B155" s="87"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row>
    <row r="156" ht="15.75" customHeight="1">
      <c r="A156" s="87" t="n"/>
      <c r="B156" s="87" t="n"/>
      <c r="C156" s="87" t="n"/>
      <c r="D156" s="87" t="n"/>
      <c r="E156" s="87" t="n"/>
      <c r="F156" s="87" t="n"/>
      <c r="G156" s="87" t="n"/>
      <c r="H156" s="87" t="n"/>
      <c r="I156" s="87" t="n"/>
      <c r="J156" s="87" t="n"/>
      <c r="K156" s="87" t="n"/>
      <c r="L156" s="87" t="n"/>
      <c r="M156" s="87" t="n"/>
      <c r="N156" s="87" t="n"/>
      <c r="O156" s="87" t="n"/>
      <c r="P156" s="87" t="n"/>
      <c r="Q156" s="87" t="n"/>
      <c r="R156" s="87" t="n"/>
      <c r="S156" s="87" t="n"/>
      <c r="T156" s="87" t="n"/>
      <c r="U156" s="87" t="n"/>
      <c r="V156" s="87" t="n"/>
      <c r="W156" s="87" t="n"/>
      <c r="X156" s="87" t="n"/>
      <c r="Y156" s="87" t="n"/>
      <c r="Z156" s="87" t="n"/>
    </row>
    <row r="157" ht="15.75" customHeight="1">
      <c r="A157" s="87" t="n"/>
      <c r="B157" s="87" t="n"/>
      <c r="C157" s="87" t="n"/>
      <c r="D157" s="87" t="n"/>
      <c r="E157" s="87" t="n"/>
      <c r="F157" s="87" t="n"/>
      <c r="G157" s="87" t="n"/>
      <c r="H157" s="87" t="n"/>
      <c r="I157" s="87" t="n"/>
      <c r="J157" s="87" t="n"/>
      <c r="K157" s="87" t="n"/>
      <c r="L157" s="87" t="n"/>
      <c r="M157" s="87" t="n"/>
      <c r="N157" s="87" t="n"/>
      <c r="O157" s="87" t="n"/>
      <c r="P157" s="87" t="n"/>
      <c r="Q157" s="87" t="n"/>
      <c r="R157" s="87" t="n"/>
      <c r="S157" s="87" t="n"/>
      <c r="T157" s="87" t="n"/>
      <c r="U157" s="87" t="n"/>
      <c r="V157" s="87" t="n"/>
      <c r="W157" s="87" t="n"/>
      <c r="X157" s="87" t="n"/>
      <c r="Y157" s="87" t="n"/>
      <c r="Z157" s="87" t="n"/>
    </row>
    <row r="158" ht="15.75" customHeight="1">
      <c r="A158" s="87" t="n"/>
      <c r="B158" s="87" t="n"/>
      <c r="C158" s="87" t="n"/>
      <c r="D158" s="87" t="n"/>
      <c r="E158" s="87" t="n"/>
      <c r="F158" s="87" t="n"/>
      <c r="G158" s="87" t="n"/>
      <c r="H158" s="87" t="n"/>
      <c r="I158" s="87" t="n"/>
      <c r="J158" s="87" t="n"/>
      <c r="K158" s="87" t="n"/>
      <c r="L158" s="87" t="n"/>
      <c r="M158" s="87" t="n"/>
      <c r="N158" s="87" t="n"/>
      <c r="O158" s="87" t="n"/>
      <c r="P158" s="87" t="n"/>
      <c r="Q158" s="87" t="n"/>
      <c r="R158" s="87" t="n"/>
      <c r="S158" s="87" t="n"/>
      <c r="T158" s="87" t="n"/>
      <c r="U158" s="87" t="n"/>
      <c r="V158" s="87" t="n"/>
      <c r="W158" s="87" t="n"/>
      <c r="X158" s="87" t="n"/>
      <c r="Y158" s="87" t="n"/>
      <c r="Z158" s="87" t="n"/>
    </row>
    <row r="159" ht="15.75" customHeight="1">
      <c r="A159" s="87" t="n"/>
      <c r="B159" s="87" t="n"/>
      <c r="C159" s="87" t="n"/>
      <c r="D159" s="87" t="n"/>
      <c r="E159" s="87" t="n"/>
      <c r="F159" s="87" t="n"/>
      <c r="G159" s="87" t="n"/>
      <c r="H159" s="87" t="n"/>
      <c r="I159" s="87" t="n"/>
      <c r="J159" s="87" t="n"/>
      <c r="K159" s="87" t="n"/>
      <c r="L159" s="87" t="n"/>
      <c r="M159" s="87" t="n"/>
      <c r="N159" s="87" t="n"/>
      <c r="O159" s="87" t="n"/>
      <c r="P159" s="87" t="n"/>
      <c r="Q159" s="87" t="n"/>
      <c r="R159" s="87" t="n"/>
      <c r="S159" s="87" t="n"/>
      <c r="T159" s="87" t="n"/>
      <c r="U159" s="87" t="n"/>
      <c r="V159" s="87" t="n"/>
      <c r="W159" s="87" t="n"/>
      <c r="X159" s="87" t="n"/>
      <c r="Y159" s="87" t="n"/>
      <c r="Z159" s="87" t="n"/>
    </row>
    <row r="160" ht="15.75" customHeight="1">
      <c r="A160" s="87" t="n"/>
      <c r="B160" s="87" t="n"/>
      <c r="C160" s="87" t="n"/>
      <c r="D160" s="87" t="n"/>
      <c r="E160" s="87" t="n"/>
      <c r="F160" s="87" t="n"/>
      <c r="G160" s="87" t="n"/>
      <c r="H160" s="87" t="n"/>
      <c r="I160" s="87" t="n"/>
      <c r="J160" s="87" t="n"/>
      <c r="K160" s="87" t="n"/>
      <c r="L160" s="87" t="n"/>
      <c r="M160" s="87" t="n"/>
      <c r="N160" s="87" t="n"/>
      <c r="O160" s="87" t="n"/>
      <c r="P160" s="87" t="n"/>
      <c r="Q160" s="87" t="n"/>
      <c r="R160" s="87" t="n"/>
      <c r="S160" s="87" t="n"/>
      <c r="T160" s="87" t="n"/>
      <c r="U160" s="87" t="n"/>
      <c r="V160" s="87" t="n"/>
      <c r="W160" s="87" t="n"/>
      <c r="X160" s="87" t="n"/>
      <c r="Y160" s="87" t="n"/>
      <c r="Z160" s="87" t="n"/>
    </row>
    <row r="161" ht="15.75" customHeight="1">
      <c r="A161" s="87" t="n"/>
      <c r="B161" s="87" t="n"/>
      <c r="C161" s="87" t="n"/>
      <c r="D161" s="87" t="n"/>
      <c r="E161" s="87" t="n"/>
      <c r="F161" s="87" t="n"/>
      <c r="G161" s="87" t="n"/>
      <c r="H161" s="87" t="n"/>
      <c r="I161" s="87" t="n"/>
      <c r="J161" s="87" t="n"/>
      <c r="K161" s="87" t="n"/>
      <c r="L161" s="87" t="n"/>
      <c r="M161" s="87" t="n"/>
      <c r="N161" s="87" t="n"/>
      <c r="O161" s="87" t="n"/>
      <c r="P161" s="87" t="n"/>
      <c r="Q161" s="87" t="n"/>
      <c r="R161" s="87" t="n"/>
      <c r="S161" s="87" t="n"/>
      <c r="T161" s="87" t="n"/>
      <c r="U161" s="87" t="n"/>
      <c r="V161" s="87" t="n"/>
      <c r="W161" s="87" t="n"/>
      <c r="X161" s="87" t="n"/>
      <c r="Y161" s="87" t="n"/>
      <c r="Z161" s="87" t="n"/>
    </row>
    <row r="162" ht="15.75" customHeight="1">
      <c r="A162" s="87" t="n"/>
      <c r="B162" s="87" t="n"/>
      <c r="C162" s="87" t="n"/>
      <c r="D162" s="87" t="n"/>
      <c r="E162" s="87" t="n"/>
      <c r="F162" s="87" t="n"/>
      <c r="G162" s="87" t="n"/>
      <c r="H162" s="87" t="n"/>
      <c r="I162" s="87" t="n"/>
      <c r="J162" s="87" t="n"/>
      <c r="K162" s="87" t="n"/>
      <c r="L162" s="87" t="n"/>
      <c r="M162" s="87" t="n"/>
      <c r="N162" s="87" t="n"/>
      <c r="O162" s="87" t="n"/>
      <c r="P162" s="87" t="n"/>
      <c r="Q162" s="87" t="n"/>
      <c r="R162" s="87" t="n"/>
      <c r="S162" s="87" t="n"/>
      <c r="T162" s="87" t="n"/>
      <c r="U162" s="87" t="n"/>
      <c r="V162" s="87" t="n"/>
      <c r="W162" s="87" t="n"/>
      <c r="X162" s="87" t="n"/>
      <c r="Y162" s="87" t="n"/>
      <c r="Z162" s="87" t="n"/>
    </row>
    <row r="163" ht="15.75" customHeight="1">
      <c r="A163" s="87" t="n"/>
      <c r="B163" s="87" t="n"/>
      <c r="C163" s="87" t="n"/>
      <c r="D163" s="87" t="n"/>
      <c r="E163" s="87" t="n"/>
      <c r="F163" s="87" t="n"/>
      <c r="G163" s="87" t="n"/>
      <c r="H163" s="87" t="n"/>
      <c r="I163" s="87" t="n"/>
      <c r="J163" s="87" t="n"/>
      <c r="K163" s="87" t="n"/>
      <c r="L163" s="87" t="n"/>
      <c r="M163" s="87" t="n"/>
      <c r="N163" s="87" t="n"/>
      <c r="O163" s="87" t="n"/>
      <c r="P163" s="87" t="n"/>
      <c r="Q163" s="87" t="n"/>
      <c r="R163" s="87" t="n"/>
      <c r="S163" s="87" t="n"/>
      <c r="T163" s="87" t="n"/>
      <c r="U163" s="87" t="n"/>
      <c r="V163" s="87" t="n"/>
      <c r="W163" s="87" t="n"/>
      <c r="X163" s="87" t="n"/>
      <c r="Y163" s="87" t="n"/>
      <c r="Z163" s="87" t="n"/>
    </row>
    <row r="164" ht="15.75" customHeight="1">
      <c r="A164" s="87" t="n"/>
      <c r="B164" s="87" t="n"/>
      <c r="C164" s="87" t="n"/>
      <c r="D164" s="87" t="n"/>
      <c r="E164" s="87" t="n"/>
      <c r="F164" s="87" t="n"/>
      <c r="G164" s="87" t="n"/>
      <c r="H164" s="87" t="n"/>
      <c r="I164" s="87" t="n"/>
      <c r="J164" s="87" t="n"/>
      <c r="K164" s="87" t="n"/>
      <c r="L164" s="87" t="n"/>
      <c r="M164" s="87" t="n"/>
      <c r="N164" s="87" t="n"/>
      <c r="O164" s="87" t="n"/>
      <c r="P164" s="87" t="n"/>
      <c r="Q164" s="87" t="n"/>
      <c r="R164" s="87" t="n"/>
      <c r="S164" s="87" t="n"/>
      <c r="T164" s="87" t="n"/>
      <c r="U164" s="87" t="n"/>
      <c r="V164" s="87" t="n"/>
      <c r="W164" s="87" t="n"/>
      <c r="X164" s="87" t="n"/>
      <c r="Y164" s="87" t="n"/>
      <c r="Z164" s="87" t="n"/>
    </row>
    <row r="165" ht="15.75" customHeight="1">
      <c r="A165" s="87" t="n"/>
      <c r="B165" s="87" t="n"/>
      <c r="C165" s="87" t="n"/>
      <c r="D165" s="87" t="n"/>
      <c r="E165" s="87" t="n"/>
      <c r="F165" s="87" t="n"/>
      <c r="G165" s="87" t="n"/>
      <c r="H165" s="87" t="n"/>
      <c r="I165" s="87" t="n"/>
      <c r="J165" s="87" t="n"/>
      <c r="K165" s="87" t="n"/>
      <c r="L165" s="87" t="n"/>
      <c r="M165" s="87" t="n"/>
      <c r="N165" s="87" t="n"/>
      <c r="O165" s="87" t="n"/>
      <c r="P165" s="87" t="n"/>
      <c r="Q165" s="87" t="n"/>
      <c r="R165" s="87" t="n"/>
      <c r="S165" s="87" t="n"/>
      <c r="T165" s="87" t="n"/>
      <c r="U165" s="87" t="n"/>
      <c r="V165" s="87" t="n"/>
      <c r="W165" s="87" t="n"/>
      <c r="X165" s="87" t="n"/>
      <c r="Y165" s="87" t="n"/>
      <c r="Z165" s="87" t="n"/>
    </row>
    <row r="166" ht="15.75" customHeight="1">
      <c r="A166" s="87" t="n"/>
      <c r="B166" s="87" t="n"/>
      <c r="C166" s="87" t="n"/>
      <c r="D166" s="87" t="n"/>
      <c r="E166" s="87" t="n"/>
      <c r="F166" s="87" t="n"/>
      <c r="G166" s="87" t="n"/>
      <c r="H166" s="87" t="n"/>
      <c r="I166" s="87" t="n"/>
      <c r="J166" s="87" t="n"/>
      <c r="K166" s="87" t="n"/>
      <c r="L166" s="87" t="n"/>
      <c r="M166" s="87" t="n"/>
      <c r="N166" s="87" t="n"/>
      <c r="O166" s="87" t="n"/>
      <c r="P166" s="87" t="n"/>
      <c r="Q166" s="87" t="n"/>
      <c r="R166" s="87" t="n"/>
      <c r="S166" s="87" t="n"/>
      <c r="T166" s="87" t="n"/>
      <c r="U166" s="87" t="n"/>
      <c r="V166" s="87" t="n"/>
      <c r="W166" s="87" t="n"/>
      <c r="X166" s="87" t="n"/>
      <c r="Y166" s="87" t="n"/>
      <c r="Z166" s="87" t="n"/>
    </row>
    <row r="167" ht="15.75" customHeight="1">
      <c r="A167" s="87" t="n"/>
      <c r="B167" s="87" t="n"/>
      <c r="C167" s="87" t="n"/>
      <c r="D167" s="87" t="n"/>
      <c r="E167" s="87" t="n"/>
      <c r="F167" s="87" t="n"/>
      <c r="G167" s="87" t="n"/>
      <c r="H167" s="87" t="n"/>
      <c r="I167" s="87" t="n"/>
      <c r="J167" s="87" t="n"/>
      <c r="K167" s="87" t="n"/>
      <c r="L167" s="87" t="n"/>
      <c r="M167" s="87" t="n"/>
      <c r="N167" s="87" t="n"/>
      <c r="O167" s="87" t="n"/>
      <c r="P167" s="87" t="n"/>
      <c r="Q167" s="87" t="n"/>
      <c r="R167" s="87" t="n"/>
      <c r="S167" s="87" t="n"/>
      <c r="T167" s="87" t="n"/>
      <c r="U167" s="87" t="n"/>
      <c r="V167" s="87" t="n"/>
      <c r="W167" s="87" t="n"/>
      <c r="X167" s="87" t="n"/>
      <c r="Y167" s="87" t="n"/>
      <c r="Z167" s="87" t="n"/>
    </row>
    <row r="168" ht="15.75" customHeight="1">
      <c r="A168" s="87" t="n"/>
      <c r="B168" s="87" t="n"/>
      <c r="C168" s="87" t="n"/>
      <c r="D168" s="87" t="n"/>
      <c r="E168" s="87" t="n"/>
      <c r="F168" s="87" t="n"/>
      <c r="G168" s="87" t="n"/>
      <c r="H168" s="87" t="n"/>
      <c r="I168" s="87" t="n"/>
      <c r="J168" s="87" t="n"/>
      <c r="K168" s="87" t="n"/>
      <c r="L168" s="87" t="n"/>
      <c r="M168" s="87" t="n"/>
      <c r="N168" s="87" t="n"/>
      <c r="O168" s="87" t="n"/>
      <c r="P168" s="87" t="n"/>
      <c r="Q168" s="87" t="n"/>
      <c r="R168" s="87" t="n"/>
      <c r="S168" s="87" t="n"/>
      <c r="T168" s="87" t="n"/>
      <c r="U168" s="87" t="n"/>
      <c r="V168" s="87" t="n"/>
      <c r="W168" s="87" t="n"/>
      <c r="X168" s="87" t="n"/>
      <c r="Y168" s="87" t="n"/>
      <c r="Z168" s="87" t="n"/>
    </row>
    <row r="169" ht="15.75" customHeight="1">
      <c r="A169" s="87" t="n"/>
      <c r="B169" s="87" t="n"/>
      <c r="C169" s="87" t="n"/>
      <c r="D169" s="87" t="n"/>
      <c r="E169" s="87" t="n"/>
      <c r="F169" s="87" t="n"/>
      <c r="G169" s="87" t="n"/>
      <c r="H169" s="87" t="n"/>
      <c r="I169" s="87" t="n"/>
      <c r="J169" s="87" t="n"/>
      <c r="K169" s="87" t="n"/>
      <c r="L169" s="87" t="n"/>
      <c r="M169" s="87" t="n"/>
      <c r="N169" s="87" t="n"/>
      <c r="O169" s="87" t="n"/>
      <c r="P169" s="87" t="n"/>
      <c r="Q169" s="87" t="n"/>
      <c r="R169" s="87" t="n"/>
      <c r="S169" s="87" t="n"/>
      <c r="T169" s="87" t="n"/>
      <c r="U169" s="87" t="n"/>
      <c r="V169" s="87" t="n"/>
      <c r="W169" s="87" t="n"/>
      <c r="X169" s="87" t="n"/>
      <c r="Y169" s="87" t="n"/>
      <c r="Z169" s="87" t="n"/>
    </row>
    <row r="170" ht="15.75" customHeight="1">
      <c r="A170" s="87" t="n"/>
      <c r="B170" s="87" t="n"/>
      <c r="C170" s="87" t="n"/>
      <c r="D170" s="87" t="n"/>
      <c r="E170" s="87" t="n"/>
      <c r="F170" s="87" t="n"/>
      <c r="G170" s="87" t="n"/>
      <c r="H170" s="87" t="n"/>
      <c r="I170" s="87" t="n"/>
      <c r="J170" s="87" t="n"/>
      <c r="K170" s="87" t="n"/>
      <c r="L170" s="87" t="n"/>
      <c r="M170" s="87" t="n"/>
      <c r="N170" s="87" t="n"/>
      <c r="O170" s="87" t="n"/>
      <c r="P170" s="87" t="n"/>
      <c r="Q170" s="87" t="n"/>
      <c r="R170" s="87" t="n"/>
      <c r="S170" s="87" t="n"/>
      <c r="T170" s="87" t="n"/>
      <c r="U170" s="87" t="n"/>
      <c r="V170" s="87" t="n"/>
      <c r="W170" s="87" t="n"/>
      <c r="X170" s="87" t="n"/>
      <c r="Y170" s="87" t="n"/>
      <c r="Z170" s="87" t="n"/>
    </row>
    <row r="171" ht="15.75" customHeight="1">
      <c r="A171" s="87" t="n"/>
      <c r="B171" s="87" t="n"/>
      <c r="C171" s="87" t="n"/>
      <c r="D171" s="87" t="n"/>
      <c r="E171" s="87" t="n"/>
      <c r="F171" s="87" t="n"/>
      <c r="G171" s="87" t="n"/>
      <c r="H171" s="87" t="n"/>
      <c r="I171" s="87" t="n"/>
      <c r="J171" s="87" t="n"/>
      <c r="K171" s="87" t="n"/>
      <c r="L171" s="87" t="n"/>
      <c r="M171" s="87" t="n"/>
      <c r="N171" s="87" t="n"/>
      <c r="O171" s="87" t="n"/>
      <c r="P171" s="87" t="n"/>
      <c r="Q171" s="87" t="n"/>
      <c r="R171" s="87" t="n"/>
      <c r="S171" s="87" t="n"/>
      <c r="T171" s="87" t="n"/>
      <c r="U171" s="87" t="n"/>
      <c r="V171" s="87" t="n"/>
      <c r="W171" s="87" t="n"/>
      <c r="X171" s="87" t="n"/>
      <c r="Y171" s="87" t="n"/>
      <c r="Z171" s="87" t="n"/>
    </row>
    <row r="172" ht="15.75" customHeight="1">
      <c r="A172" s="87" t="n"/>
      <c r="B172" s="87" t="n"/>
      <c r="C172" s="87" t="n"/>
      <c r="D172" s="87" t="n"/>
      <c r="E172" s="87" t="n"/>
      <c r="F172" s="87" t="n"/>
      <c r="G172" s="87" t="n"/>
      <c r="H172" s="87" t="n"/>
      <c r="I172" s="87" t="n"/>
      <c r="J172" s="87" t="n"/>
      <c r="K172" s="87" t="n"/>
      <c r="L172" s="87" t="n"/>
      <c r="M172" s="87" t="n"/>
      <c r="N172" s="87" t="n"/>
      <c r="O172" s="87" t="n"/>
      <c r="P172" s="87" t="n"/>
      <c r="Q172" s="87" t="n"/>
      <c r="R172" s="87" t="n"/>
      <c r="S172" s="87" t="n"/>
      <c r="T172" s="87" t="n"/>
      <c r="U172" s="87" t="n"/>
      <c r="V172" s="87" t="n"/>
      <c r="W172" s="87" t="n"/>
      <c r="X172" s="87" t="n"/>
      <c r="Y172" s="87" t="n"/>
      <c r="Z172" s="87" t="n"/>
    </row>
    <row r="173" ht="15.75" customHeight="1">
      <c r="A173" s="87" t="n"/>
      <c r="B173" s="87" t="n"/>
      <c r="C173" s="87" t="n"/>
      <c r="D173" s="87" t="n"/>
      <c r="E173" s="87" t="n"/>
      <c r="F173" s="87" t="n"/>
      <c r="G173" s="87" t="n"/>
      <c r="H173" s="87" t="n"/>
      <c r="I173" s="87" t="n"/>
      <c r="J173" s="87" t="n"/>
      <c r="K173" s="87" t="n"/>
      <c r="L173" s="87" t="n"/>
      <c r="M173" s="87" t="n"/>
      <c r="N173" s="87" t="n"/>
      <c r="O173" s="87" t="n"/>
      <c r="P173" s="87" t="n"/>
      <c r="Q173" s="87" t="n"/>
      <c r="R173" s="87" t="n"/>
      <c r="S173" s="87" t="n"/>
      <c r="T173" s="87" t="n"/>
      <c r="U173" s="87" t="n"/>
      <c r="V173" s="87" t="n"/>
      <c r="W173" s="87" t="n"/>
      <c r="X173" s="87" t="n"/>
      <c r="Y173" s="87" t="n"/>
      <c r="Z173" s="87" t="n"/>
    </row>
    <row r="174" ht="15.75" customHeight="1">
      <c r="A174" s="87" t="n"/>
      <c r="B174" s="87" t="n"/>
      <c r="C174" s="87" t="n"/>
      <c r="D174" s="87" t="n"/>
      <c r="E174" s="87" t="n"/>
      <c r="F174" s="87" t="n"/>
      <c r="G174" s="87" t="n"/>
      <c r="H174" s="87" t="n"/>
      <c r="I174" s="87" t="n"/>
      <c r="J174" s="87" t="n"/>
      <c r="K174" s="87" t="n"/>
      <c r="L174" s="87" t="n"/>
      <c r="M174" s="87" t="n"/>
      <c r="N174" s="87" t="n"/>
      <c r="O174" s="87" t="n"/>
      <c r="P174" s="87" t="n"/>
      <c r="Q174" s="87" t="n"/>
      <c r="R174" s="87" t="n"/>
      <c r="S174" s="87" t="n"/>
      <c r="T174" s="87" t="n"/>
      <c r="U174" s="87" t="n"/>
      <c r="V174" s="87" t="n"/>
      <c r="W174" s="87" t="n"/>
      <c r="X174" s="87" t="n"/>
      <c r="Y174" s="87" t="n"/>
      <c r="Z174" s="87" t="n"/>
    </row>
    <row r="175" ht="15.75" customHeight="1">
      <c r="A175" s="87" t="n"/>
      <c r="B175" s="87" t="n"/>
      <c r="C175" s="87" t="n"/>
      <c r="D175" s="87" t="n"/>
      <c r="E175" s="87" t="n"/>
      <c r="F175" s="87" t="n"/>
      <c r="G175" s="87" t="n"/>
      <c r="H175" s="87" t="n"/>
      <c r="I175" s="87" t="n"/>
      <c r="J175" s="87" t="n"/>
      <c r="K175" s="87" t="n"/>
      <c r="L175" s="87" t="n"/>
      <c r="M175" s="87" t="n"/>
      <c r="N175" s="87" t="n"/>
      <c r="O175" s="87" t="n"/>
      <c r="P175" s="87" t="n"/>
      <c r="Q175" s="87" t="n"/>
      <c r="R175" s="87" t="n"/>
      <c r="S175" s="87" t="n"/>
      <c r="T175" s="87" t="n"/>
      <c r="U175" s="87" t="n"/>
      <c r="V175" s="87" t="n"/>
      <c r="W175" s="87" t="n"/>
      <c r="X175" s="87" t="n"/>
      <c r="Y175" s="87" t="n"/>
      <c r="Z175" s="87" t="n"/>
    </row>
    <row r="176" ht="15.75" customHeight="1">
      <c r="A176" s="87" t="n"/>
      <c r="B176" s="87" t="n"/>
      <c r="C176" s="87" t="n"/>
      <c r="D176" s="87" t="n"/>
      <c r="E176" s="87" t="n"/>
      <c r="F176" s="87" t="n"/>
      <c r="G176" s="87" t="n"/>
      <c r="H176" s="87" t="n"/>
      <c r="I176" s="87" t="n"/>
      <c r="J176" s="87" t="n"/>
      <c r="K176" s="87" t="n"/>
      <c r="L176" s="87" t="n"/>
      <c r="M176" s="87" t="n"/>
      <c r="N176" s="87" t="n"/>
      <c r="O176" s="87" t="n"/>
      <c r="P176" s="87" t="n"/>
      <c r="Q176" s="87" t="n"/>
      <c r="R176" s="87" t="n"/>
      <c r="S176" s="87" t="n"/>
      <c r="T176" s="87" t="n"/>
      <c r="U176" s="87" t="n"/>
      <c r="V176" s="87" t="n"/>
      <c r="W176" s="87" t="n"/>
      <c r="X176" s="87" t="n"/>
      <c r="Y176" s="87" t="n"/>
      <c r="Z176" s="87" t="n"/>
    </row>
    <row r="177" ht="15.75" customHeight="1">
      <c r="A177" s="87" t="n"/>
      <c r="B177" s="87" t="n"/>
      <c r="C177" s="87" t="n"/>
      <c r="D177" s="87" t="n"/>
      <c r="E177" s="87" t="n"/>
      <c r="F177" s="87" t="n"/>
      <c r="G177" s="87" t="n"/>
      <c r="H177" s="87" t="n"/>
      <c r="I177" s="87" t="n"/>
      <c r="J177" s="87" t="n"/>
      <c r="K177" s="87" t="n"/>
      <c r="L177" s="87" t="n"/>
      <c r="M177" s="87" t="n"/>
      <c r="N177" s="87" t="n"/>
      <c r="O177" s="87" t="n"/>
      <c r="P177" s="87" t="n"/>
      <c r="Q177" s="87" t="n"/>
      <c r="R177" s="87" t="n"/>
      <c r="S177" s="87" t="n"/>
      <c r="T177" s="87" t="n"/>
      <c r="U177" s="87" t="n"/>
      <c r="V177" s="87" t="n"/>
      <c r="W177" s="87" t="n"/>
      <c r="X177" s="87" t="n"/>
      <c r="Y177" s="87" t="n"/>
      <c r="Z177" s="87" t="n"/>
    </row>
    <row r="178" ht="15.75" customHeight="1">
      <c r="A178" s="87" t="n"/>
      <c r="B178" s="87" t="n"/>
      <c r="C178" s="87" t="n"/>
      <c r="D178" s="87" t="n"/>
      <c r="E178" s="87" t="n"/>
      <c r="F178" s="87" t="n"/>
      <c r="G178" s="87" t="n"/>
      <c r="H178" s="87" t="n"/>
      <c r="I178" s="87" t="n"/>
      <c r="J178" s="87" t="n"/>
      <c r="K178" s="87" t="n"/>
      <c r="L178" s="87" t="n"/>
      <c r="M178" s="87" t="n"/>
      <c r="N178" s="87" t="n"/>
      <c r="O178" s="87" t="n"/>
      <c r="P178" s="87" t="n"/>
      <c r="Q178" s="87" t="n"/>
      <c r="R178" s="87" t="n"/>
      <c r="S178" s="87" t="n"/>
      <c r="T178" s="87" t="n"/>
      <c r="U178" s="87" t="n"/>
      <c r="V178" s="87" t="n"/>
      <c r="W178" s="87" t="n"/>
      <c r="X178" s="87" t="n"/>
      <c r="Y178" s="87" t="n"/>
      <c r="Z178" s="87" t="n"/>
    </row>
    <row r="179" ht="15.75" customHeight="1">
      <c r="A179" s="87" t="n"/>
      <c r="B179" s="87" t="n"/>
      <c r="C179" s="87" t="n"/>
      <c r="D179" s="87" t="n"/>
      <c r="E179" s="87" t="n"/>
      <c r="F179" s="87" t="n"/>
      <c r="G179" s="87" t="n"/>
      <c r="H179" s="87" t="n"/>
      <c r="I179" s="87" t="n"/>
      <c r="J179" s="87" t="n"/>
      <c r="K179" s="87" t="n"/>
      <c r="L179" s="87" t="n"/>
      <c r="M179" s="87" t="n"/>
      <c r="N179" s="87" t="n"/>
      <c r="O179" s="87" t="n"/>
      <c r="P179" s="87" t="n"/>
      <c r="Q179" s="87" t="n"/>
      <c r="R179" s="87" t="n"/>
      <c r="S179" s="87" t="n"/>
      <c r="T179" s="87" t="n"/>
      <c r="U179" s="87" t="n"/>
      <c r="V179" s="87" t="n"/>
      <c r="W179" s="87" t="n"/>
      <c r="X179" s="87" t="n"/>
      <c r="Y179" s="87" t="n"/>
      <c r="Z179" s="87" t="n"/>
    </row>
    <row r="180" ht="15.75" customHeight="1">
      <c r="A180" s="87" t="n"/>
      <c r="B180" s="87" t="n"/>
      <c r="C180" s="87" t="n"/>
      <c r="D180" s="87" t="n"/>
      <c r="E180" s="87" t="n"/>
      <c r="F180" s="87" t="n"/>
      <c r="G180" s="87" t="n"/>
      <c r="H180" s="87" t="n"/>
      <c r="I180" s="87" t="n"/>
      <c r="J180" s="87" t="n"/>
      <c r="K180" s="87" t="n"/>
      <c r="L180" s="87" t="n"/>
      <c r="M180" s="87" t="n"/>
      <c r="N180" s="87" t="n"/>
      <c r="O180" s="87" t="n"/>
      <c r="P180" s="87" t="n"/>
      <c r="Q180" s="87" t="n"/>
      <c r="R180" s="87" t="n"/>
      <c r="S180" s="87" t="n"/>
      <c r="T180" s="87" t="n"/>
      <c r="U180" s="87" t="n"/>
      <c r="V180" s="87" t="n"/>
      <c r="W180" s="87" t="n"/>
      <c r="X180" s="87" t="n"/>
      <c r="Y180" s="87" t="n"/>
      <c r="Z180" s="87" t="n"/>
    </row>
    <row r="181" ht="15.75" customHeight="1">
      <c r="A181" s="87" t="n"/>
      <c r="B181" s="87" t="n"/>
      <c r="C181" s="87" t="n"/>
      <c r="D181" s="87" t="n"/>
      <c r="E181" s="87" t="n"/>
      <c r="F181" s="87" t="n"/>
      <c r="G181" s="87" t="n"/>
      <c r="H181" s="87" t="n"/>
      <c r="I181" s="87" t="n"/>
      <c r="J181" s="87" t="n"/>
      <c r="K181" s="87" t="n"/>
      <c r="L181" s="87" t="n"/>
      <c r="M181" s="87" t="n"/>
      <c r="N181" s="87" t="n"/>
      <c r="O181" s="87" t="n"/>
      <c r="P181" s="87" t="n"/>
      <c r="Q181" s="87" t="n"/>
      <c r="R181" s="87" t="n"/>
      <c r="S181" s="87" t="n"/>
      <c r="T181" s="87" t="n"/>
      <c r="U181" s="87" t="n"/>
      <c r="V181" s="87" t="n"/>
      <c r="W181" s="87" t="n"/>
      <c r="X181" s="87" t="n"/>
      <c r="Y181" s="87" t="n"/>
      <c r="Z181" s="87" t="n"/>
    </row>
    <row r="182" ht="15.75" customHeight="1">
      <c r="A182" s="87" t="n"/>
      <c r="B182" s="87" t="n"/>
      <c r="C182" s="87" t="n"/>
      <c r="D182" s="87" t="n"/>
      <c r="E182" s="87" t="n"/>
      <c r="F182" s="87" t="n"/>
      <c r="G182" s="87" t="n"/>
      <c r="H182" s="87" t="n"/>
      <c r="I182" s="87" t="n"/>
      <c r="J182" s="87" t="n"/>
      <c r="K182" s="87" t="n"/>
      <c r="L182" s="87" t="n"/>
      <c r="M182" s="87" t="n"/>
      <c r="N182" s="87" t="n"/>
      <c r="O182" s="87" t="n"/>
      <c r="P182" s="87" t="n"/>
      <c r="Q182" s="87" t="n"/>
      <c r="R182" s="87" t="n"/>
      <c r="S182" s="87" t="n"/>
      <c r="T182" s="87" t="n"/>
      <c r="U182" s="87" t="n"/>
      <c r="V182" s="87" t="n"/>
      <c r="W182" s="87" t="n"/>
      <c r="X182" s="87" t="n"/>
      <c r="Y182" s="87" t="n"/>
      <c r="Z182" s="87" t="n"/>
    </row>
    <row r="183" ht="15.75" customHeight="1">
      <c r="A183" s="87" t="n"/>
      <c r="B183" s="87" t="n"/>
      <c r="C183" s="87" t="n"/>
      <c r="D183" s="87" t="n"/>
      <c r="E183" s="87" t="n"/>
      <c r="F183" s="87" t="n"/>
      <c r="G183" s="87" t="n"/>
      <c r="H183" s="87" t="n"/>
      <c r="I183" s="87" t="n"/>
      <c r="J183" s="87" t="n"/>
      <c r="K183" s="87" t="n"/>
      <c r="L183" s="87" t="n"/>
      <c r="M183" s="87" t="n"/>
      <c r="N183" s="87" t="n"/>
      <c r="O183" s="87" t="n"/>
      <c r="P183" s="87" t="n"/>
      <c r="Q183" s="87" t="n"/>
      <c r="R183" s="87" t="n"/>
      <c r="S183" s="87" t="n"/>
      <c r="T183" s="87" t="n"/>
      <c r="U183" s="87" t="n"/>
      <c r="V183" s="87" t="n"/>
      <c r="W183" s="87" t="n"/>
      <c r="X183" s="87" t="n"/>
      <c r="Y183" s="87" t="n"/>
      <c r="Z183" s="87" t="n"/>
    </row>
    <row r="184" ht="15.75" customHeight="1">
      <c r="A184" s="87" t="n"/>
      <c r="B184" s="87" t="n"/>
      <c r="C184" s="87" t="n"/>
      <c r="D184" s="87" t="n"/>
      <c r="E184" s="87" t="n"/>
      <c r="F184" s="87" t="n"/>
      <c r="G184" s="87" t="n"/>
      <c r="H184" s="87" t="n"/>
      <c r="I184" s="87" t="n"/>
      <c r="J184" s="87" t="n"/>
      <c r="K184" s="87" t="n"/>
      <c r="L184" s="87" t="n"/>
      <c r="M184" s="87" t="n"/>
      <c r="N184" s="87" t="n"/>
      <c r="O184" s="87" t="n"/>
      <c r="P184" s="87" t="n"/>
      <c r="Q184" s="87" t="n"/>
      <c r="R184" s="87" t="n"/>
      <c r="S184" s="87" t="n"/>
      <c r="T184" s="87" t="n"/>
      <c r="U184" s="87" t="n"/>
      <c r="V184" s="87" t="n"/>
      <c r="W184" s="87" t="n"/>
      <c r="X184" s="87" t="n"/>
      <c r="Y184" s="87" t="n"/>
      <c r="Z184" s="87" t="n"/>
    </row>
    <row r="185" ht="15.75" customHeight="1">
      <c r="A185" s="87" t="n"/>
      <c r="B185" s="87" t="n"/>
      <c r="C185" s="87" t="n"/>
      <c r="D185" s="87" t="n"/>
      <c r="E185" s="87" t="n"/>
      <c r="F185" s="87" t="n"/>
      <c r="G185" s="87" t="n"/>
      <c r="H185" s="87" t="n"/>
      <c r="I185" s="87" t="n"/>
      <c r="J185" s="87" t="n"/>
      <c r="K185" s="87" t="n"/>
      <c r="L185" s="87" t="n"/>
      <c r="M185" s="87" t="n"/>
      <c r="N185" s="87" t="n"/>
      <c r="O185" s="87" t="n"/>
      <c r="P185" s="87" t="n"/>
      <c r="Q185" s="87" t="n"/>
      <c r="R185" s="87" t="n"/>
      <c r="S185" s="87" t="n"/>
      <c r="T185" s="87" t="n"/>
      <c r="U185" s="87" t="n"/>
      <c r="V185" s="87" t="n"/>
      <c r="W185" s="87" t="n"/>
      <c r="X185" s="87" t="n"/>
      <c r="Y185" s="87" t="n"/>
      <c r="Z185" s="87" t="n"/>
    </row>
    <row r="186" ht="15.75" customHeight="1">
      <c r="A186" s="87" t="n"/>
      <c r="B186" s="87" t="n"/>
      <c r="C186" s="87" t="n"/>
      <c r="D186" s="87" t="n"/>
      <c r="E186" s="87" t="n"/>
      <c r="F186" s="87" t="n"/>
      <c r="G186" s="87" t="n"/>
      <c r="H186" s="87" t="n"/>
      <c r="I186" s="87" t="n"/>
      <c r="J186" s="87" t="n"/>
      <c r="K186" s="87" t="n"/>
      <c r="L186" s="87" t="n"/>
      <c r="M186" s="87" t="n"/>
      <c r="N186" s="87" t="n"/>
      <c r="O186" s="87" t="n"/>
      <c r="P186" s="87" t="n"/>
      <c r="Q186" s="87" t="n"/>
      <c r="R186" s="87" t="n"/>
      <c r="S186" s="87" t="n"/>
      <c r="T186" s="87" t="n"/>
      <c r="U186" s="87" t="n"/>
      <c r="V186" s="87" t="n"/>
      <c r="W186" s="87" t="n"/>
      <c r="X186" s="87" t="n"/>
      <c r="Y186" s="87" t="n"/>
      <c r="Z186" s="87" t="n"/>
    </row>
    <row r="187" ht="15.75" customHeight="1">
      <c r="A187" s="87" t="n"/>
      <c r="B187" s="87" t="n"/>
      <c r="C187" s="87" t="n"/>
      <c r="D187" s="87" t="n"/>
      <c r="E187" s="87" t="n"/>
      <c r="F187" s="87" t="n"/>
      <c r="G187" s="87" t="n"/>
      <c r="H187" s="87" t="n"/>
      <c r="I187" s="87" t="n"/>
      <c r="J187" s="87" t="n"/>
      <c r="K187" s="87" t="n"/>
      <c r="L187" s="87" t="n"/>
      <c r="M187" s="87" t="n"/>
      <c r="N187" s="87" t="n"/>
      <c r="O187" s="87" t="n"/>
      <c r="P187" s="87" t="n"/>
      <c r="Q187" s="87" t="n"/>
      <c r="R187" s="87" t="n"/>
      <c r="S187" s="87" t="n"/>
      <c r="T187" s="87" t="n"/>
      <c r="U187" s="87" t="n"/>
      <c r="V187" s="87" t="n"/>
      <c r="W187" s="87" t="n"/>
      <c r="X187" s="87" t="n"/>
      <c r="Y187" s="87" t="n"/>
      <c r="Z187" s="87" t="n"/>
    </row>
    <row r="188" ht="15.75" customHeight="1">
      <c r="A188" s="87" t="n"/>
      <c r="B188" s="87" t="n"/>
      <c r="C188" s="87" t="n"/>
      <c r="D188" s="87" t="n"/>
      <c r="E188" s="87" t="n"/>
      <c r="F188" s="87" t="n"/>
      <c r="G188" s="87" t="n"/>
      <c r="H188" s="87" t="n"/>
      <c r="I188" s="87" t="n"/>
      <c r="J188" s="87" t="n"/>
      <c r="K188" s="87" t="n"/>
      <c r="L188" s="87" t="n"/>
      <c r="M188" s="87" t="n"/>
      <c r="N188" s="87" t="n"/>
      <c r="O188" s="87" t="n"/>
      <c r="P188" s="87" t="n"/>
      <c r="Q188" s="87" t="n"/>
      <c r="R188" s="87" t="n"/>
      <c r="S188" s="87" t="n"/>
      <c r="T188" s="87" t="n"/>
      <c r="U188" s="87" t="n"/>
      <c r="V188" s="87" t="n"/>
      <c r="W188" s="87" t="n"/>
      <c r="X188" s="87" t="n"/>
      <c r="Y188" s="87" t="n"/>
      <c r="Z188" s="87" t="n"/>
    </row>
    <row r="189" ht="15.75" customHeight="1">
      <c r="A189" s="87" t="n"/>
      <c r="B189" s="87" t="n"/>
      <c r="C189" s="87" t="n"/>
      <c r="D189" s="87" t="n"/>
      <c r="E189" s="87" t="n"/>
      <c r="F189" s="87" t="n"/>
      <c r="G189" s="87" t="n"/>
      <c r="H189" s="87" t="n"/>
      <c r="I189" s="87" t="n"/>
      <c r="J189" s="87" t="n"/>
      <c r="K189" s="87" t="n"/>
      <c r="L189" s="87" t="n"/>
      <c r="M189" s="87" t="n"/>
      <c r="N189" s="87" t="n"/>
      <c r="O189" s="87" t="n"/>
      <c r="P189" s="87" t="n"/>
      <c r="Q189" s="87" t="n"/>
      <c r="R189" s="87" t="n"/>
      <c r="S189" s="87" t="n"/>
      <c r="T189" s="87" t="n"/>
      <c r="U189" s="87" t="n"/>
      <c r="V189" s="87" t="n"/>
      <c r="W189" s="87" t="n"/>
      <c r="X189" s="87" t="n"/>
      <c r="Y189" s="87" t="n"/>
      <c r="Z189" s="87" t="n"/>
    </row>
    <row r="190" ht="15.75" customHeight="1">
      <c r="A190" s="87" t="n"/>
      <c r="B190" s="87" t="n"/>
      <c r="C190" s="87" t="n"/>
      <c r="D190" s="87" t="n"/>
      <c r="E190" s="87" t="n"/>
      <c r="F190" s="87" t="n"/>
      <c r="G190" s="87" t="n"/>
      <c r="H190" s="87" t="n"/>
      <c r="I190" s="87" t="n"/>
      <c r="J190" s="87" t="n"/>
      <c r="K190" s="87" t="n"/>
      <c r="L190" s="87" t="n"/>
      <c r="M190" s="87" t="n"/>
      <c r="N190" s="87" t="n"/>
      <c r="O190" s="87" t="n"/>
      <c r="P190" s="87" t="n"/>
      <c r="Q190" s="87" t="n"/>
      <c r="R190" s="87" t="n"/>
      <c r="S190" s="87" t="n"/>
      <c r="T190" s="87" t="n"/>
      <c r="U190" s="87" t="n"/>
      <c r="V190" s="87" t="n"/>
      <c r="W190" s="87" t="n"/>
      <c r="X190" s="87" t="n"/>
      <c r="Y190" s="87" t="n"/>
      <c r="Z190" s="87" t="n"/>
    </row>
    <row r="191" ht="15.75" customHeight="1">
      <c r="A191" s="87" t="n"/>
      <c r="B191" s="87" t="n"/>
      <c r="C191" s="87" t="n"/>
      <c r="D191" s="87" t="n"/>
      <c r="E191" s="87" t="n"/>
      <c r="F191" s="87" t="n"/>
      <c r="G191" s="87" t="n"/>
      <c r="H191" s="87" t="n"/>
      <c r="I191" s="87" t="n"/>
      <c r="J191" s="87" t="n"/>
      <c r="K191" s="87" t="n"/>
      <c r="L191" s="87" t="n"/>
      <c r="M191" s="87" t="n"/>
      <c r="N191" s="87" t="n"/>
      <c r="O191" s="87" t="n"/>
      <c r="P191" s="87" t="n"/>
      <c r="Q191" s="87" t="n"/>
      <c r="R191" s="87" t="n"/>
      <c r="S191" s="87" t="n"/>
      <c r="T191" s="87" t="n"/>
      <c r="U191" s="87" t="n"/>
      <c r="V191" s="87" t="n"/>
      <c r="W191" s="87" t="n"/>
      <c r="X191" s="87" t="n"/>
      <c r="Y191" s="87" t="n"/>
      <c r="Z191" s="87" t="n"/>
    </row>
    <row r="192" ht="15.75" customHeight="1">
      <c r="A192" s="87" t="n"/>
      <c r="B192" s="87" t="n"/>
      <c r="C192" s="87" t="n"/>
      <c r="D192" s="87" t="n"/>
      <c r="E192" s="87" t="n"/>
      <c r="F192" s="87" t="n"/>
      <c r="G192" s="87" t="n"/>
      <c r="H192" s="87" t="n"/>
      <c r="I192" s="87" t="n"/>
      <c r="J192" s="87" t="n"/>
      <c r="K192" s="87" t="n"/>
      <c r="L192" s="87" t="n"/>
      <c r="M192" s="87" t="n"/>
      <c r="N192" s="87" t="n"/>
      <c r="O192" s="87" t="n"/>
      <c r="P192" s="87" t="n"/>
      <c r="Q192" s="87" t="n"/>
      <c r="R192" s="87" t="n"/>
      <c r="S192" s="87" t="n"/>
      <c r="T192" s="87" t="n"/>
      <c r="U192" s="87" t="n"/>
      <c r="V192" s="87" t="n"/>
      <c r="W192" s="87" t="n"/>
      <c r="X192" s="87" t="n"/>
      <c r="Y192" s="87" t="n"/>
      <c r="Z192" s="87" t="n"/>
    </row>
    <row r="193" ht="15.75" customHeight="1">
      <c r="A193" s="87" t="n"/>
      <c r="B193" s="87" t="n"/>
      <c r="C193" s="87" t="n"/>
      <c r="D193" s="87" t="n"/>
      <c r="E193" s="87" t="n"/>
      <c r="F193" s="87" t="n"/>
      <c r="G193" s="87" t="n"/>
      <c r="H193" s="87" t="n"/>
      <c r="I193" s="87" t="n"/>
      <c r="J193" s="87" t="n"/>
      <c r="K193" s="87" t="n"/>
      <c r="L193" s="87" t="n"/>
      <c r="M193" s="87" t="n"/>
      <c r="N193" s="87" t="n"/>
      <c r="O193" s="87" t="n"/>
      <c r="P193" s="87" t="n"/>
      <c r="Q193" s="87" t="n"/>
      <c r="R193" s="87" t="n"/>
      <c r="S193" s="87" t="n"/>
      <c r="T193" s="87" t="n"/>
      <c r="U193" s="87" t="n"/>
      <c r="V193" s="87" t="n"/>
      <c r="W193" s="87" t="n"/>
      <c r="X193" s="87" t="n"/>
      <c r="Y193" s="87" t="n"/>
      <c r="Z193" s="87" t="n"/>
    </row>
    <row r="194" ht="15.75" customHeight="1">
      <c r="A194" s="87" t="n"/>
      <c r="B194" s="87" t="n"/>
      <c r="C194" s="87" t="n"/>
      <c r="D194" s="87" t="n"/>
      <c r="E194" s="87" t="n"/>
      <c r="F194" s="87" t="n"/>
      <c r="G194" s="87" t="n"/>
      <c r="H194" s="87" t="n"/>
      <c r="I194" s="87" t="n"/>
      <c r="J194" s="87" t="n"/>
      <c r="K194" s="87" t="n"/>
      <c r="L194" s="87" t="n"/>
      <c r="M194" s="87" t="n"/>
      <c r="N194" s="87" t="n"/>
      <c r="O194" s="87" t="n"/>
      <c r="P194" s="87" t="n"/>
      <c r="Q194" s="87" t="n"/>
      <c r="R194" s="87" t="n"/>
      <c r="S194" s="87" t="n"/>
      <c r="T194" s="87" t="n"/>
      <c r="U194" s="87" t="n"/>
      <c r="V194" s="87" t="n"/>
      <c r="W194" s="87" t="n"/>
      <c r="X194" s="87" t="n"/>
      <c r="Y194" s="87" t="n"/>
      <c r="Z194" s="87" t="n"/>
    </row>
    <row r="195" ht="15.75" customHeight="1">
      <c r="A195" s="87" t="n"/>
      <c r="B195" s="87" t="n"/>
      <c r="C195" s="87" t="n"/>
      <c r="D195" s="87" t="n"/>
      <c r="E195" s="87" t="n"/>
      <c r="F195" s="87" t="n"/>
      <c r="G195" s="87" t="n"/>
      <c r="H195" s="87" t="n"/>
      <c r="I195" s="87" t="n"/>
      <c r="J195" s="87" t="n"/>
      <c r="K195" s="87" t="n"/>
      <c r="L195" s="87" t="n"/>
      <c r="M195" s="87" t="n"/>
      <c r="N195" s="87" t="n"/>
      <c r="O195" s="87" t="n"/>
      <c r="P195" s="87" t="n"/>
      <c r="Q195" s="87" t="n"/>
      <c r="R195" s="87" t="n"/>
      <c r="S195" s="87" t="n"/>
      <c r="T195" s="87" t="n"/>
      <c r="U195" s="87" t="n"/>
      <c r="V195" s="87" t="n"/>
      <c r="W195" s="87" t="n"/>
      <c r="X195" s="87" t="n"/>
      <c r="Y195" s="87" t="n"/>
      <c r="Z195" s="87" t="n"/>
    </row>
    <row r="196" ht="15.75" customHeight="1">
      <c r="A196" s="87" t="n"/>
      <c r="B196" s="87" t="n"/>
      <c r="C196" s="87" t="n"/>
      <c r="D196" s="87" t="n"/>
      <c r="E196" s="87" t="n"/>
      <c r="F196" s="87" t="n"/>
      <c r="G196" s="87" t="n"/>
      <c r="H196" s="87" t="n"/>
      <c r="I196" s="87" t="n"/>
      <c r="J196" s="87" t="n"/>
      <c r="K196" s="87" t="n"/>
      <c r="L196" s="87" t="n"/>
      <c r="M196" s="87" t="n"/>
      <c r="N196" s="87" t="n"/>
      <c r="O196" s="87" t="n"/>
      <c r="P196" s="87" t="n"/>
      <c r="Q196" s="87" t="n"/>
      <c r="R196" s="87" t="n"/>
      <c r="S196" s="87" t="n"/>
      <c r="T196" s="87" t="n"/>
      <c r="U196" s="87" t="n"/>
      <c r="V196" s="87" t="n"/>
      <c r="W196" s="87" t="n"/>
      <c r="X196" s="87" t="n"/>
      <c r="Y196" s="87" t="n"/>
      <c r="Z196" s="87" t="n"/>
    </row>
    <row r="197" ht="15.75" customHeight="1">
      <c r="A197" s="87" t="n"/>
      <c r="B197" s="87" t="n"/>
      <c r="C197" s="87" t="n"/>
      <c r="D197" s="87" t="n"/>
      <c r="E197" s="87" t="n"/>
      <c r="F197" s="87" t="n"/>
      <c r="G197" s="87" t="n"/>
      <c r="H197" s="87" t="n"/>
      <c r="I197" s="87" t="n"/>
      <c r="J197" s="87" t="n"/>
      <c r="K197" s="87" t="n"/>
      <c r="L197" s="87" t="n"/>
      <c r="M197" s="87" t="n"/>
      <c r="N197" s="87" t="n"/>
      <c r="O197" s="87" t="n"/>
      <c r="P197" s="87" t="n"/>
      <c r="Q197" s="87" t="n"/>
      <c r="R197" s="87" t="n"/>
      <c r="S197" s="87" t="n"/>
      <c r="T197" s="87" t="n"/>
      <c r="U197" s="87" t="n"/>
      <c r="V197" s="87" t="n"/>
      <c r="W197" s="87" t="n"/>
      <c r="X197" s="87" t="n"/>
      <c r="Y197" s="87" t="n"/>
      <c r="Z197" s="87" t="n"/>
    </row>
    <row r="198" ht="15.75" customHeight="1">
      <c r="A198" s="87" t="n"/>
      <c r="B198" s="87" t="n"/>
      <c r="C198" s="87" t="n"/>
      <c r="D198" s="87" t="n"/>
      <c r="E198" s="87" t="n"/>
      <c r="F198" s="87" t="n"/>
      <c r="G198" s="87" t="n"/>
      <c r="H198" s="87" t="n"/>
      <c r="I198" s="87" t="n"/>
      <c r="J198" s="87" t="n"/>
      <c r="K198" s="87" t="n"/>
      <c r="L198" s="87" t="n"/>
      <c r="M198" s="87" t="n"/>
      <c r="N198" s="87" t="n"/>
      <c r="O198" s="87" t="n"/>
      <c r="P198" s="87" t="n"/>
      <c r="Q198" s="87" t="n"/>
      <c r="R198" s="87" t="n"/>
      <c r="S198" s="87" t="n"/>
      <c r="T198" s="87" t="n"/>
      <c r="U198" s="87" t="n"/>
      <c r="V198" s="87" t="n"/>
      <c r="W198" s="87" t="n"/>
      <c r="X198" s="87" t="n"/>
      <c r="Y198" s="87" t="n"/>
      <c r="Z198" s="87" t="n"/>
    </row>
    <row r="199" ht="15.75" customHeight="1">
      <c r="A199" s="87" t="n"/>
      <c r="B199" s="87" t="n"/>
      <c r="C199" s="87" t="n"/>
      <c r="D199" s="87" t="n"/>
      <c r="E199" s="87" t="n"/>
      <c r="F199" s="87" t="n"/>
      <c r="G199" s="87" t="n"/>
      <c r="H199" s="87" t="n"/>
      <c r="I199" s="87" t="n"/>
      <c r="J199" s="87" t="n"/>
      <c r="K199" s="87" t="n"/>
      <c r="L199" s="87" t="n"/>
      <c r="M199" s="87" t="n"/>
      <c r="N199" s="87" t="n"/>
      <c r="O199" s="87" t="n"/>
      <c r="P199" s="87" t="n"/>
      <c r="Q199" s="87" t="n"/>
      <c r="R199" s="87" t="n"/>
      <c r="S199" s="87" t="n"/>
      <c r="T199" s="87" t="n"/>
      <c r="U199" s="87" t="n"/>
      <c r="V199" s="87" t="n"/>
      <c r="W199" s="87" t="n"/>
      <c r="X199" s="87" t="n"/>
      <c r="Y199" s="87" t="n"/>
      <c r="Z199" s="87" t="n"/>
    </row>
    <row r="200" ht="15.75" customHeight="1">
      <c r="A200" s="87" t="n"/>
      <c r="B200" s="87" t="n"/>
      <c r="C200" s="87" t="n"/>
      <c r="D200" s="87" t="n"/>
      <c r="E200" s="87" t="n"/>
      <c r="F200" s="87" t="n"/>
      <c r="G200" s="87" t="n"/>
      <c r="H200" s="87" t="n"/>
      <c r="I200" s="87" t="n"/>
      <c r="J200" s="87" t="n"/>
      <c r="K200" s="87" t="n"/>
      <c r="L200" s="87" t="n"/>
      <c r="M200" s="87" t="n"/>
      <c r="N200" s="87" t="n"/>
      <c r="O200" s="87" t="n"/>
      <c r="P200" s="87" t="n"/>
      <c r="Q200" s="87" t="n"/>
      <c r="R200" s="87" t="n"/>
      <c r="S200" s="87" t="n"/>
      <c r="T200" s="87" t="n"/>
      <c r="U200" s="87" t="n"/>
      <c r="V200" s="87" t="n"/>
      <c r="W200" s="87" t="n"/>
      <c r="X200" s="87" t="n"/>
      <c r="Y200" s="87" t="n"/>
      <c r="Z200" s="87" t="n"/>
    </row>
    <row r="201" ht="15.75" customHeight="1">
      <c r="A201" s="87" t="n"/>
      <c r="B201" s="87" t="n"/>
      <c r="C201" s="87" t="n"/>
      <c r="D201" s="87" t="n"/>
      <c r="E201" s="87" t="n"/>
      <c r="F201" s="87" t="n"/>
      <c r="G201" s="87" t="n"/>
      <c r="H201" s="87" t="n"/>
      <c r="I201" s="87" t="n"/>
      <c r="J201" s="87" t="n"/>
      <c r="K201" s="87" t="n"/>
      <c r="L201" s="87" t="n"/>
      <c r="M201" s="87" t="n"/>
      <c r="N201" s="87" t="n"/>
      <c r="O201" s="87" t="n"/>
      <c r="P201" s="87" t="n"/>
      <c r="Q201" s="87" t="n"/>
      <c r="R201" s="87" t="n"/>
      <c r="S201" s="87" t="n"/>
      <c r="T201" s="87" t="n"/>
      <c r="U201" s="87" t="n"/>
      <c r="V201" s="87" t="n"/>
      <c r="W201" s="87" t="n"/>
      <c r="X201" s="87" t="n"/>
      <c r="Y201" s="87" t="n"/>
      <c r="Z201" s="87" t="n"/>
    </row>
    <row r="202" ht="15.75" customHeight="1">
      <c r="A202" s="87" t="n"/>
      <c r="B202" s="87" t="n"/>
      <c r="C202" s="87" t="n"/>
      <c r="D202" s="87" t="n"/>
      <c r="E202" s="87" t="n"/>
      <c r="F202" s="87" t="n"/>
      <c r="G202" s="87" t="n"/>
      <c r="H202" s="87" t="n"/>
      <c r="I202" s="87" t="n"/>
      <c r="J202" s="87" t="n"/>
      <c r="K202" s="87" t="n"/>
      <c r="L202" s="87" t="n"/>
      <c r="M202" s="87" t="n"/>
      <c r="N202" s="87" t="n"/>
      <c r="O202" s="87" t="n"/>
      <c r="P202" s="87" t="n"/>
      <c r="Q202" s="87" t="n"/>
      <c r="R202" s="87" t="n"/>
      <c r="S202" s="87" t="n"/>
      <c r="T202" s="87" t="n"/>
      <c r="U202" s="87" t="n"/>
      <c r="V202" s="87" t="n"/>
      <c r="W202" s="87" t="n"/>
      <c r="X202" s="87" t="n"/>
      <c r="Y202" s="87" t="n"/>
      <c r="Z202" s="87" t="n"/>
    </row>
    <row r="203" ht="15.75" customHeight="1">
      <c r="A203" s="87" t="n"/>
      <c r="B203" s="87" t="n"/>
      <c r="C203" s="87" t="n"/>
      <c r="D203" s="87" t="n"/>
      <c r="E203" s="87" t="n"/>
      <c r="F203" s="87" t="n"/>
      <c r="G203" s="87" t="n"/>
      <c r="H203" s="87" t="n"/>
      <c r="I203" s="87" t="n"/>
      <c r="J203" s="87" t="n"/>
      <c r="K203" s="87" t="n"/>
      <c r="L203" s="87" t="n"/>
      <c r="M203" s="87" t="n"/>
      <c r="N203" s="87" t="n"/>
      <c r="O203" s="87" t="n"/>
      <c r="P203" s="87" t="n"/>
      <c r="Q203" s="87" t="n"/>
      <c r="R203" s="87" t="n"/>
      <c r="S203" s="87" t="n"/>
      <c r="T203" s="87" t="n"/>
      <c r="U203" s="87" t="n"/>
      <c r="V203" s="87" t="n"/>
      <c r="W203" s="87" t="n"/>
      <c r="X203" s="87" t="n"/>
      <c r="Y203" s="87" t="n"/>
      <c r="Z203" s="87" t="n"/>
    </row>
    <row r="204" ht="15.75" customHeight="1">
      <c r="A204" s="87" t="n"/>
      <c r="B204" s="87" t="n"/>
      <c r="C204" s="87" t="n"/>
      <c r="D204" s="87" t="n"/>
      <c r="E204" s="87" t="n"/>
      <c r="F204" s="87" t="n"/>
      <c r="G204" s="87" t="n"/>
      <c r="H204" s="87" t="n"/>
      <c r="I204" s="87" t="n"/>
      <c r="J204" s="87" t="n"/>
      <c r="K204" s="87" t="n"/>
      <c r="L204" s="87" t="n"/>
      <c r="M204" s="87" t="n"/>
      <c r="N204" s="87" t="n"/>
      <c r="O204" s="87" t="n"/>
      <c r="P204" s="87" t="n"/>
      <c r="Q204" s="87" t="n"/>
      <c r="R204" s="87" t="n"/>
      <c r="S204" s="87" t="n"/>
      <c r="T204" s="87" t="n"/>
      <c r="U204" s="87" t="n"/>
      <c r="V204" s="87" t="n"/>
      <c r="W204" s="87" t="n"/>
      <c r="X204" s="87" t="n"/>
      <c r="Y204" s="87" t="n"/>
      <c r="Z204" s="87" t="n"/>
    </row>
    <row r="205" ht="15.75" customHeight="1">
      <c r="A205" s="87" t="n"/>
      <c r="B205" s="87" t="n"/>
      <c r="C205" s="87" t="n"/>
      <c r="D205" s="87" t="n"/>
      <c r="E205" s="87" t="n"/>
      <c r="F205" s="87" t="n"/>
      <c r="G205" s="87" t="n"/>
      <c r="H205" s="87" t="n"/>
      <c r="I205" s="87" t="n"/>
      <c r="J205" s="87" t="n"/>
      <c r="K205" s="87" t="n"/>
      <c r="L205" s="87" t="n"/>
      <c r="M205" s="87" t="n"/>
      <c r="N205" s="87" t="n"/>
      <c r="O205" s="87" t="n"/>
      <c r="P205" s="87" t="n"/>
      <c r="Q205" s="87" t="n"/>
      <c r="R205" s="87" t="n"/>
      <c r="S205" s="87" t="n"/>
      <c r="T205" s="87" t="n"/>
      <c r="U205" s="87" t="n"/>
      <c r="V205" s="87" t="n"/>
      <c r="W205" s="87" t="n"/>
      <c r="X205" s="87" t="n"/>
      <c r="Y205" s="87" t="n"/>
      <c r="Z205" s="87" t="n"/>
    </row>
    <row r="206" ht="15.75" customHeight="1">
      <c r="A206" s="87" t="n"/>
      <c r="B206" s="87" t="n"/>
      <c r="C206" s="87" t="n"/>
      <c r="D206" s="87" t="n"/>
      <c r="E206" s="87" t="n"/>
      <c r="F206" s="87" t="n"/>
      <c r="G206" s="87" t="n"/>
      <c r="H206" s="87" t="n"/>
      <c r="I206" s="87" t="n"/>
      <c r="J206" s="87" t="n"/>
      <c r="K206" s="87" t="n"/>
      <c r="L206" s="87" t="n"/>
      <c r="M206" s="87" t="n"/>
      <c r="N206" s="87" t="n"/>
      <c r="O206" s="87" t="n"/>
      <c r="P206" s="87" t="n"/>
      <c r="Q206" s="87" t="n"/>
      <c r="R206" s="87" t="n"/>
      <c r="S206" s="87" t="n"/>
      <c r="T206" s="87" t="n"/>
      <c r="U206" s="87" t="n"/>
      <c r="V206" s="87" t="n"/>
      <c r="W206" s="87" t="n"/>
      <c r="X206" s="87" t="n"/>
      <c r="Y206" s="87" t="n"/>
      <c r="Z206" s="87" t="n"/>
    </row>
    <row r="207" ht="15.75" customHeight="1">
      <c r="A207" s="87" t="n"/>
      <c r="B207" s="87" t="n"/>
      <c r="C207" s="87" t="n"/>
      <c r="D207" s="87" t="n"/>
      <c r="E207" s="87" t="n"/>
      <c r="F207" s="87" t="n"/>
      <c r="G207" s="87" t="n"/>
      <c r="H207" s="87" t="n"/>
      <c r="I207" s="87" t="n"/>
      <c r="J207" s="87" t="n"/>
      <c r="K207" s="87" t="n"/>
      <c r="L207" s="87" t="n"/>
      <c r="M207" s="87" t="n"/>
      <c r="N207" s="87" t="n"/>
      <c r="O207" s="87" t="n"/>
      <c r="P207" s="87" t="n"/>
      <c r="Q207" s="87" t="n"/>
      <c r="R207" s="87" t="n"/>
      <c r="S207" s="87" t="n"/>
      <c r="T207" s="87" t="n"/>
      <c r="U207" s="87" t="n"/>
      <c r="V207" s="87" t="n"/>
      <c r="W207" s="87" t="n"/>
      <c r="X207" s="87" t="n"/>
      <c r="Y207" s="87" t="n"/>
      <c r="Z207" s="87" t="n"/>
    </row>
    <row r="208" ht="15.75" customHeight="1">
      <c r="A208" s="87" t="n"/>
      <c r="B208" s="87" t="n"/>
      <c r="C208" s="87" t="n"/>
      <c r="D208" s="87" t="n"/>
      <c r="E208" s="87" t="n"/>
      <c r="F208" s="87" t="n"/>
      <c r="G208" s="87" t="n"/>
      <c r="H208" s="87" t="n"/>
      <c r="I208" s="87" t="n"/>
      <c r="J208" s="87" t="n"/>
      <c r="K208" s="87" t="n"/>
      <c r="L208" s="87" t="n"/>
      <c r="M208" s="87" t="n"/>
      <c r="N208" s="87" t="n"/>
      <c r="O208" s="87" t="n"/>
      <c r="P208" s="87" t="n"/>
      <c r="Q208" s="87" t="n"/>
      <c r="R208" s="87" t="n"/>
      <c r="S208" s="87" t="n"/>
      <c r="T208" s="87" t="n"/>
      <c r="U208" s="87" t="n"/>
      <c r="V208" s="87" t="n"/>
      <c r="W208" s="87" t="n"/>
      <c r="X208" s="87" t="n"/>
      <c r="Y208" s="87" t="n"/>
      <c r="Z208" s="87" t="n"/>
    </row>
    <row r="209" ht="15.75" customHeight="1">
      <c r="A209" s="87" t="n"/>
      <c r="B209" s="87" t="n"/>
      <c r="C209" s="87" t="n"/>
      <c r="D209" s="87" t="n"/>
      <c r="E209" s="87" t="n"/>
      <c r="F209" s="87" t="n"/>
      <c r="G209" s="87" t="n"/>
      <c r="H209" s="87" t="n"/>
      <c r="I209" s="87" t="n"/>
      <c r="J209" s="87" t="n"/>
      <c r="K209" s="87" t="n"/>
      <c r="L209" s="87" t="n"/>
      <c r="M209" s="87" t="n"/>
      <c r="N209" s="87" t="n"/>
      <c r="O209" s="87" t="n"/>
      <c r="P209" s="87" t="n"/>
      <c r="Q209" s="87" t="n"/>
      <c r="R209" s="87" t="n"/>
      <c r="S209" s="87" t="n"/>
      <c r="T209" s="87" t="n"/>
      <c r="U209" s="87" t="n"/>
      <c r="V209" s="87" t="n"/>
      <c r="W209" s="87" t="n"/>
      <c r="X209" s="87" t="n"/>
      <c r="Y209" s="87" t="n"/>
      <c r="Z209" s="87" t="n"/>
    </row>
    <row r="210" ht="15.75" customHeight="1">
      <c r="A210" s="87" t="n"/>
      <c r="B210" s="87" t="n"/>
      <c r="C210" s="87" t="n"/>
      <c r="D210" s="87" t="n"/>
      <c r="E210" s="87" t="n"/>
      <c r="F210" s="87" t="n"/>
      <c r="G210" s="87" t="n"/>
      <c r="H210" s="87" t="n"/>
      <c r="I210" s="87" t="n"/>
      <c r="J210" s="87" t="n"/>
      <c r="K210" s="87" t="n"/>
      <c r="L210" s="87" t="n"/>
      <c r="M210" s="87" t="n"/>
      <c r="N210" s="87" t="n"/>
      <c r="O210" s="87" t="n"/>
      <c r="P210" s="87" t="n"/>
      <c r="Q210" s="87" t="n"/>
      <c r="R210" s="87" t="n"/>
      <c r="S210" s="87" t="n"/>
      <c r="T210" s="87" t="n"/>
      <c r="U210" s="87" t="n"/>
      <c r="V210" s="87" t="n"/>
      <c r="W210" s="87" t="n"/>
      <c r="X210" s="87" t="n"/>
      <c r="Y210" s="87" t="n"/>
      <c r="Z210" s="87" t="n"/>
    </row>
    <row r="211" ht="15.75" customHeight="1">
      <c r="A211" s="87" t="n"/>
      <c r="B211" s="87" t="n"/>
      <c r="C211" s="87" t="n"/>
      <c r="D211" s="87" t="n"/>
      <c r="E211" s="87" t="n"/>
      <c r="F211" s="87" t="n"/>
      <c r="G211" s="87" t="n"/>
      <c r="H211" s="87" t="n"/>
      <c r="I211" s="87" t="n"/>
      <c r="J211" s="87" t="n"/>
      <c r="K211" s="87" t="n"/>
      <c r="L211" s="87" t="n"/>
      <c r="M211" s="87" t="n"/>
      <c r="N211" s="87" t="n"/>
      <c r="O211" s="87" t="n"/>
      <c r="P211" s="87" t="n"/>
      <c r="Q211" s="87" t="n"/>
      <c r="R211" s="87" t="n"/>
      <c r="S211" s="87" t="n"/>
      <c r="T211" s="87" t="n"/>
      <c r="U211" s="87" t="n"/>
      <c r="V211" s="87" t="n"/>
      <c r="W211" s="87" t="n"/>
      <c r="X211" s="87" t="n"/>
      <c r="Y211" s="87" t="n"/>
      <c r="Z211" s="87" t="n"/>
    </row>
    <row r="212" ht="15.75" customHeight="1">
      <c r="A212" s="87" t="n"/>
      <c r="B212" s="87" t="n"/>
      <c r="C212" s="87" t="n"/>
      <c r="D212" s="87" t="n"/>
      <c r="E212" s="87" t="n"/>
      <c r="F212" s="87" t="n"/>
      <c r="G212" s="87" t="n"/>
      <c r="H212" s="87" t="n"/>
      <c r="I212" s="87" t="n"/>
      <c r="J212" s="87" t="n"/>
      <c r="K212" s="87" t="n"/>
      <c r="L212" s="87" t="n"/>
      <c r="M212" s="87" t="n"/>
      <c r="N212" s="87" t="n"/>
      <c r="O212" s="87" t="n"/>
      <c r="P212" s="87" t="n"/>
      <c r="Q212" s="87" t="n"/>
      <c r="R212" s="87" t="n"/>
      <c r="S212" s="87" t="n"/>
      <c r="T212" s="87" t="n"/>
      <c r="U212" s="87" t="n"/>
      <c r="V212" s="87" t="n"/>
      <c r="W212" s="87" t="n"/>
      <c r="X212" s="87" t="n"/>
      <c r="Y212" s="87" t="n"/>
      <c r="Z212" s="87" t="n"/>
    </row>
    <row r="213" ht="15.75" customHeight="1">
      <c r="A213" s="87" t="n"/>
      <c r="B213" s="87" t="n"/>
      <c r="C213" s="87" t="n"/>
      <c r="D213" s="87" t="n"/>
      <c r="E213" s="87" t="n"/>
      <c r="F213" s="87" t="n"/>
      <c r="G213" s="87" t="n"/>
      <c r="H213" s="87" t="n"/>
      <c r="I213" s="87" t="n"/>
      <c r="J213" s="87" t="n"/>
      <c r="K213" s="87" t="n"/>
      <c r="L213" s="87" t="n"/>
      <c r="M213" s="87" t="n"/>
      <c r="N213" s="87" t="n"/>
      <c r="O213" s="87" t="n"/>
      <c r="P213" s="87" t="n"/>
      <c r="Q213" s="87" t="n"/>
      <c r="R213" s="87" t="n"/>
      <c r="S213" s="87" t="n"/>
      <c r="T213" s="87" t="n"/>
      <c r="U213" s="87" t="n"/>
      <c r="V213" s="87" t="n"/>
      <c r="W213" s="87" t="n"/>
      <c r="X213" s="87" t="n"/>
      <c r="Y213" s="87" t="n"/>
      <c r="Z213" s="87" t="n"/>
    </row>
    <row r="214" ht="15.75" customHeight="1">
      <c r="A214" s="87" t="n"/>
      <c r="B214" s="87" t="n"/>
      <c r="C214" s="87" t="n"/>
      <c r="D214" s="87" t="n"/>
      <c r="E214" s="87" t="n"/>
      <c r="F214" s="87" t="n"/>
      <c r="G214" s="87" t="n"/>
      <c r="H214" s="87" t="n"/>
      <c r="I214" s="87" t="n"/>
      <c r="J214" s="87" t="n"/>
      <c r="K214" s="87" t="n"/>
      <c r="L214" s="87" t="n"/>
      <c r="M214" s="87" t="n"/>
      <c r="N214" s="87" t="n"/>
      <c r="O214" s="87" t="n"/>
      <c r="P214" s="87" t="n"/>
      <c r="Q214" s="87" t="n"/>
      <c r="R214" s="87" t="n"/>
      <c r="S214" s="87" t="n"/>
      <c r="T214" s="87" t="n"/>
      <c r="U214" s="87" t="n"/>
      <c r="V214" s="87" t="n"/>
      <c r="W214" s="87" t="n"/>
      <c r="X214" s="87" t="n"/>
      <c r="Y214" s="87" t="n"/>
      <c r="Z214" s="87" t="n"/>
    </row>
    <row r="215" ht="15.75" customHeight="1">
      <c r="A215" s="87" t="n"/>
      <c r="B215" s="87" t="n"/>
      <c r="C215" s="87" t="n"/>
      <c r="D215" s="87" t="n"/>
      <c r="E215" s="87" t="n"/>
      <c r="F215" s="87" t="n"/>
      <c r="G215" s="87" t="n"/>
      <c r="H215" s="87" t="n"/>
      <c r="I215" s="87" t="n"/>
      <c r="J215" s="87" t="n"/>
      <c r="K215" s="87" t="n"/>
      <c r="L215" s="87" t="n"/>
      <c r="M215" s="87" t="n"/>
      <c r="N215" s="87" t="n"/>
      <c r="O215" s="87" t="n"/>
      <c r="P215" s="87" t="n"/>
      <c r="Q215" s="87" t="n"/>
      <c r="R215" s="87" t="n"/>
      <c r="S215" s="87" t="n"/>
      <c r="T215" s="87" t="n"/>
      <c r="U215" s="87" t="n"/>
      <c r="V215" s="87" t="n"/>
      <c r="W215" s="87" t="n"/>
      <c r="X215" s="87" t="n"/>
      <c r="Y215" s="87" t="n"/>
      <c r="Z215" s="87" t="n"/>
    </row>
    <row r="216" ht="15.75" customHeight="1">
      <c r="A216" s="87" t="n"/>
      <c r="B216" s="87" t="n"/>
      <c r="C216" s="87" t="n"/>
      <c r="D216" s="87" t="n"/>
      <c r="E216" s="87" t="n"/>
      <c r="F216" s="87" t="n"/>
      <c r="G216" s="87" t="n"/>
      <c r="H216" s="87" t="n"/>
      <c r="I216" s="87" t="n"/>
      <c r="J216" s="87" t="n"/>
      <c r="K216" s="87" t="n"/>
      <c r="L216" s="87" t="n"/>
      <c r="M216" s="87" t="n"/>
      <c r="N216" s="87" t="n"/>
      <c r="O216" s="87" t="n"/>
      <c r="P216" s="87" t="n"/>
      <c r="Q216" s="87" t="n"/>
      <c r="R216" s="87" t="n"/>
      <c r="S216" s="87" t="n"/>
      <c r="T216" s="87" t="n"/>
      <c r="U216" s="87" t="n"/>
      <c r="V216" s="87" t="n"/>
      <c r="W216" s="87" t="n"/>
      <c r="X216" s="87" t="n"/>
      <c r="Y216" s="87" t="n"/>
      <c r="Z216" s="87" t="n"/>
    </row>
    <row r="217" ht="15.75" customHeight="1">
      <c r="A217" s="87" t="n"/>
      <c r="B217" s="87" t="n"/>
      <c r="C217" s="87" t="n"/>
      <c r="D217" s="87" t="n"/>
      <c r="E217" s="87" t="n"/>
      <c r="F217" s="87" t="n"/>
      <c r="G217" s="87" t="n"/>
      <c r="H217" s="87" t="n"/>
      <c r="I217" s="87" t="n"/>
      <c r="J217" s="87" t="n"/>
      <c r="K217" s="87" t="n"/>
      <c r="L217" s="87" t="n"/>
      <c r="M217" s="87" t="n"/>
      <c r="N217" s="87" t="n"/>
      <c r="O217" s="87" t="n"/>
      <c r="P217" s="87" t="n"/>
      <c r="Q217" s="87" t="n"/>
      <c r="R217" s="87" t="n"/>
      <c r="S217" s="87" t="n"/>
      <c r="T217" s="87" t="n"/>
      <c r="U217" s="87" t="n"/>
      <c r="V217" s="87" t="n"/>
      <c r="W217" s="87" t="n"/>
      <c r="X217" s="87" t="n"/>
      <c r="Y217" s="87" t="n"/>
      <c r="Z217" s="87" t="n"/>
    </row>
    <row r="218" ht="15.75" customHeight="1">
      <c r="A218" s="87" t="n"/>
      <c r="B218" s="87" t="n"/>
      <c r="C218" s="87" t="n"/>
      <c r="D218" s="87" t="n"/>
      <c r="E218" s="87" t="n"/>
      <c r="F218" s="87" t="n"/>
      <c r="G218" s="87" t="n"/>
      <c r="H218" s="87" t="n"/>
      <c r="I218" s="87" t="n"/>
      <c r="J218" s="87" t="n"/>
      <c r="K218" s="87" t="n"/>
      <c r="L218" s="87" t="n"/>
      <c r="M218" s="87" t="n"/>
      <c r="N218" s="87" t="n"/>
      <c r="O218" s="87" t="n"/>
      <c r="P218" s="87" t="n"/>
      <c r="Q218" s="87" t="n"/>
      <c r="R218" s="87" t="n"/>
      <c r="S218" s="87" t="n"/>
      <c r="T218" s="87" t="n"/>
      <c r="U218" s="87" t="n"/>
      <c r="V218" s="87" t="n"/>
      <c r="W218" s="87" t="n"/>
      <c r="X218" s="87" t="n"/>
      <c r="Y218" s="87" t="n"/>
      <c r="Z218" s="87" t="n"/>
    </row>
    <row r="219" ht="15.75" customHeight="1">
      <c r="A219" s="87" t="n"/>
      <c r="B219" s="87" t="n"/>
      <c r="C219" s="87" t="n"/>
      <c r="D219" s="87" t="n"/>
      <c r="E219" s="87" t="n"/>
      <c r="F219" s="87" t="n"/>
      <c r="G219" s="87" t="n"/>
      <c r="H219" s="87" t="n"/>
      <c r="I219" s="87" t="n"/>
      <c r="J219" s="87" t="n"/>
      <c r="K219" s="87" t="n"/>
      <c r="L219" s="87" t="n"/>
      <c r="M219" s="87" t="n"/>
      <c r="N219" s="87" t="n"/>
      <c r="O219" s="87" t="n"/>
      <c r="P219" s="87" t="n"/>
      <c r="Q219" s="87" t="n"/>
      <c r="R219" s="87" t="n"/>
      <c r="S219" s="87" t="n"/>
      <c r="T219" s="87" t="n"/>
      <c r="U219" s="87" t="n"/>
      <c r="V219" s="87" t="n"/>
      <c r="W219" s="87" t="n"/>
      <c r="X219" s="87" t="n"/>
      <c r="Y219" s="87" t="n"/>
      <c r="Z219" s="87" t="n"/>
    </row>
    <row r="220" ht="15.75" customHeight="1">
      <c r="A220" s="87" t="n"/>
      <c r="B220" s="87" t="n"/>
      <c r="C220" s="87" t="n"/>
      <c r="D220" s="87" t="n"/>
      <c r="E220" s="87" t="n"/>
      <c r="F220" s="87" t="n"/>
      <c r="G220" s="87" t="n"/>
      <c r="H220" s="87" t="n"/>
      <c r="I220" s="87" t="n"/>
      <c r="J220" s="87" t="n"/>
      <c r="K220" s="87" t="n"/>
      <c r="L220" s="87" t="n"/>
      <c r="M220" s="87" t="n"/>
      <c r="N220" s="87" t="n"/>
      <c r="O220" s="87" t="n"/>
      <c r="P220" s="87" t="n"/>
      <c r="Q220" s="87" t="n"/>
      <c r="R220" s="87" t="n"/>
      <c r="S220" s="87" t="n"/>
      <c r="T220" s="87" t="n"/>
      <c r="U220" s="87" t="n"/>
      <c r="V220" s="87" t="n"/>
      <c r="W220" s="87" t="n"/>
      <c r="X220" s="87" t="n"/>
      <c r="Y220" s="87" t="n"/>
      <c r="Z220" s="87" t="n"/>
    </row>
    <row r="221" ht="15.75" customHeight="1">
      <c r="A221" s="87" t="n"/>
      <c r="B221" s="87" t="n"/>
      <c r="C221" s="87" t="n"/>
      <c r="D221" s="87" t="n"/>
      <c r="E221" s="87" t="n"/>
      <c r="F221" s="87" t="n"/>
      <c r="G221" s="87" t="n"/>
      <c r="H221" s="87" t="n"/>
      <c r="I221" s="87" t="n"/>
      <c r="J221" s="87" t="n"/>
      <c r="K221" s="87" t="n"/>
      <c r="L221" s="87" t="n"/>
      <c r="M221" s="87" t="n"/>
      <c r="N221" s="87" t="n"/>
      <c r="O221" s="87" t="n"/>
      <c r="P221" s="87" t="n"/>
      <c r="Q221" s="87" t="n"/>
      <c r="R221" s="87" t="n"/>
      <c r="S221" s="87" t="n"/>
      <c r="T221" s="87" t="n"/>
      <c r="U221" s="87" t="n"/>
      <c r="V221" s="87" t="n"/>
      <c r="W221" s="87" t="n"/>
      <c r="X221" s="87" t="n"/>
      <c r="Y221" s="87" t="n"/>
      <c r="Z221" s="87" t="n"/>
    </row>
    <row r="222" ht="15.75" customHeight="1">
      <c r="A222" s="87" t="n"/>
      <c r="B222" s="87" t="n"/>
      <c r="C222" s="87" t="n"/>
      <c r="D222" s="87" t="n"/>
      <c r="E222" s="87" t="n"/>
      <c r="F222" s="87" t="n"/>
      <c r="G222" s="87" t="n"/>
      <c r="H222" s="87" t="n"/>
      <c r="I222" s="87" t="n"/>
      <c r="J222" s="87" t="n"/>
      <c r="K222" s="87" t="n"/>
      <c r="L222" s="87" t="n"/>
      <c r="M222" s="87" t="n"/>
      <c r="N222" s="87" t="n"/>
      <c r="O222" s="87" t="n"/>
      <c r="P222" s="87" t="n"/>
      <c r="Q222" s="87" t="n"/>
      <c r="R222" s="87" t="n"/>
      <c r="S222" s="87" t="n"/>
      <c r="T222" s="87" t="n"/>
      <c r="U222" s="87" t="n"/>
      <c r="V222" s="87" t="n"/>
      <c r="W222" s="87" t="n"/>
      <c r="X222" s="87" t="n"/>
      <c r="Y222" s="87" t="n"/>
      <c r="Z222" s="87" t="n"/>
    </row>
    <row r="223" ht="15.75" customHeight="1">
      <c r="A223" s="87" t="n"/>
      <c r="B223" s="87" t="n"/>
      <c r="C223" s="87" t="n"/>
      <c r="D223" s="87" t="n"/>
      <c r="E223" s="87" t="n"/>
      <c r="F223" s="87" t="n"/>
      <c r="G223" s="87" t="n"/>
      <c r="H223" s="87" t="n"/>
      <c r="I223" s="87" t="n"/>
      <c r="J223" s="87" t="n"/>
      <c r="K223" s="87" t="n"/>
      <c r="L223" s="87" t="n"/>
      <c r="M223" s="87" t="n"/>
      <c r="N223" s="87" t="n"/>
      <c r="O223" s="87" t="n"/>
      <c r="P223" s="87" t="n"/>
      <c r="Q223" s="87" t="n"/>
      <c r="R223" s="87" t="n"/>
      <c r="S223" s="87" t="n"/>
      <c r="T223" s="87" t="n"/>
      <c r="U223" s="87" t="n"/>
      <c r="V223" s="87" t="n"/>
      <c r="W223" s="87" t="n"/>
      <c r="X223" s="87" t="n"/>
      <c r="Y223" s="87" t="n"/>
      <c r="Z223" s="87" t="n"/>
    </row>
    <row r="224" ht="15.75" customHeight="1">
      <c r="A224" s="87" t="n"/>
      <c r="B224" s="87" t="n"/>
      <c r="C224" s="87" t="n"/>
      <c r="D224" s="87" t="n"/>
      <c r="E224" s="87" t="n"/>
      <c r="F224" s="87" t="n"/>
      <c r="G224" s="87" t="n"/>
      <c r="H224" s="87" t="n"/>
      <c r="I224" s="87" t="n"/>
      <c r="J224" s="87" t="n"/>
      <c r="K224" s="87" t="n"/>
      <c r="L224" s="87" t="n"/>
      <c r="M224" s="87" t="n"/>
      <c r="N224" s="87" t="n"/>
      <c r="O224" s="87" t="n"/>
      <c r="P224" s="87" t="n"/>
      <c r="Q224" s="87" t="n"/>
      <c r="R224" s="87" t="n"/>
      <c r="S224" s="87" t="n"/>
      <c r="T224" s="87" t="n"/>
      <c r="U224" s="87" t="n"/>
      <c r="V224" s="87" t="n"/>
      <c r="W224" s="87" t="n"/>
      <c r="X224" s="87" t="n"/>
      <c r="Y224" s="87" t="n"/>
      <c r="Z224" s="87" t="n"/>
    </row>
    <row r="225" ht="15.75" customHeight="1">
      <c r="A225" s="87" t="n"/>
      <c r="B225" s="87" t="n"/>
      <c r="C225" s="87" t="n"/>
      <c r="D225" s="87" t="n"/>
      <c r="E225" s="87" t="n"/>
      <c r="F225" s="87" t="n"/>
      <c r="G225" s="87" t="n"/>
      <c r="H225" s="87" t="n"/>
      <c r="I225" s="87" t="n"/>
      <c r="J225" s="87" t="n"/>
      <c r="K225" s="87" t="n"/>
      <c r="L225" s="87" t="n"/>
      <c r="M225" s="87" t="n"/>
      <c r="N225" s="87" t="n"/>
      <c r="O225" s="87" t="n"/>
      <c r="P225" s="87" t="n"/>
      <c r="Q225" s="87" t="n"/>
      <c r="R225" s="87" t="n"/>
      <c r="S225" s="87" t="n"/>
      <c r="T225" s="87" t="n"/>
      <c r="U225" s="87" t="n"/>
      <c r="V225" s="87" t="n"/>
      <c r="W225" s="87" t="n"/>
      <c r="X225" s="87" t="n"/>
      <c r="Y225" s="87" t="n"/>
      <c r="Z225" s="87" t="n"/>
    </row>
    <row r="226" ht="15.75" customHeight="1">
      <c r="A226" s="87" t="n"/>
      <c r="B226" s="87" t="n"/>
      <c r="C226" s="87" t="n"/>
      <c r="D226" s="87" t="n"/>
      <c r="E226" s="87" t="n"/>
      <c r="F226" s="87" t="n"/>
      <c r="G226" s="87" t="n"/>
      <c r="H226" s="87" t="n"/>
      <c r="I226" s="87" t="n"/>
      <c r="J226" s="87" t="n"/>
      <c r="K226" s="87" t="n"/>
      <c r="L226" s="87" t="n"/>
      <c r="M226" s="87" t="n"/>
      <c r="N226" s="87" t="n"/>
      <c r="O226" s="87" t="n"/>
      <c r="P226" s="87" t="n"/>
      <c r="Q226" s="87" t="n"/>
      <c r="R226" s="87" t="n"/>
      <c r="S226" s="87" t="n"/>
      <c r="T226" s="87" t="n"/>
      <c r="U226" s="87" t="n"/>
      <c r="V226" s="87" t="n"/>
      <c r="W226" s="87" t="n"/>
      <c r="X226" s="87" t="n"/>
      <c r="Y226" s="87" t="n"/>
      <c r="Z226" s="87" t="n"/>
    </row>
    <row r="227" ht="15.75" customHeight="1">
      <c r="A227" s="87" t="n"/>
      <c r="B227" s="87" t="n"/>
      <c r="C227" s="87" t="n"/>
      <c r="D227" s="87" t="n"/>
      <c r="E227" s="87" t="n"/>
      <c r="F227" s="87" t="n"/>
      <c r="G227" s="87" t="n"/>
      <c r="H227" s="87" t="n"/>
      <c r="I227" s="87" t="n"/>
      <c r="J227" s="87" t="n"/>
      <c r="K227" s="87" t="n"/>
      <c r="L227" s="87" t="n"/>
      <c r="M227" s="87" t="n"/>
      <c r="N227" s="87" t="n"/>
      <c r="O227" s="87" t="n"/>
      <c r="P227" s="87" t="n"/>
      <c r="Q227" s="87" t="n"/>
      <c r="R227" s="87" t="n"/>
      <c r="S227" s="87" t="n"/>
      <c r="T227" s="87" t="n"/>
      <c r="U227" s="87" t="n"/>
      <c r="V227" s="87" t="n"/>
      <c r="W227" s="87" t="n"/>
      <c r="X227" s="87" t="n"/>
      <c r="Y227" s="87" t="n"/>
      <c r="Z227" s="87" t="n"/>
    </row>
    <row r="228" ht="15.75" customHeight="1">
      <c r="A228" s="87" t="n"/>
      <c r="B228" s="87" t="n"/>
      <c r="C228" s="87" t="n"/>
      <c r="D228" s="87" t="n"/>
      <c r="E228" s="87" t="n"/>
      <c r="F228" s="87" t="n"/>
      <c r="G228" s="87" t="n"/>
      <c r="H228" s="87" t="n"/>
      <c r="I228" s="87" t="n"/>
      <c r="J228" s="87" t="n"/>
      <c r="K228" s="87" t="n"/>
      <c r="L228" s="87" t="n"/>
      <c r="M228" s="87" t="n"/>
      <c r="N228" s="87" t="n"/>
      <c r="O228" s="87" t="n"/>
      <c r="P228" s="87" t="n"/>
      <c r="Q228" s="87" t="n"/>
      <c r="R228" s="87" t="n"/>
      <c r="S228" s="87" t="n"/>
      <c r="T228" s="87" t="n"/>
      <c r="U228" s="87" t="n"/>
      <c r="V228" s="87" t="n"/>
      <c r="W228" s="87" t="n"/>
      <c r="X228" s="87" t="n"/>
      <c r="Y228" s="87" t="n"/>
      <c r="Z228" s="87" t="n"/>
    </row>
    <row r="229" ht="15.75" customHeight="1">
      <c r="A229" s="87" t="n"/>
      <c r="B229" s="87" t="n"/>
      <c r="C229" s="87" t="n"/>
      <c r="D229" s="87" t="n"/>
      <c r="E229" s="87" t="n"/>
      <c r="F229" s="87" t="n"/>
      <c r="G229" s="87" t="n"/>
      <c r="H229" s="87" t="n"/>
      <c r="I229" s="87" t="n"/>
      <c r="J229" s="87" t="n"/>
      <c r="K229" s="87" t="n"/>
      <c r="L229" s="87" t="n"/>
      <c r="M229" s="87" t="n"/>
      <c r="N229" s="87" t="n"/>
      <c r="O229" s="87" t="n"/>
      <c r="P229" s="87" t="n"/>
      <c r="Q229" s="87" t="n"/>
      <c r="R229" s="87" t="n"/>
      <c r="S229" s="87" t="n"/>
      <c r="T229" s="87" t="n"/>
      <c r="U229" s="87" t="n"/>
      <c r="V229" s="87" t="n"/>
      <c r="W229" s="87" t="n"/>
      <c r="X229" s="87" t="n"/>
      <c r="Y229" s="87" t="n"/>
      <c r="Z229" s="87" t="n"/>
    </row>
    <row r="230" ht="15.75" customHeight="1">
      <c r="A230" s="87" t="n"/>
      <c r="B230" s="87" t="n"/>
      <c r="C230" s="87" t="n"/>
      <c r="D230" s="87" t="n"/>
      <c r="E230" s="87" t="n"/>
      <c r="F230" s="87" t="n"/>
      <c r="G230" s="87" t="n"/>
      <c r="H230" s="87" t="n"/>
      <c r="I230" s="87" t="n"/>
      <c r="J230" s="87" t="n"/>
      <c r="K230" s="87" t="n"/>
      <c r="L230" s="87" t="n"/>
      <c r="M230" s="87" t="n"/>
      <c r="N230" s="87" t="n"/>
      <c r="O230" s="87" t="n"/>
      <c r="P230" s="87" t="n"/>
      <c r="Q230" s="87" t="n"/>
      <c r="R230" s="87" t="n"/>
      <c r="S230" s="87" t="n"/>
      <c r="T230" s="87" t="n"/>
      <c r="U230" s="87" t="n"/>
      <c r="V230" s="87" t="n"/>
      <c r="W230" s="87" t="n"/>
      <c r="X230" s="87" t="n"/>
      <c r="Y230" s="87" t="n"/>
      <c r="Z230" s="87" t="n"/>
    </row>
    <row r="231" ht="15.75" customHeight="1">
      <c r="A231" s="87" t="n"/>
      <c r="B231" s="87" t="n"/>
      <c r="C231" s="87" t="n"/>
      <c r="D231" s="87" t="n"/>
      <c r="E231" s="87" t="n"/>
      <c r="F231" s="87" t="n"/>
      <c r="G231" s="87" t="n"/>
      <c r="H231" s="87" t="n"/>
      <c r="I231" s="87" t="n"/>
      <c r="J231" s="87" t="n"/>
      <c r="K231" s="87" t="n"/>
      <c r="L231" s="87" t="n"/>
      <c r="M231" s="87" t="n"/>
      <c r="N231" s="87" t="n"/>
      <c r="O231" s="87" t="n"/>
      <c r="P231" s="87" t="n"/>
      <c r="Q231" s="87" t="n"/>
      <c r="R231" s="87" t="n"/>
      <c r="S231" s="87" t="n"/>
      <c r="T231" s="87" t="n"/>
      <c r="U231" s="87" t="n"/>
      <c r="V231" s="87" t="n"/>
      <c r="W231" s="87" t="n"/>
      <c r="X231" s="87" t="n"/>
      <c r="Y231" s="87" t="n"/>
      <c r="Z231" s="87" t="n"/>
    </row>
    <row r="232" ht="15.75" customHeight="1">
      <c r="A232" s="87" t="n"/>
      <c r="B232" s="87" t="n"/>
      <c r="C232" s="87" t="n"/>
      <c r="D232" s="87" t="n"/>
      <c r="E232" s="87" t="n"/>
      <c r="F232" s="87" t="n"/>
      <c r="G232" s="87" t="n"/>
      <c r="H232" s="87" t="n"/>
      <c r="I232" s="87" t="n"/>
      <c r="J232" s="87" t="n"/>
      <c r="K232" s="87" t="n"/>
      <c r="L232" s="87" t="n"/>
      <c r="M232" s="87" t="n"/>
      <c r="N232" s="87" t="n"/>
      <c r="O232" s="87" t="n"/>
      <c r="P232" s="87" t="n"/>
      <c r="Q232" s="87" t="n"/>
      <c r="R232" s="87" t="n"/>
      <c r="S232" s="87" t="n"/>
      <c r="T232" s="87" t="n"/>
      <c r="U232" s="87" t="n"/>
      <c r="V232" s="87" t="n"/>
      <c r="W232" s="87" t="n"/>
      <c r="X232" s="87" t="n"/>
      <c r="Y232" s="87" t="n"/>
      <c r="Z232" s="87" t="n"/>
    </row>
    <row r="233" ht="15.75" customHeight="1">
      <c r="A233" s="87" t="n"/>
      <c r="B233" s="87" t="n"/>
      <c r="C233" s="87" t="n"/>
      <c r="D233" s="87" t="n"/>
      <c r="E233" s="87" t="n"/>
      <c r="F233" s="87" t="n"/>
      <c r="G233" s="87" t="n"/>
      <c r="H233" s="87" t="n"/>
      <c r="I233" s="87" t="n"/>
      <c r="J233" s="87" t="n"/>
      <c r="K233" s="87" t="n"/>
      <c r="L233" s="87" t="n"/>
      <c r="M233" s="87" t="n"/>
      <c r="N233" s="87" t="n"/>
      <c r="O233" s="87" t="n"/>
      <c r="P233" s="87" t="n"/>
      <c r="Q233" s="87" t="n"/>
      <c r="R233" s="87" t="n"/>
      <c r="S233" s="87" t="n"/>
      <c r="T233" s="87" t="n"/>
      <c r="U233" s="87" t="n"/>
      <c r="V233" s="87" t="n"/>
      <c r="W233" s="87" t="n"/>
      <c r="X233" s="87" t="n"/>
      <c r="Y233" s="87" t="n"/>
      <c r="Z233" s="87" t="n"/>
    </row>
    <row r="234" ht="15.75" customHeight="1">
      <c r="A234" s="87" t="n"/>
      <c r="B234" s="87" t="n"/>
      <c r="C234" s="87" t="n"/>
      <c r="D234" s="87" t="n"/>
      <c r="E234" s="87" t="n"/>
      <c r="F234" s="87" t="n"/>
      <c r="G234" s="87" t="n"/>
      <c r="H234" s="87" t="n"/>
      <c r="I234" s="87" t="n"/>
      <c r="J234" s="87" t="n"/>
      <c r="K234" s="87" t="n"/>
      <c r="L234" s="87" t="n"/>
      <c r="M234" s="87" t="n"/>
      <c r="N234" s="87" t="n"/>
      <c r="O234" s="87" t="n"/>
      <c r="P234" s="87" t="n"/>
      <c r="Q234" s="87" t="n"/>
      <c r="R234" s="87" t="n"/>
      <c r="S234" s="87" t="n"/>
      <c r="T234" s="87" t="n"/>
      <c r="U234" s="87" t="n"/>
      <c r="V234" s="87" t="n"/>
      <c r="W234" s="87" t="n"/>
      <c r="X234" s="87" t="n"/>
      <c r="Y234" s="87" t="n"/>
      <c r="Z234" s="87" t="n"/>
    </row>
    <row r="235" ht="15.75" customHeight="1">
      <c r="A235" s="87" t="n"/>
      <c r="B235" s="87" t="n"/>
      <c r="C235" s="87" t="n"/>
      <c r="D235" s="87" t="n"/>
      <c r="E235" s="87" t="n"/>
      <c r="F235" s="87" t="n"/>
      <c r="G235" s="87" t="n"/>
      <c r="H235" s="87" t="n"/>
      <c r="I235" s="87" t="n"/>
      <c r="J235" s="87" t="n"/>
      <c r="K235" s="87" t="n"/>
      <c r="L235" s="87" t="n"/>
      <c r="M235" s="87" t="n"/>
      <c r="N235" s="87" t="n"/>
      <c r="O235" s="87" t="n"/>
      <c r="P235" s="87" t="n"/>
      <c r="Q235" s="87" t="n"/>
      <c r="R235" s="87" t="n"/>
      <c r="S235" s="87" t="n"/>
      <c r="T235" s="87" t="n"/>
      <c r="U235" s="87" t="n"/>
      <c r="V235" s="87" t="n"/>
      <c r="W235" s="87" t="n"/>
      <c r="X235" s="87" t="n"/>
      <c r="Y235" s="87" t="n"/>
      <c r="Z235" s="87" t="n"/>
    </row>
    <row r="236" ht="15.75" customHeight="1">
      <c r="A236" s="87" t="n"/>
      <c r="B236" s="87" t="n"/>
      <c r="C236" s="87" t="n"/>
      <c r="D236" s="87" t="n"/>
      <c r="E236" s="87" t="n"/>
      <c r="F236" s="87" t="n"/>
      <c r="G236" s="87" t="n"/>
      <c r="H236" s="87" t="n"/>
      <c r="I236" s="87" t="n"/>
      <c r="J236" s="87" t="n"/>
      <c r="K236" s="87" t="n"/>
      <c r="L236" s="87" t="n"/>
      <c r="M236" s="87" t="n"/>
      <c r="N236" s="87" t="n"/>
      <c r="O236" s="87" t="n"/>
      <c r="P236" s="87" t="n"/>
      <c r="Q236" s="87" t="n"/>
      <c r="R236" s="87" t="n"/>
      <c r="S236" s="87" t="n"/>
      <c r="T236" s="87" t="n"/>
      <c r="U236" s="87" t="n"/>
      <c r="V236" s="87" t="n"/>
      <c r="W236" s="87" t="n"/>
      <c r="X236" s="87" t="n"/>
      <c r="Y236" s="87" t="n"/>
      <c r="Z236" s="87" t="n"/>
    </row>
    <row r="237" ht="15.75" customHeight="1">
      <c r="A237" s="87" t="n"/>
      <c r="B237" s="87" t="n"/>
      <c r="C237" s="87" t="n"/>
      <c r="D237" s="87" t="n"/>
      <c r="E237" s="87" t="n"/>
      <c r="F237" s="87" t="n"/>
      <c r="G237" s="87" t="n"/>
      <c r="H237" s="87" t="n"/>
      <c r="I237" s="87" t="n"/>
      <c r="J237" s="87" t="n"/>
      <c r="K237" s="87" t="n"/>
      <c r="L237" s="87" t="n"/>
      <c r="M237" s="87" t="n"/>
      <c r="N237" s="87" t="n"/>
      <c r="O237" s="87" t="n"/>
      <c r="P237" s="87" t="n"/>
      <c r="Q237" s="87" t="n"/>
      <c r="R237" s="87" t="n"/>
      <c r="S237" s="87" t="n"/>
      <c r="T237" s="87" t="n"/>
      <c r="U237" s="87" t="n"/>
      <c r="V237" s="87" t="n"/>
      <c r="W237" s="87" t="n"/>
      <c r="X237" s="87" t="n"/>
      <c r="Y237" s="87" t="n"/>
      <c r="Z237" s="87" t="n"/>
    </row>
    <row r="238" ht="15.75" customHeight="1">
      <c r="A238" s="87" t="n"/>
      <c r="B238" s="87" t="n"/>
      <c r="C238" s="87" t="n"/>
      <c r="D238" s="87" t="n"/>
      <c r="E238" s="87" t="n"/>
      <c r="F238" s="87" t="n"/>
      <c r="G238" s="87" t="n"/>
      <c r="H238" s="87" t="n"/>
      <c r="I238" s="87" t="n"/>
      <c r="J238" s="87" t="n"/>
      <c r="K238" s="87" t="n"/>
      <c r="L238" s="87" t="n"/>
      <c r="M238" s="87" t="n"/>
      <c r="N238" s="87" t="n"/>
      <c r="O238" s="87" t="n"/>
      <c r="P238" s="87" t="n"/>
      <c r="Q238" s="87" t="n"/>
      <c r="R238" s="87" t="n"/>
      <c r="S238" s="87" t="n"/>
      <c r="T238" s="87" t="n"/>
      <c r="U238" s="87" t="n"/>
      <c r="V238" s="87" t="n"/>
      <c r="W238" s="87" t="n"/>
      <c r="X238" s="87" t="n"/>
      <c r="Y238" s="87" t="n"/>
      <c r="Z238" s="87" t="n"/>
    </row>
    <row r="239" ht="15.75" customHeight="1">
      <c r="A239" s="87" t="n"/>
      <c r="B239" s="87" t="n"/>
      <c r="C239" s="87" t="n"/>
      <c r="D239" s="87" t="n"/>
      <c r="E239" s="87" t="n"/>
      <c r="F239" s="87" t="n"/>
      <c r="G239" s="87" t="n"/>
      <c r="H239" s="87" t="n"/>
      <c r="I239" s="87" t="n"/>
      <c r="J239" s="87" t="n"/>
      <c r="K239" s="87" t="n"/>
      <c r="L239" s="87" t="n"/>
      <c r="M239" s="87" t="n"/>
      <c r="N239" s="87" t="n"/>
      <c r="O239" s="87" t="n"/>
      <c r="P239" s="87" t="n"/>
      <c r="Q239" s="87" t="n"/>
      <c r="R239" s="87" t="n"/>
      <c r="S239" s="87" t="n"/>
      <c r="T239" s="87" t="n"/>
      <c r="U239" s="87" t="n"/>
      <c r="V239" s="87" t="n"/>
      <c r="W239" s="87" t="n"/>
      <c r="X239" s="87" t="n"/>
      <c r="Y239" s="87" t="n"/>
      <c r="Z239" s="87" t="n"/>
    </row>
    <row r="240" ht="15.75" customHeight="1">
      <c r="A240" s="87" t="n"/>
      <c r="B240" s="87" t="n"/>
      <c r="C240" s="87" t="n"/>
      <c r="D240" s="87" t="n"/>
      <c r="E240" s="87" t="n"/>
      <c r="F240" s="87" t="n"/>
      <c r="G240" s="87" t="n"/>
      <c r="H240" s="87" t="n"/>
      <c r="I240" s="87" t="n"/>
      <c r="J240" s="87" t="n"/>
      <c r="K240" s="87" t="n"/>
      <c r="L240" s="87" t="n"/>
      <c r="M240" s="87" t="n"/>
      <c r="N240" s="87" t="n"/>
      <c r="O240" s="87" t="n"/>
      <c r="P240" s="87" t="n"/>
      <c r="Q240" s="87" t="n"/>
      <c r="R240" s="87" t="n"/>
      <c r="S240" s="87" t="n"/>
      <c r="T240" s="87" t="n"/>
      <c r="U240" s="87" t="n"/>
      <c r="V240" s="87" t="n"/>
      <c r="W240" s="87" t="n"/>
      <c r="X240" s="87" t="n"/>
      <c r="Y240" s="87" t="n"/>
      <c r="Z240" s="87" t="n"/>
    </row>
    <row r="241" ht="15.75" customHeight="1">
      <c r="A241" s="87" t="n"/>
      <c r="B241" s="87" t="n"/>
      <c r="C241" s="87" t="n"/>
      <c r="D241" s="87" t="n"/>
      <c r="E241" s="87" t="n"/>
      <c r="F241" s="87" t="n"/>
      <c r="G241" s="87" t="n"/>
      <c r="H241" s="87" t="n"/>
      <c r="I241" s="87" t="n"/>
      <c r="J241" s="87" t="n"/>
      <c r="K241" s="87" t="n"/>
      <c r="L241" s="87" t="n"/>
      <c r="M241" s="87" t="n"/>
      <c r="N241" s="87" t="n"/>
      <c r="O241" s="87" t="n"/>
      <c r="P241" s="87" t="n"/>
      <c r="Q241" s="87" t="n"/>
      <c r="R241" s="87" t="n"/>
      <c r="S241" s="87" t="n"/>
      <c r="T241" s="87" t="n"/>
      <c r="U241" s="87" t="n"/>
      <c r="V241" s="87" t="n"/>
      <c r="W241" s="87" t="n"/>
      <c r="X241" s="87" t="n"/>
      <c r="Y241" s="87" t="n"/>
      <c r="Z241" s="87" t="n"/>
    </row>
    <row r="242" ht="15.75" customHeight="1">
      <c r="A242" s="87" t="n"/>
      <c r="B242" s="87" t="n"/>
      <c r="C242" s="87" t="n"/>
      <c r="D242" s="87" t="n"/>
      <c r="E242" s="87" t="n"/>
      <c r="F242" s="87" t="n"/>
      <c r="G242" s="87" t="n"/>
      <c r="H242" s="87" t="n"/>
      <c r="I242" s="87" t="n"/>
      <c r="J242" s="87" t="n"/>
      <c r="K242" s="87" t="n"/>
      <c r="L242" s="87" t="n"/>
      <c r="M242" s="87" t="n"/>
      <c r="N242" s="87" t="n"/>
      <c r="O242" s="87" t="n"/>
      <c r="P242" s="87" t="n"/>
      <c r="Q242" s="87" t="n"/>
      <c r="R242" s="87" t="n"/>
      <c r="S242" s="87" t="n"/>
      <c r="T242" s="87" t="n"/>
      <c r="U242" s="87" t="n"/>
      <c r="V242" s="87" t="n"/>
      <c r="W242" s="87" t="n"/>
      <c r="X242" s="87" t="n"/>
      <c r="Y242" s="87" t="n"/>
      <c r="Z242" s="87" t="n"/>
    </row>
    <row r="243" ht="15.75" customHeight="1">
      <c r="A243" s="87" t="n"/>
      <c r="B243" s="87" t="n"/>
      <c r="C243" s="87" t="n"/>
      <c r="D243" s="87" t="n"/>
      <c r="E243" s="87" t="n"/>
      <c r="F243" s="87" t="n"/>
      <c r="G243" s="87" t="n"/>
      <c r="H243" s="87" t="n"/>
      <c r="I243" s="87" t="n"/>
      <c r="J243" s="87" t="n"/>
      <c r="K243" s="87" t="n"/>
      <c r="L243" s="87" t="n"/>
      <c r="M243" s="87" t="n"/>
      <c r="N243" s="87" t="n"/>
      <c r="O243" s="87" t="n"/>
      <c r="P243" s="87" t="n"/>
      <c r="Q243" s="87" t="n"/>
      <c r="R243" s="87" t="n"/>
      <c r="S243" s="87" t="n"/>
      <c r="T243" s="87" t="n"/>
      <c r="U243" s="87" t="n"/>
      <c r="V243" s="87" t="n"/>
      <c r="W243" s="87" t="n"/>
      <c r="X243" s="87" t="n"/>
      <c r="Y243" s="87" t="n"/>
      <c r="Z243" s="87" t="n"/>
    </row>
    <row r="244" ht="15.75" customHeight="1">
      <c r="A244" s="87" t="n"/>
      <c r="B244" s="87" t="n"/>
      <c r="C244" s="87" t="n"/>
      <c r="D244" s="87" t="n"/>
      <c r="E244" s="87" t="n"/>
      <c r="F244" s="87" t="n"/>
      <c r="G244" s="87" t="n"/>
      <c r="H244" s="87" t="n"/>
      <c r="I244" s="87" t="n"/>
      <c r="J244" s="87" t="n"/>
      <c r="K244" s="87" t="n"/>
      <c r="L244" s="87" t="n"/>
      <c r="M244" s="87" t="n"/>
      <c r="N244" s="87" t="n"/>
      <c r="O244" s="87" t="n"/>
      <c r="P244" s="87" t="n"/>
      <c r="Q244" s="87" t="n"/>
      <c r="R244" s="87" t="n"/>
      <c r="S244" s="87" t="n"/>
      <c r="T244" s="87" t="n"/>
      <c r="U244" s="87" t="n"/>
      <c r="V244" s="87" t="n"/>
      <c r="W244" s="87" t="n"/>
      <c r="X244" s="87" t="n"/>
      <c r="Y244" s="87" t="n"/>
      <c r="Z244" s="87" t="n"/>
    </row>
    <row r="245" ht="15.75" customHeight="1">
      <c r="A245" s="87" t="n"/>
      <c r="B245" s="87" t="n"/>
      <c r="C245" s="87" t="n"/>
      <c r="D245" s="87" t="n"/>
      <c r="E245" s="87" t="n"/>
      <c r="F245" s="87" t="n"/>
      <c r="G245" s="87" t="n"/>
      <c r="H245" s="87" t="n"/>
      <c r="I245" s="87" t="n"/>
      <c r="J245" s="87" t="n"/>
      <c r="K245" s="87" t="n"/>
      <c r="L245" s="87" t="n"/>
      <c r="M245" s="87" t="n"/>
      <c r="N245" s="87" t="n"/>
      <c r="O245" s="87" t="n"/>
      <c r="P245" s="87" t="n"/>
      <c r="Q245" s="87" t="n"/>
      <c r="R245" s="87" t="n"/>
      <c r="S245" s="87" t="n"/>
      <c r="T245" s="87" t="n"/>
      <c r="U245" s="87" t="n"/>
      <c r="V245" s="87" t="n"/>
      <c r="W245" s="87" t="n"/>
      <c r="X245" s="87" t="n"/>
      <c r="Y245" s="87" t="n"/>
      <c r="Z245" s="87" t="n"/>
    </row>
    <row r="246" ht="15.75" customHeight="1">
      <c r="A246" s="87" t="n"/>
      <c r="B246" s="87" t="n"/>
      <c r="C246" s="87" t="n"/>
      <c r="D246" s="87" t="n"/>
      <c r="E246" s="87" t="n"/>
      <c r="F246" s="87" t="n"/>
      <c r="G246" s="87" t="n"/>
      <c r="H246" s="87" t="n"/>
      <c r="I246" s="87" t="n"/>
      <c r="J246" s="87" t="n"/>
      <c r="K246" s="87" t="n"/>
      <c r="L246" s="87" t="n"/>
      <c r="M246" s="87" t="n"/>
      <c r="N246" s="87" t="n"/>
      <c r="O246" s="87" t="n"/>
      <c r="P246" s="87" t="n"/>
      <c r="Q246" s="87" t="n"/>
      <c r="R246" s="87" t="n"/>
      <c r="S246" s="87" t="n"/>
      <c r="T246" s="87" t="n"/>
      <c r="U246" s="87" t="n"/>
      <c r="V246" s="87" t="n"/>
      <c r="W246" s="87" t="n"/>
      <c r="X246" s="87" t="n"/>
      <c r="Y246" s="87" t="n"/>
      <c r="Z246" s="87" t="n"/>
    </row>
    <row r="247" ht="15.75" customHeight="1">
      <c r="A247" s="87" t="n"/>
      <c r="B247" s="87" t="n"/>
      <c r="C247" s="87" t="n"/>
      <c r="D247" s="87" t="n"/>
      <c r="E247" s="87" t="n"/>
      <c r="F247" s="87" t="n"/>
      <c r="G247" s="87" t="n"/>
      <c r="H247" s="87" t="n"/>
      <c r="I247" s="87" t="n"/>
      <c r="J247" s="87" t="n"/>
      <c r="K247" s="87" t="n"/>
      <c r="L247" s="87" t="n"/>
      <c r="M247" s="87" t="n"/>
      <c r="N247" s="87" t="n"/>
      <c r="O247" s="87" t="n"/>
      <c r="P247" s="87" t="n"/>
      <c r="Q247" s="87" t="n"/>
      <c r="R247" s="87" t="n"/>
      <c r="S247" s="87" t="n"/>
      <c r="T247" s="87" t="n"/>
      <c r="U247" s="87" t="n"/>
      <c r="V247" s="87" t="n"/>
      <c r="W247" s="87" t="n"/>
      <c r="X247" s="87" t="n"/>
      <c r="Y247" s="87" t="n"/>
      <c r="Z247" s="87" t="n"/>
    </row>
    <row r="248" ht="15.75" customHeight="1">
      <c r="A248" s="87" t="n"/>
      <c r="B248" s="87" t="n"/>
      <c r="C248" s="87" t="n"/>
      <c r="D248" s="87" t="n"/>
      <c r="E248" s="87" t="n"/>
      <c r="F248" s="87" t="n"/>
      <c r="G248" s="87" t="n"/>
      <c r="H248" s="87" t="n"/>
      <c r="I248" s="87" t="n"/>
      <c r="J248" s="87" t="n"/>
      <c r="K248" s="87" t="n"/>
      <c r="L248" s="87" t="n"/>
      <c r="M248" s="87" t="n"/>
      <c r="N248" s="87" t="n"/>
      <c r="O248" s="87" t="n"/>
      <c r="P248" s="87" t="n"/>
      <c r="Q248" s="87" t="n"/>
      <c r="R248" s="87" t="n"/>
      <c r="S248" s="87" t="n"/>
      <c r="T248" s="87" t="n"/>
      <c r="U248" s="87" t="n"/>
      <c r="V248" s="87" t="n"/>
      <c r="W248" s="87" t="n"/>
      <c r="X248" s="87" t="n"/>
      <c r="Y248" s="87" t="n"/>
      <c r="Z248" s="87" t="n"/>
    </row>
    <row r="249" ht="15.75" customHeight="1">
      <c r="A249" s="87" t="n"/>
      <c r="B249" s="87" t="n"/>
      <c r="C249" s="87" t="n"/>
      <c r="D249" s="87" t="n"/>
      <c r="E249" s="87" t="n"/>
      <c r="F249" s="87" t="n"/>
      <c r="G249" s="87" t="n"/>
      <c r="H249" s="87" t="n"/>
      <c r="I249" s="87" t="n"/>
      <c r="J249" s="87" t="n"/>
      <c r="K249" s="87" t="n"/>
      <c r="L249" s="87" t="n"/>
      <c r="M249" s="87" t="n"/>
      <c r="N249" s="87" t="n"/>
      <c r="O249" s="87" t="n"/>
      <c r="P249" s="87" t="n"/>
      <c r="Q249" s="87" t="n"/>
      <c r="R249" s="87" t="n"/>
      <c r="S249" s="87" t="n"/>
      <c r="T249" s="87" t="n"/>
      <c r="U249" s="87" t="n"/>
      <c r="V249" s="87" t="n"/>
      <c r="W249" s="87" t="n"/>
      <c r="X249" s="87" t="n"/>
      <c r="Y249" s="87" t="n"/>
      <c r="Z249" s="87" t="n"/>
    </row>
    <row r="250" ht="15.75" customHeight="1">
      <c r="A250" s="87" t="n"/>
      <c r="B250" s="87" t="n"/>
      <c r="C250" s="87" t="n"/>
      <c r="D250" s="87" t="n"/>
      <c r="E250" s="87" t="n"/>
      <c r="F250" s="87" t="n"/>
      <c r="G250" s="87" t="n"/>
      <c r="H250" s="87" t="n"/>
      <c r="I250" s="87" t="n"/>
      <c r="J250" s="87" t="n"/>
      <c r="K250" s="87" t="n"/>
      <c r="L250" s="87" t="n"/>
      <c r="M250" s="87" t="n"/>
      <c r="N250" s="87" t="n"/>
      <c r="O250" s="87" t="n"/>
      <c r="P250" s="87" t="n"/>
      <c r="Q250" s="87" t="n"/>
      <c r="R250" s="87" t="n"/>
      <c r="S250" s="87" t="n"/>
      <c r="T250" s="87" t="n"/>
      <c r="U250" s="87" t="n"/>
      <c r="V250" s="87" t="n"/>
      <c r="W250" s="87" t="n"/>
      <c r="X250" s="87" t="n"/>
      <c r="Y250" s="87" t="n"/>
      <c r="Z250" s="87" t="n"/>
    </row>
    <row r="251" ht="15.75" customHeight="1">
      <c r="A251" s="87" t="n"/>
      <c r="B251" s="87" t="n"/>
      <c r="C251" s="87" t="n"/>
      <c r="D251" s="87" t="n"/>
      <c r="E251" s="87" t="n"/>
      <c r="F251" s="87" t="n"/>
      <c r="G251" s="87" t="n"/>
      <c r="H251" s="87" t="n"/>
      <c r="I251" s="87" t="n"/>
      <c r="J251" s="87" t="n"/>
      <c r="K251" s="87" t="n"/>
      <c r="L251" s="87" t="n"/>
      <c r="M251" s="87" t="n"/>
      <c r="N251" s="87" t="n"/>
      <c r="O251" s="87" t="n"/>
      <c r="P251" s="87" t="n"/>
      <c r="Q251" s="87" t="n"/>
      <c r="R251" s="87" t="n"/>
      <c r="S251" s="87" t="n"/>
      <c r="T251" s="87" t="n"/>
      <c r="U251" s="87" t="n"/>
      <c r="V251" s="87" t="n"/>
      <c r="W251" s="87" t="n"/>
      <c r="X251" s="87" t="n"/>
      <c r="Y251" s="87" t="n"/>
      <c r="Z251" s="87" t="n"/>
    </row>
    <row r="252" ht="15.75" customHeight="1">
      <c r="A252" s="87" t="n"/>
      <c r="B252" s="87" t="n"/>
      <c r="C252" s="87" t="n"/>
      <c r="D252" s="87" t="n"/>
      <c r="E252" s="87" t="n"/>
      <c r="F252" s="87" t="n"/>
      <c r="G252" s="87" t="n"/>
      <c r="H252" s="87" t="n"/>
      <c r="I252" s="87" t="n"/>
      <c r="J252" s="87" t="n"/>
      <c r="K252" s="87" t="n"/>
      <c r="L252" s="87" t="n"/>
      <c r="M252" s="87" t="n"/>
      <c r="N252" s="87" t="n"/>
      <c r="O252" s="87" t="n"/>
      <c r="P252" s="87" t="n"/>
      <c r="Q252" s="87" t="n"/>
      <c r="R252" s="87" t="n"/>
      <c r="S252" s="87" t="n"/>
      <c r="T252" s="87" t="n"/>
      <c r="U252" s="87" t="n"/>
      <c r="V252" s="87" t="n"/>
      <c r="W252" s="87" t="n"/>
      <c r="X252" s="87" t="n"/>
      <c r="Y252" s="87" t="n"/>
      <c r="Z252" s="87" t="n"/>
    </row>
    <row r="253" ht="15.75" customHeight="1">
      <c r="A253" s="87" t="n"/>
      <c r="B253" s="87" t="n"/>
      <c r="C253" s="87" t="n"/>
      <c r="D253" s="87" t="n"/>
      <c r="E253" s="87" t="n"/>
      <c r="F253" s="87" t="n"/>
      <c r="G253" s="87" t="n"/>
      <c r="H253" s="87" t="n"/>
      <c r="I253" s="87" t="n"/>
      <c r="J253" s="87" t="n"/>
      <c r="K253" s="87" t="n"/>
      <c r="L253" s="87" t="n"/>
      <c r="M253" s="87" t="n"/>
      <c r="N253" s="87" t="n"/>
      <c r="O253" s="87" t="n"/>
      <c r="P253" s="87" t="n"/>
      <c r="Q253" s="87" t="n"/>
      <c r="R253" s="87" t="n"/>
      <c r="S253" s="87" t="n"/>
      <c r="T253" s="87" t="n"/>
      <c r="U253" s="87" t="n"/>
      <c r="V253" s="87" t="n"/>
      <c r="W253" s="87" t="n"/>
      <c r="X253" s="87" t="n"/>
      <c r="Y253" s="87" t="n"/>
      <c r="Z253" s="87" t="n"/>
    </row>
    <row r="254" ht="15.75" customHeight="1">
      <c r="A254" s="87" t="n"/>
      <c r="B254" s="87" t="n"/>
      <c r="C254" s="87" t="n"/>
      <c r="D254" s="87" t="n"/>
      <c r="E254" s="87" t="n"/>
      <c r="F254" s="87" t="n"/>
      <c r="G254" s="87" t="n"/>
      <c r="H254" s="87" t="n"/>
      <c r="I254" s="87" t="n"/>
      <c r="J254" s="87" t="n"/>
      <c r="K254" s="87" t="n"/>
      <c r="L254" s="87" t="n"/>
      <c r="M254" s="87" t="n"/>
      <c r="N254" s="87" t="n"/>
      <c r="O254" s="87" t="n"/>
      <c r="P254" s="87" t="n"/>
      <c r="Q254" s="87" t="n"/>
      <c r="R254" s="87" t="n"/>
      <c r="S254" s="87" t="n"/>
      <c r="T254" s="87" t="n"/>
      <c r="U254" s="87" t="n"/>
      <c r="V254" s="87" t="n"/>
      <c r="W254" s="87" t="n"/>
      <c r="X254" s="87" t="n"/>
      <c r="Y254" s="87" t="n"/>
      <c r="Z254" s="87" t="n"/>
    </row>
    <row r="255" ht="15.75" customHeight="1">
      <c r="A255" s="87" t="n"/>
      <c r="B255" s="87" t="n"/>
      <c r="C255" s="87" t="n"/>
      <c r="D255" s="87" t="n"/>
      <c r="E255" s="87" t="n"/>
      <c r="F255" s="87" t="n"/>
      <c r="G255" s="87" t="n"/>
      <c r="H255" s="87" t="n"/>
      <c r="I255" s="87" t="n"/>
      <c r="J255" s="87" t="n"/>
      <c r="K255" s="87" t="n"/>
      <c r="L255" s="87" t="n"/>
      <c r="M255" s="87" t="n"/>
      <c r="N255" s="87" t="n"/>
      <c r="O255" s="87" t="n"/>
      <c r="P255" s="87" t="n"/>
      <c r="Q255" s="87" t="n"/>
      <c r="R255" s="87" t="n"/>
      <c r="S255" s="87" t="n"/>
      <c r="T255" s="87" t="n"/>
      <c r="U255" s="87" t="n"/>
      <c r="V255" s="87" t="n"/>
      <c r="W255" s="87" t="n"/>
      <c r="X255" s="87" t="n"/>
      <c r="Y255" s="87" t="n"/>
      <c r="Z255" s="87" t="n"/>
    </row>
    <row r="256" ht="15.75" customHeight="1">
      <c r="A256" s="87" t="n"/>
      <c r="B256" s="87" t="n"/>
      <c r="C256" s="87" t="n"/>
      <c r="D256" s="87" t="n"/>
      <c r="E256" s="87" t="n"/>
      <c r="F256" s="87" t="n"/>
      <c r="G256" s="87" t="n"/>
      <c r="H256" s="87" t="n"/>
      <c r="I256" s="87" t="n"/>
      <c r="J256" s="87" t="n"/>
      <c r="K256" s="87" t="n"/>
      <c r="L256" s="87" t="n"/>
      <c r="M256" s="87" t="n"/>
      <c r="N256" s="87" t="n"/>
      <c r="O256" s="87" t="n"/>
      <c r="P256" s="87" t="n"/>
      <c r="Q256" s="87" t="n"/>
      <c r="R256" s="87" t="n"/>
      <c r="S256" s="87" t="n"/>
      <c r="T256" s="87" t="n"/>
      <c r="U256" s="87" t="n"/>
      <c r="V256" s="87" t="n"/>
      <c r="W256" s="87" t="n"/>
      <c r="X256" s="87" t="n"/>
      <c r="Y256" s="87" t="n"/>
      <c r="Z256" s="87" t="n"/>
    </row>
    <row r="257" ht="15.75" customHeight="1">
      <c r="A257" s="87" t="n"/>
      <c r="B257" s="87" t="n"/>
      <c r="C257" s="87" t="n"/>
      <c r="D257" s="87" t="n"/>
      <c r="E257" s="87" t="n"/>
      <c r="F257" s="87" t="n"/>
      <c r="G257" s="87" t="n"/>
      <c r="H257" s="87" t="n"/>
      <c r="I257" s="87" t="n"/>
      <c r="J257" s="87" t="n"/>
      <c r="K257" s="87" t="n"/>
      <c r="L257" s="87" t="n"/>
      <c r="M257" s="87" t="n"/>
      <c r="N257" s="87" t="n"/>
      <c r="O257" s="87" t="n"/>
      <c r="P257" s="87" t="n"/>
      <c r="Q257" s="87" t="n"/>
      <c r="R257" s="87" t="n"/>
      <c r="S257" s="87" t="n"/>
      <c r="T257" s="87" t="n"/>
      <c r="U257" s="87" t="n"/>
      <c r="V257" s="87" t="n"/>
      <c r="W257" s="87" t="n"/>
      <c r="X257" s="87" t="n"/>
      <c r="Y257" s="87" t="n"/>
      <c r="Z257" s="87" t="n"/>
    </row>
    <row r="258" ht="15.75" customHeight="1">
      <c r="A258" s="87" t="n"/>
      <c r="B258" s="87" t="n"/>
      <c r="C258" s="87" t="n"/>
      <c r="D258" s="87" t="n"/>
      <c r="E258" s="87" t="n"/>
      <c r="F258" s="87" t="n"/>
      <c r="G258" s="87" t="n"/>
      <c r="H258" s="87" t="n"/>
      <c r="I258" s="87" t="n"/>
      <c r="J258" s="87" t="n"/>
      <c r="K258" s="87" t="n"/>
      <c r="L258" s="87" t="n"/>
      <c r="M258" s="87" t="n"/>
      <c r="N258" s="87" t="n"/>
      <c r="O258" s="87" t="n"/>
      <c r="P258" s="87" t="n"/>
      <c r="Q258" s="87" t="n"/>
      <c r="R258" s="87" t="n"/>
      <c r="S258" s="87" t="n"/>
      <c r="T258" s="87" t="n"/>
      <c r="U258" s="87" t="n"/>
      <c r="V258" s="87" t="n"/>
      <c r="W258" s="87" t="n"/>
      <c r="X258" s="87" t="n"/>
      <c r="Y258" s="87" t="n"/>
      <c r="Z258" s="87" t="n"/>
    </row>
    <row r="259" ht="15.75" customHeight="1">
      <c r="A259" s="87" t="n"/>
      <c r="B259" s="87" t="n"/>
      <c r="C259" s="87" t="n"/>
      <c r="D259" s="87" t="n"/>
      <c r="E259" s="87" t="n"/>
      <c r="F259" s="87" t="n"/>
      <c r="G259" s="87" t="n"/>
      <c r="H259" s="87" t="n"/>
      <c r="I259" s="87" t="n"/>
      <c r="J259" s="87" t="n"/>
      <c r="K259" s="87" t="n"/>
      <c r="L259" s="87" t="n"/>
      <c r="M259" s="87" t="n"/>
      <c r="N259" s="87" t="n"/>
      <c r="O259" s="87" t="n"/>
      <c r="P259" s="87" t="n"/>
      <c r="Q259" s="87" t="n"/>
      <c r="R259" s="87" t="n"/>
      <c r="S259" s="87" t="n"/>
      <c r="T259" s="87" t="n"/>
      <c r="U259" s="87" t="n"/>
      <c r="V259" s="87" t="n"/>
      <c r="W259" s="87" t="n"/>
      <c r="X259" s="87" t="n"/>
      <c r="Y259" s="87" t="n"/>
      <c r="Z259" s="87" t="n"/>
    </row>
    <row r="260" ht="15.75" customHeight="1">
      <c r="A260" s="87" t="n"/>
      <c r="B260" s="87" t="n"/>
      <c r="C260" s="87" t="n"/>
      <c r="D260" s="87" t="n"/>
      <c r="E260" s="87" t="n"/>
      <c r="F260" s="87" t="n"/>
      <c r="G260" s="87" t="n"/>
      <c r="H260" s="87" t="n"/>
      <c r="I260" s="87" t="n"/>
      <c r="J260" s="87" t="n"/>
      <c r="K260" s="87" t="n"/>
      <c r="L260" s="87" t="n"/>
      <c r="M260" s="87" t="n"/>
      <c r="N260" s="87" t="n"/>
      <c r="O260" s="87" t="n"/>
      <c r="P260" s="87" t="n"/>
      <c r="Q260" s="87" t="n"/>
      <c r="R260" s="87" t="n"/>
      <c r="S260" s="87" t="n"/>
      <c r="T260" s="87" t="n"/>
      <c r="U260" s="87" t="n"/>
      <c r="V260" s="87" t="n"/>
      <c r="W260" s="87" t="n"/>
      <c r="X260" s="87" t="n"/>
      <c r="Y260" s="87" t="n"/>
      <c r="Z260" s="87" t="n"/>
    </row>
    <row r="261" ht="15.75" customHeight="1">
      <c r="A261" s="87" t="n"/>
      <c r="B261" s="87" t="n"/>
      <c r="C261" s="87" t="n"/>
      <c r="D261" s="87" t="n"/>
      <c r="E261" s="87" t="n"/>
      <c r="F261" s="87" t="n"/>
      <c r="G261" s="87" t="n"/>
      <c r="H261" s="87" t="n"/>
      <c r="I261" s="87" t="n"/>
      <c r="J261" s="87" t="n"/>
      <c r="K261" s="87" t="n"/>
      <c r="L261" s="87" t="n"/>
      <c r="M261" s="87" t="n"/>
      <c r="N261" s="87" t="n"/>
      <c r="O261" s="87" t="n"/>
      <c r="P261" s="87" t="n"/>
      <c r="Q261" s="87" t="n"/>
      <c r="R261" s="87" t="n"/>
      <c r="S261" s="87" t="n"/>
      <c r="T261" s="87" t="n"/>
      <c r="U261" s="87" t="n"/>
      <c r="V261" s="87" t="n"/>
      <c r="W261" s="87" t="n"/>
      <c r="X261" s="87" t="n"/>
      <c r="Y261" s="87" t="n"/>
      <c r="Z261" s="87" t="n"/>
    </row>
    <row r="262" ht="15.75" customHeight="1">
      <c r="A262" s="87" t="n"/>
      <c r="B262" s="87" t="n"/>
      <c r="C262" s="87" t="n"/>
      <c r="D262" s="87" t="n"/>
      <c r="E262" s="87" t="n"/>
      <c r="F262" s="87" t="n"/>
      <c r="G262" s="87" t="n"/>
      <c r="H262" s="87" t="n"/>
      <c r="I262" s="87" t="n"/>
      <c r="J262" s="87" t="n"/>
      <c r="K262" s="87" t="n"/>
      <c r="L262" s="87" t="n"/>
      <c r="M262" s="87" t="n"/>
      <c r="N262" s="87" t="n"/>
      <c r="O262" s="87" t="n"/>
      <c r="P262" s="87" t="n"/>
      <c r="Q262" s="87" t="n"/>
      <c r="R262" s="87" t="n"/>
      <c r="S262" s="87" t="n"/>
      <c r="T262" s="87" t="n"/>
      <c r="U262" s="87" t="n"/>
      <c r="V262" s="87" t="n"/>
      <c r="W262" s="87" t="n"/>
      <c r="X262" s="87" t="n"/>
      <c r="Y262" s="87" t="n"/>
      <c r="Z262" s="87" t="n"/>
    </row>
    <row r="263" ht="15.75" customHeight="1">
      <c r="A263" s="87" t="n"/>
      <c r="B263" s="87" t="n"/>
      <c r="C263" s="87" t="n"/>
      <c r="D263" s="87" t="n"/>
      <c r="E263" s="87" t="n"/>
      <c r="F263" s="87" t="n"/>
      <c r="G263" s="87" t="n"/>
      <c r="H263" s="87" t="n"/>
      <c r="I263" s="87" t="n"/>
      <c r="J263" s="87" t="n"/>
      <c r="K263" s="87" t="n"/>
      <c r="L263" s="87" t="n"/>
      <c r="M263" s="87" t="n"/>
      <c r="N263" s="87" t="n"/>
      <c r="O263" s="87" t="n"/>
      <c r="P263" s="87" t="n"/>
      <c r="Q263" s="87" t="n"/>
      <c r="R263" s="87" t="n"/>
      <c r="S263" s="87" t="n"/>
      <c r="T263" s="87" t="n"/>
      <c r="U263" s="87" t="n"/>
      <c r="V263" s="87" t="n"/>
      <c r="W263" s="87" t="n"/>
      <c r="X263" s="87" t="n"/>
      <c r="Y263" s="87" t="n"/>
      <c r="Z263" s="87" t="n"/>
    </row>
    <row r="264" ht="15.75" customHeight="1">
      <c r="A264" s="87" t="n"/>
      <c r="B264" s="87" t="n"/>
      <c r="C264" s="87" t="n"/>
      <c r="D264" s="87" t="n"/>
      <c r="E264" s="87" t="n"/>
      <c r="F264" s="87" t="n"/>
      <c r="G264" s="87" t="n"/>
      <c r="H264" s="87" t="n"/>
      <c r="I264" s="87" t="n"/>
      <c r="J264" s="87" t="n"/>
      <c r="K264" s="87" t="n"/>
      <c r="L264" s="87" t="n"/>
      <c r="M264" s="87" t="n"/>
      <c r="N264" s="87" t="n"/>
      <c r="O264" s="87" t="n"/>
      <c r="P264" s="87" t="n"/>
      <c r="Q264" s="87" t="n"/>
      <c r="R264" s="87" t="n"/>
      <c r="S264" s="87" t="n"/>
      <c r="T264" s="87" t="n"/>
      <c r="U264" s="87" t="n"/>
      <c r="V264" s="87" t="n"/>
      <c r="W264" s="87" t="n"/>
      <c r="X264" s="87" t="n"/>
      <c r="Y264" s="87" t="n"/>
      <c r="Z264" s="87" t="n"/>
    </row>
    <row r="265" ht="15.75" customHeight="1">
      <c r="A265" s="87" t="n"/>
      <c r="B265" s="87" t="n"/>
      <c r="C265" s="87" t="n"/>
      <c r="D265" s="87" t="n"/>
      <c r="E265" s="87" t="n"/>
      <c r="F265" s="87" t="n"/>
      <c r="G265" s="87" t="n"/>
      <c r="H265" s="87" t="n"/>
      <c r="I265" s="87" t="n"/>
      <c r="J265" s="87" t="n"/>
      <c r="K265" s="87" t="n"/>
      <c r="L265" s="87" t="n"/>
      <c r="M265" s="87" t="n"/>
      <c r="N265" s="87" t="n"/>
      <c r="O265" s="87" t="n"/>
      <c r="P265" s="87" t="n"/>
      <c r="Q265" s="87" t="n"/>
      <c r="R265" s="87" t="n"/>
      <c r="S265" s="87" t="n"/>
      <c r="T265" s="87" t="n"/>
      <c r="U265" s="87" t="n"/>
      <c r="V265" s="87" t="n"/>
      <c r="W265" s="87" t="n"/>
      <c r="X265" s="87" t="n"/>
      <c r="Y265" s="87" t="n"/>
      <c r="Z265" s="87" t="n"/>
    </row>
    <row r="266" ht="15.75" customHeight="1">
      <c r="A266" s="87" t="n"/>
      <c r="B266" s="87" t="n"/>
      <c r="C266" s="87" t="n"/>
      <c r="D266" s="87" t="n"/>
      <c r="E266" s="87" t="n"/>
      <c r="F266" s="87" t="n"/>
      <c r="G266" s="87" t="n"/>
      <c r="H266" s="87" t="n"/>
      <c r="I266" s="87" t="n"/>
      <c r="J266" s="87" t="n"/>
      <c r="K266" s="87" t="n"/>
      <c r="L266" s="87" t="n"/>
      <c r="M266" s="87" t="n"/>
      <c r="N266" s="87" t="n"/>
      <c r="O266" s="87" t="n"/>
      <c r="P266" s="87" t="n"/>
      <c r="Q266" s="87" t="n"/>
      <c r="R266" s="87" t="n"/>
      <c r="S266" s="87" t="n"/>
      <c r="T266" s="87" t="n"/>
      <c r="U266" s="87" t="n"/>
      <c r="V266" s="87" t="n"/>
      <c r="W266" s="87" t="n"/>
      <c r="X266" s="87" t="n"/>
      <c r="Y266" s="87" t="n"/>
      <c r="Z266" s="87" t="n"/>
    </row>
    <row r="267" ht="15.75" customHeight="1">
      <c r="A267" s="87" t="n"/>
      <c r="B267" s="87" t="n"/>
      <c r="C267" s="87" t="n"/>
      <c r="D267" s="87" t="n"/>
      <c r="E267" s="87" t="n"/>
      <c r="F267" s="87" t="n"/>
      <c r="G267" s="87" t="n"/>
      <c r="H267" s="87" t="n"/>
      <c r="I267" s="87" t="n"/>
      <c r="J267" s="87" t="n"/>
      <c r="K267" s="87" t="n"/>
      <c r="L267" s="87" t="n"/>
      <c r="M267" s="87" t="n"/>
      <c r="N267" s="87" t="n"/>
      <c r="O267" s="87" t="n"/>
      <c r="P267" s="87" t="n"/>
      <c r="Q267" s="87" t="n"/>
      <c r="R267" s="87" t="n"/>
      <c r="S267" s="87" t="n"/>
      <c r="T267" s="87" t="n"/>
      <c r="U267" s="87" t="n"/>
      <c r="V267" s="87" t="n"/>
      <c r="W267" s="87" t="n"/>
      <c r="X267" s="87" t="n"/>
      <c r="Y267" s="87" t="n"/>
      <c r="Z267" s="87" t="n"/>
    </row>
    <row r="268" ht="15.75" customHeight="1">
      <c r="A268" s="87" t="n"/>
      <c r="B268" s="87" t="n"/>
      <c r="C268" s="87" t="n"/>
      <c r="D268" s="87" t="n"/>
      <c r="E268" s="87" t="n"/>
      <c r="F268" s="87" t="n"/>
      <c r="G268" s="87" t="n"/>
      <c r="H268" s="87" t="n"/>
      <c r="I268" s="87" t="n"/>
      <c r="J268" s="87" t="n"/>
      <c r="K268" s="87" t="n"/>
      <c r="L268" s="87" t="n"/>
      <c r="M268" s="87" t="n"/>
      <c r="N268" s="87" t="n"/>
      <c r="O268" s="87" t="n"/>
      <c r="P268" s="87" t="n"/>
      <c r="Q268" s="87" t="n"/>
      <c r="R268" s="87" t="n"/>
      <c r="S268" s="87" t="n"/>
      <c r="T268" s="87" t="n"/>
      <c r="U268" s="87" t="n"/>
      <c r="V268" s="87" t="n"/>
      <c r="W268" s="87" t="n"/>
      <c r="X268" s="87" t="n"/>
      <c r="Y268" s="87" t="n"/>
      <c r="Z268" s="87" t="n"/>
    </row>
    <row r="269" ht="15.75" customHeight="1">
      <c r="A269" s="87" t="n"/>
      <c r="B269" s="87" t="n"/>
      <c r="C269" s="87" t="n"/>
      <c r="D269" s="87" t="n"/>
      <c r="E269" s="87" t="n"/>
      <c r="F269" s="87" t="n"/>
      <c r="G269" s="87" t="n"/>
      <c r="H269" s="87" t="n"/>
      <c r="I269" s="87" t="n"/>
      <c r="J269" s="87" t="n"/>
      <c r="K269" s="87" t="n"/>
      <c r="L269" s="87" t="n"/>
      <c r="M269" s="87" t="n"/>
      <c r="N269" s="87" t="n"/>
      <c r="O269" s="87" t="n"/>
      <c r="P269" s="87" t="n"/>
      <c r="Q269" s="87" t="n"/>
      <c r="R269" s="87" t="n"/>
      <c r="S269" s="87" t="n"/>
      <c r="T269" s="87" t="n"/>
      <c r="U269" s="87" t="n"/>
      <c r="V269" s="87" t="n"/>
      <c r="W269" s="87" t="n"/>
      <c r="X269" s="87" t="n"/>
      <c r="Y269" s="87" t="n"/>
      <c r="Z269" s="87" t="n"/>
    </row>
    <row r="270" ht="15.75" customHeight="1">
      <c r="A270" s="87" t="n"/>
      <c r="B270" s="87" t="n"/>
      <c r="C270" s="87" t="n"/>
      <c r="D270" s="87" t="n"/>
      <c r="E270" s="87" t="n"/>
      <c r="F270" s="87" t="n"/>
      <c r="G270" s="87" t="n"/>
      <c r="H270" s="87" t="n"/>
      <c r="I270" s="87" t="n"/>
      <c r="J270" s="87" t="n"/>
      <c r="K270" s="87" t="n"/>
      <c r="L270" s="87" t="n"/>
      <c r="M270" s="87" t="n"/>
      <c r="N270" s="87" t="n"/>
      <c r="O270" s="87" t="n"/>
      <c r="P270" s="87" t="n"/>
      <c r="Q270" s="87" t="n"/>
      <c r="R270" s="87" t="n"/>
      <c r="S270" s="87" t="n"/>
      <c r="T270" s="87" t="n"/>
      <c r="U270" s="87" t="n"/>
      <c r="V270" s="87" t="n"/>
      <c r="W270" s="87" t="n"/>
      <c r="X270" s="87" t="n"/>
      <c r="Y270" s="87" t="n"/>
      <c r="Z270" s="87" t="n"/>
    </row>
    <row r="271" ht="15.75" customHeight="1">
      <c r="A271" s="87" t="n"/>
      <c r="B271" s="87" t="n"/>
      <c r="C271" s="87" t="n"/>
      <c r="D271" s="87" t="n"/>
      <c r="E271" s="87" t="n"/>
      <c r="F271" s="87" t="n"/>
      <c r="G271" s="87" t="n"/>
      <c r="H271" s="87" t="n"/>
      <c r="I271" s="87" t="n"/>
      <c r="J271" s="87" t="n"/>
      <c r="K271" s="87" t="n"/>
      <c r="L271" s="87" t="n"/>
      <c r="M271" s="87" t="n"/>
      <c r="N271" s="87" t="n"/>
      <c r="O271" s="87" t="n"/>
      <c r="P271" s="87" t="n"/>
      <c r="Q271" s="87" t="n"/>
      <c r="R271" s="87" t="n"/>
      <c r="S271" s="87" t="n"/>
      <c r="T271" s="87" t="n"/>
      <c r="U271" s="87" t="n"/>
      <c r="V271" s="87" t="n"/>
      <c r="W271" s="87" t="n"/>
      <c r="X271" s="87" t="n"/>
      <c r="Y271" s="87" t="n"/>
      <c r="Z271" s="87" t="n"/>
    </row>
    <row r="272" ht="15.75" customHeight="1">
      <c r="A272" s="87" t="n"/>
      <c r="B272" s="87" t="n"/>
      <c r="C272" s="87" t="n"/>
      <c r="D272" s="87" t="n"/>
      <c r="E272" s="87" t="n"/>
      <c r="F272" s="87" t="n"/>
      <c r="G272" s="87" t="n"/>
      <c r="H272" s="87" t="n"/>
      <c r="I272" s="87" t="n"/>
      <c r="J272" s="87" t="n"/>
      <c r="K272" s="87" t="n"/>
      <c r="L272" s="87" t="n"/>
      <c r="M272" s="87" t="n"/>
      <c r="N272" s="87" t="n"/>
      <c r="O272" s="87" t="n"/>
      <c r="P272" s="87" t="n"/>
      <c r="Q272" s="87" t="n"/>
      <c r="R272" s="87" t="n"/>
      <c r="S272" s="87" t="n"/>
      <c r="T272" s="87" t="n"/>
      <c r="U272" s="87" t="n"/>
      <c r="V272" s="87" t="n"/>
      <c r="W272" s="87" t="n"/>
      <c r="X272" s="87" t="n"/>
      <c r="Y272" s="87" t="n"/>
      <c r="Z272" s="87" t="n"/>
    </row>
    <row r="273" ht="15.75" customHeight="1">
      <c r="A273" s="87" t="n"/>
      <c r="B273" s="87" t="n"/>
      <c r="C273" s="87" t="n"/>
      <c r="D273" s="87" t="n"/>
      <c r="E273" s="87" t="n"/>
      <c r="F273" s="87" t="n"/>
      <c r="G273" s="87" t="n"/>
      <c r="H273" s="87" t="n"/>
      <c r="I273" s="87" t="n"/>
      <c r="J273" s="87" t="n"/>
      <c r="K273" s="87" t="n"/>
      <c r="L273" s="87" t="n"/>
      <c r="M273" s="87" t="n"/>
      <c r="N273" s="87" t="n"/>
      <c r="O273" s="87" t="n"/>
      <c r="P273" s="87" t="n"/>
      <c r="Q273" s="87" t="n"/>
      <c r="R273" s="87" t="n"/>
      <c r="S273" s="87" t="n"/>
      <c r="T273" s="87" t="n"/>
      <c r="U273" s="87" t="n"/>
      <c r="V273" s="87" t="n"/>
      <c r="W273" s="87" t="n"/>
      <c r="X273" s="87" t="n"/>
      <c r="Y273" s="87" t="n"/>
      <c r="Z273" s="87" t="n"/>
    </row>
    <row r="274" ht="15.75" customHeight="1">
      <c r="A274" s="87" t="n"/>
      <c r="B274" s="87" t="n"/>
      <c r="C274" s="87" t="n"/>
      <c r="D274" s="87" t="n"/>
      <c r="E274" s="87" t="n"/>
      <c r="F274" s="87" t="n"/>
      <c r="G274" s="87" t="n"/>
      <c r="H274" s="87" t="n"/>
      <c r="I274" s="87" t="n"/>
      <c r="J274" s="87" t="n"/>
      <c r="K274" s="87" t="n"/>
      <c r="L274" s="87" t="n"/>
      <c r="M274" s="87" t="n"/>
      <c r="N274" s="87" t="n"/>
      <c r="O274" s="87" t="n"/>
      <c r="P274" s="87" t="n"/>
      <c r="Q274" s="87" t="n"/>
      <c r="R274" s="87" t="n"/>
      <c r="S274" s="87" t="n"/>
      <c r="T274" s="87" t="n"/>
      <c r="U274" s="87" t="n"/>
      <c r="V274" s="87" t="n"/>
      <c r="W274" s="87" t="n"/>
      <c r="X274" s="87" t="n"/>
      <c r="Y274" s="87" t="n"/>
      <c r="Z274" s="87" t="n"/>
    </row>
    <row r="275" ht="15.75" customHeight="1">
      <c r="A275" s="87" t="n"/>
      <c r="B275" s="87" t="n"/>
      <c r="C275" s="87" t="n"/>
      <c r="D275" s="87" t="n"/>
      <c r="E275" s="87" t="n"/>
      <c r="F275" s="87" t="n"/>
      <c r="G275" s="87" t="n"/>
      <c r="H275" s="87" t="n"/>
      <c r="I275" s="87" t="n"/>
      <c r="J275" s="87" t="n"/>
      <c r="K275" s="87" t="n"/>
      <c r="L275" s="87" t="n"/>
      <c r="M275" s="87" t="n"/>
      <c r="N275" s="87" t="n"/>
      <c r="O275" s="87" t="n"/>
      <c r="P275" s="87" t="n"/>
      <c r="Q275" s="87" t="n"/>
      <c r="R275" s="87" t="n"/>
      <c r="S275" s="87" t="n"/>
      <c r="T275" s="87" t="n"/>
      <c r="U275" s="87" t="n"/>
      <c r="V275" s="87" t="n"/>
      <c r="W275" s="87" t="n"/>
      <c r="X275" s="87" t="n"/>
      <c r="Y275" s="87" t="n"/>
      <c r="Z275" s="87" t="n"/>
    </row>
    <row r="276" ht="15.75" customHeight="1">
      <c r="A276" s="87" t="n"/>
      <c r="B276" s="87" t="n"/>
      <c r="C276" s="87" t="n"/>
      <c r="D276" s="87" t="n"/>
      <c r="E276" s="87" t="n"/>
      <c r="F276" s="87" t="n"/>
      <c r="G276" s="87" t="n"/>
      <c r="H276" s="87" t="n"/>
      <c r="I276" s="87" t="n"/>
      <c r="J276" s="87" t="n"/>
      <c r="K276" s="87" t="n"/>
      <c r="L276" s="87" t="n"/>
      <c r="M276" s="87" t="n"/>
      <c r="N276" s="87" t="n"/>
      <c r="O276" s="87" t="n"/>
      <c r="P276" s="87" t="n"/>
      <c r="Q276" s="87" t="n"/>
      <c r="R276" s="87" t="n"/>
      <c r="S276" s="87" t="n"/>
      <c r="T276" s="87" t="n"/>
      <c r="U276" s="87" t="n"/>
      <c r="V276" s="87" t="n"/>
      <c r="W276" s="87" t="n"/>
      <c r="X276" s="87" t="n"/>
      <c r="Y276" s="87" t="n"/>
      <c r="Z276" s="87" t="n"/>
    </row>
    <row r="277" ht="15.75" customHeight="1">
      <c r="A277" s="87" t="n"/>
      <c r="B277" s="87" t="n"/>
      <c r="C277" s="87" t="n"/>
      <c r="D277" s="87" t="n"/>
      <c r="E277" s="87" t="n"/>
      <c r="F277" s="87" t="n"/>
      <c r="G277" s="87" t="n"/>
      <c r="H277" s="87" t="n"/>
      <c r="I277" s="87" t="n"/>
      <c r="J277" s="87" t="n"/>
      <c r="K277" s="87" t="n"/>
      <c r="L277" s="87" t="n"/>
      <c r="M277" s="87" t="n"/>
      <c r="N277" s="87" t="n"/>
      <c r="O277" s="87" t="n"/>
      <c r="P277" s="87" t="n"/>
      <c r="Q277" s="87" t="n"/>
      <c r="R277" s="87" t="n"/>
      <c r="S277" s="87" t="n"/>
      <c r="T277" s="87" t="n"/>
      <c r="U277" s="87" t="n"/>
      <c r="V277" s="87" t="n"/>
      <c r="W277" s="87" t="n"/>
      <c r="X277" s="87" t="n"/>
      <c r="Y277" s="87" t="n"/>
      <c r="Z277" s="87" t="n"/>
    </row>
    <row r="278" ht="15.75" customHeight="1">
      <c r="A278" s="87" t="n"/>
      <c r="B278" s="87" t="n"/>
      <c r="C278" s="87" t="n"/>
      <c r="D278" s="87" t="n"/>
      <c r="E278" s="87" t="n"/>
      <c r="F278" s="87" t="n"/>
      <c r="G278" s="87" t="n"/>
      <c r="H278" s="87" t="n"/>
      <c r="I278" s="87" t="n"/>
      <c r="J278" s="87" t="n"/>
      <c r="K278" s="87" t="n"/>
      <c r="L278" s="87" t="n"/>
      <c r="M278" s="87" t="n"/>
      <c r="N278" s="87" t="n"/>
      <c r="O278" s="87" t="n"/>
      <c r="P278" s="87" t="n"/>
      <c r="Q278" s="87" t="n"/>
      <c r="R278" s="87" t="n"/>
      <c r="S278" s="87" t="n"/>
      <c r="T278" s="87" t="n"/>
      <c r="U278" s="87" t="n"/>
      <c r="V278" s="87" t="n"/>
      <c r="W278" s="87" t="n"/>
      <c r="X278" s="87" t="n"/>
      <c r="Y278" s="87" t="n"/>
      <c r="Z278" s="87" t="n"/>
    </row>
    <row r="279" ht="15.75" customHeight="1">
      <c r="A279" s="87" t="n"/>
      <c r="B279" s="87" t="n"/>
      <c r="C279" s="87" t="n"/>
      <c r="D279" s="87" t="n"/>
      <c r="E279" s="87" t="n"/>
      <c r="F279" s="87" t="n"/>
      <c r="G279" s="87" t="n"/>
      <c r="H279" s="87" t="n"/>
      <c r="I279" s="87" t="n"/>
      <c r="J279" s="87" t="n"/>
      <c r="K279" s="87" t="n"/>
      <c r="L279" s="87" t="n"/>
      <c r="M279" s="87" t="n"/>
      <c r="N279" s="87" t="n"/>
      <c r="O279" s="87" t="n"/>
      <c r="P279" s="87" t="n"/>
      <c r="Q279" s="87" t="n"/>
      <c r="R279" s="87" t="n"/>
      <c r="S279" s="87" t="n"/>
      <c r="T279" s="87" t="n"/>
      <c r="U279" s="87" t="n"/>
      <c r="V279" s="87" t="n"/>
      <c r="W279" s="87" t="n"/>
      <c r="X279" s="87" t="n"/>
      <c r="Y279" s="87" t="n"/>
      <c r="Z279" s="87" t="n"/>
    </row>
    <row r="280" ht="15.75" customHeight="1">
      <c r="A280" s="87" t="n"/>
      <c r="B280" s="87" t="n"/>
      <c r="C280" s="87" t="n"/>
      <c r="D280" s="87" t="n"/>
      <c r="E280" s="87" t="n"/>
      <c r="F280" s="87" t="n"/>
      <c r="G280" s="87" t="n"/>
      <c r="H280" s="87" t="n"/>
      <c r="I280" s="87" t="n"/>
      <c r="J280" s="87" t="n"/>
      <c r="K280" s="87" t="n"/>
      <c r="L280" s="87" t="n"/>
      <c r="M280" s="87" t="n"/>
      <c r="N280" s="87" t="n"/>
      <c r="O280" s="87" t="n"/>
      <c r="P280" s="87" t="n"/>
      <c r="Q280" s="87" t="n"/>
      <c r="R280" s="87" t="n"/>
      <c r="S280" s="87" t="n"/>
      <c r="T280" s="87" t="n"/>
      <c r="U280" s="87" t="n"/>
      <c r="V280" s="87" t="n"/>
      <c r="W280" s="87" t="n"/>
      <c r="X280" s="87" t="n"/>
      <c r="Y280" s="87" t="n"/>
      <c r="Z280" s="87" t="n"/>
    </row>
    <row r="281" ht="15.75" customHeight="1">
      <c r="A281" s="87" t="n"/>
      <c r="B281" s="87" t="n"/>
      <c r="C281" s="87" t="n"/>
      <c r="D281" s="87" t="n"/>
      <c r="E281" s="87" t="n"/>
      <c r="F281" s="87" t="n"/>
      <c r="G281" s="87" t="n"/>
      <c r="H281" s="87" t="n"/>
      <c r="I281" s="87" t="n"/>
      <c r="J281" s="87" t="n"/>
      <c r="K281" s="87" t="n"/>
      <c r="L281" s="87" t="n"/>
      <c r="M281" s="87" t="n"/>
      <c r="N281" s="87" t="n"/>
      <c r="O281" s="87" t="n"/>
      <c r="P281" s="87" t="n"/>
      <c r="Q281" s="87" t="n"/>
      <c r="R281" s="87" t="n"/>
      <c r="S281" s="87" t="n"/>
      <c r="T281" s="87" t="n"/>
      <c r="U281" s="87" t="n"/>
      <c r="V281" s="87" t="n"/>
      <c r="W281" s="87" t="n"/>
      <c r="X281" s="87" t="n"/>
      <c r="Y281" s="87" t="n"/>
      <c r="Z281" s="87" t="n"/>
    </row>
    <row r="282" ht="15.75" customHeight="1">
      <c r="A282" s="87" t="n"/>
      <c r="B282" s="87" t="n"/>
      <c r="C282" s="87" t="n"/>
      <c r="D282" s="87" t="n"/>
      <c r="E282" s="87" t="n"/>
      <c r="F282" s="87" t="n"/>
      <c r="G282" s="87" t="n"/>
      <c r="H282" s="87" t="n"/>
      <c r="I282" s="87" t="n"/>
      <c r="J282" s="87" t="n"/>
      <c r="K282" s="87" t="n"/>
      <c r="L282" s="87" t="n"/>
      <c r="M282" s="87" t="n"/>
      <c r="N282" s="87" t="n"/>
      <c r="O282" s="87" t="n"/>
      <c r="P282" s="87" t="n"/>
      <c r="Q282" s="87" t="n"/>
      <c r="R282" s="87" t="n"/>
      <c r="S282" s="87" t="n"/>
      <c r="T282" s="87" t="n"/>
      <c r="U282" s="87" t="n"/>
      <c r="V282" s="87" t="n"/>
      <c r="W282" s="87" t="n"/>
      <c r="X282" s="87" t="n"/>
      <c r="Y282" s="87" t="n"/>
      <c r="Z282" s="87" t="n"/>
    </row>
    <row r="283" ht="15.75" customHeight="1">
      <c r="A283" s="87" t="n"/>
      <c r="B283" s="87" t="n"/>
      <c r="C283" s="87" t="n"/>
      <c r="D283" s="87" t="n"/>
      <c r="E283" s="87" t="n"/>
      <c r="F283" s="87" t="n"/>
      <c r="G283" s="87" t="n"/>
      <c r="H283" s="87" t="n"/>
      <c r="I283" s="87" t="n"/>
      <c r="J283" s="87" t="n"/>
      <c r="K283" s="87" t="n"/>
      <c r="L283" s="87" t="n"/>
      <c r="M283" s="87" t="n"/>
      <c r="N283" s="87" t="n"/>
      <c r="O283" s="87" t="n"/>
      <c r="P283" s="87" t="n"/>
      <c r="Q283" s="87" t="n"/>
      <c r="R283" s="87" t="n"/>
      <c r="S283" s="87" t="n"/>
      <c r="T283" s="87" t="n"/>
      <c r="U283" s="87" t="n"/>
      <c r="V283" s="87" t="n"/>
      <c r="W283" s="87" t="n"/>
      <c r="X283" s="87" t="n"/>
      <c r="Y283" s="87" t="n"/>
      <c r="Z283" s="87" t="n"/>
    </row>
    <row r="284" ht="15.75" customHeight="1">
      <c r="A284" s="87" t="n"/>
      <c r="B284" s="87" t="n"/>
      <c r="C284" s="87" t="n"/>
      <c r="D284" s="87" t="n"/>
      <c r="E284" s="87" t="n"/>
      <c r="F284" s="87" t="n"/>
      <c r="G284" s="87" t="n"/>
      <c r="H284" s="87" t="n"/>
      <c r="I284" s="87" t="n"/>
      <c r="J284" s="87" t="n"/>
      <c r="K284" s="87" t="n"/>
      <c r="L284" s="87" t="n"/>
      <c r="M284" s="87" t="n"/>
      <c r="N284" s="87" t="n"/>
      <c r="O284" s="87" t="n"/>
      <c r="P284" s="87" t="n"/>
      <c r="Q284" s="87" t="n"/>
      <c r="R284" s="87" t="n"/>
      <c r="S284" s="87" t="n"/>
      <c r="T284" s="87" t="n"/>
      <c r="U284" s="87" t="n"/>
      <c r="V284" s="87" t="n"/>
      <c r="W284" s="87" t="n"/>
      <c r="X284" s="87" t="n"/>
      <c r="Y284" s="87" t="n"/>
      <c r="Z284" s="87" t="n"/>
    </row>
    <row r="285" ht="15.75" customHeight="1">
      <c r="A285" s="87" t="n"/>
      <c r="B285" s="87" t="n"/>
      <c r="C285" s="87" t="n"/>
      <c r="D285" s="87" t="n"/>
      <c r="E285" s="87" t="n"/>
      <c r="F285" s="87" t="n"/>
      <c r="G285" s="87" t="n"/>
      <c r="H285" s="87" t="n"/>
      <c r="I285" s="87" t="n"/>
      <c r="J285" s="87" t="n"/>
      <c r="K285" s="87" t="n"/>
      <c r="L285" s="87" t="n"/>
      <c r="M285" s="87" t="n"/>
      <c r="N285" s="87" t="n"/>
      <c r="O285" s="87" t="n"/>
      <c r="P285" s="87" t="n"/>
      <c r="Q285" s="87" t="n"/>
      <c r="R285" s="87" t="n"/>
      <c r="S285" s="87" t="n"/>
      <c r="T285" s="87" t="n"/>
      <c r="U285" s="87" t="n"/>
      <c r="V285" s="87" t="n"/>
      <c r="W285" s="87" t="n"/>
      <c r="X285" s="87" t="n"/>
      <c r="Y285" s="87" t="n"/>
      <c r="Z285" s="87" t="n"/>
    </row>
    <row r="286" ht="15.75" customHeight="1">
      <c r="A286" s="87" t="n"/>
      <c r="B286" s="87" t="n"/>
      <c r="C286" s="87" t="n"/>
      <c r="D286" s="87" t="n"/>
      <c r="E286" s="87" t="n"/>
      <c r="F286" s="87" t="n"/>
      <c r="G286" s="87" t="n"/>
      <c r="H286" s="87" t="n"/>
      <c r="I286" s="87" t="n"/>
      <c r="J286" s="87" t="n"/>
      <c r="K286" s="87" t="n"/>
      <c r="L286" s="87" t="n"/>
      <c r="M286" s="87" t="n"/>
      <c r="N286" s="87" t="n"/>
      <c r="O286" s="87" t="n"/>
      <c r="P286" s="87" t="n"/>
      <c r="Q286" s="87" t="n"/>
      <c r="R286" s="87" t="n"/>
      <c r="S286" s="87" t="n"/>
      <c r="T286" s="87" t="n"/>
      <c r="U286" s="87" t="n"/>
      <c r="V286" s="87" t="n"/>
      <c r="W286" s="87" t="n"/>
      <c r="X286" s="87" t="n"/>
      <c r="Y286" s="87" t="n"/>
      <c r="Z286" s="87" t="n"/>
    </row>
    <row r="287" ht="15.75" customHeight="1">
      <c r="A287" s="87" t="n"/>
      <c r="B287" s="87" t="n"/>
      <c r="C287" s="87" t="n"/>
      <c r="D287" s="87" t="n"/>
      <c r="E287" s="87" t="n"/>
      <c r="F287" s="87" t="n"/>
      <c r="G287" s="87" t="n"/>
      <c r="H287" s="87" t="n"/>
      <c r="I287" s="87" t="n"/>
      <c r="J287" s="87" t="n"/>
      <c r="K287" s="87" t="n"/>
      <c r="L287" s="87" t="n"/>
      <c r="M287" s="87" t="n"/>
      <c r="N287" s="87" t="n"/>
      <c r="O287" s="87" t="n"/>
      <c r="P287" s="87" t="n"/>
      <c r="Q287" s="87" t="n"/>
      <c r="R287" s="87" t="n"/>
      <c r="S287" s="87" t="n"/>
      <c r="T287" s="87" t="n"/>
      <c r="U287" s="87" t="n"/>
      <c r="V287" s="87" t="n"/>
      <c r="W287" s="87" t="n"/>
      <c r="X287" s="87" t="n"/>
      <c r="Y287" s="87" t="n"/>
      <c r="Z287" s="87" t="n"/>
    </row>
    <row r="288" ht="15.75" customHeight="1">
      <c r="A288" s="87" t="n"/>
      <c r="B288" s="87" t="n"/>
      <c r="C288" s="87" t="n"/>
      <c r="D288" s="87" t="n"/>
      <c r="E288" s="87" t="n"/>
      <c r="F288" s="87" t="n"/>
      <c r="G288" s="87" t="n"/>
      <c r="H288" s="87" t="n"/>
      <c r="I288" s="87" t="n"/>
      <c r="J288" s="87" t="n"/>
      <c r="K288" s="87" t="n"/>
      <c r="L288" s="87" t="n"/>
      <c r="M288" s="87" t="n"/>
      <c r="N288" s="87" t="n"/>
      <c r="O288" s="87" t="n"/>
      <c r="P288" s="87" t="n"/>
      <c r="Q288" s="87" t="n"/>
      <c r="R288" s="87" t="n"/>
      <c r="S288" s="87" t="n"/>
      <c r="T288" s="87" t="n"/>
      <c r="U288" s="87" t="n"/>
      <c r="V288" s="87" t="n"/>
      <c r="W288" s="87" t="n"/>
      <c r="X288" s="87" t="n"/>
      <c r="Y288" s="87" t="n"/>
      <c r="Z288" s="87" t="n"/>
    </row>
    <row r="289" ht="15.75" customHeight="1">
      <c r="A289" s="87" t="n"/>
      <c r="B289" s="87" t="n"/>
      <c r="C289" s="87" t="n"/>
      <c r="D289" s="87" t="n"/>
      <c r="E289" s="87" t="n"/>
      <c r="F289" s="87" t="n"/>
      <c r="G289" s="87" t="n"/>
      <c r="H289" s="87" t="n"/>
      <c r="I289" s="87" t="n"/>
      <c r="J289" s="87" t="n"/>
      <c r="K289" s="87" t="n"/>
      <c r="L289" s="87" t="n"/>
      <c r="M289" s="87" t="n"/>
      <c r="N289" s="87" t="n"/>
      <c r="O289" s="87" t="n"/>
      <c r="P289" s="87" t="n"/>
      <c r="Q289" s="87" t="n"/>
      <c r="R289" s="87" t="n"/>
      <c r="S289" s="87" t="n"/>
      <c r="T289" s="87" t="n"/>
      <c r="U289" s="87" t="n"/>
      <c r="V289" s="87" t="n"/>
      <c r="W289" s="87" t="n"/>
      <c r="X289" s="87" t="n"/>
      <c r="Y289" s="87" t="n"/>
      <c r="Z289" s="87" t="n"/>
    </row>
    <row r="290" ht="15.75" customHeight="1">
      <c r="A290" s="87" t="n"/>
      <c r="B290" s="87" t="n"/>
      <c r="C290" s="87" t="n"/>
      <c r="D290" s="87" t="n"/>
      <c r="E290" s="87" t="n"/>
      <c r="F290" s="87" t="n"/>
      <c r="G290" s="87" t="n"/>
      <c r="H290" s="87" t="n"/>
      <c r="I290" s="87" t="n"/>
      <c r="J290" s="87" t="n"/>
      <c r="K290" s="87" t="n"/>
      <c r="L290" s="87" t="n"/>
      <c r="M290" s="87" t="n"/>
      <c r="N290" s="87" t="n"/>
      <c r="O290" s="87" t="n"/>
      <c r="P290" s="87" t="n"/>
      <c r="Q290" s="87" t="n"/>
      <c r="R290" s="87" t="n"/>
      <c r="S290" s="87" t="n"/>
      <c r="T290" s="87" t="n"/>
      <c r="U290" s="87" t="n"/>
      <c r="V290" s="87" t="n"/>
      <c r="W290" s="87" t="n"/>
      <c r="X290" s="87" t="n"/>
      <c r="Y290" s="87" t="n"/>
      <c r="Z290" s="87" t="n"/>
    </row>
    <row r="291" ht="15.75" customHeight="1">
      <c r="A291" s="87" t="n"/>
      <c r="B291" s="87" t="n"/>
      <c r="C291" s="87" t="n"/>
      <c r="D291" s="87" t="n"/>
      <c r="E291" s="87" t="n"/>
      <c r="F291" s="87" t="n"/>
      <c r="G291" s="87" t="n"/>
      <c r="H291" s="87" t="n"/>
      <c r="I291" s="87" t="n"/>
      <c r="J291" s="87" t="n"/>
      <c r="K291" s="87" t="n"/>
      <c r="L291" s="87" t="n"/>
      <c r="M291" s="87" t="n"/>
      <c r="N291" s="87" t="n"/>
      <c r="O291" s="87" t="n"/>
      <c r="P291" s="87" t="n"/>
      <c r="Q291" s="87" t="n"/>
      <c r="R291" s="87" t="n"/>
      <c r="S291" s="87" t="n"/>
      <c r="T291" s="87" t="n"/>
      <c r="U291" s="87" t="n"/>
      <c r="V291" s="87" t="n"/>
      <c r="W291" s="87" t="n"/>
      <c r="X291" s="87" t="n"/>
      <c r="Y291" s="87" t="n"/>
      <c r="Z291" s="87" t="n"/>
    </row>
    <row r="292" ht="15.75" customHeight="1">
      <c r="A292" s="87" t="n"/>
      <c r="B292" s="87" t="n"/>
      <c r="C292" s="87" t="n"/>
      <c r="D292" s="87" t="n"/>
      <c r="E292" s="87" t="n"/>
      <c r="F292" s="87" t="n"/>
      <c r="G292" s="87" t="n"/>
      <c r="H292" s="87" t="n"/>
      <c r="I292" s="87" t="n"/>
      <c r="J292" s="87" t="n"/>
      <c r="K292" s="87" t="n"/>
      <c r="L292" s="87" t="n"/>
      <c r="M292" s="87" t="n"/>
      <c r="N292" s="87" t="n"/>
      <c r="O292" s="87" t="n"/>
      <c r="P292" s="87" t="n"/>
      <c r="Q292" s="87" t="n"/>
      <c r="R292" s="87" t="n"/>
      <c r="S292" s="87" t="n"/>
      <c r="T292" s="87" t="n"/>
      <c r="U292" s="87" t="n"/>
      <c r="V292" s="87" t="n"/>
      <c r="W292" s="87" t="n"/>
      <c r="X292" s="87" t="n"/>
      <c r="Y292" s="87" t="n"/>
      <c r="Z292" s="87" t="n"/>
    </row>
    <row r="293" ht="15.75" customHeight="1">
      <c r="A293" s="87" t="n"/>
      <c r="B293" s="87" t="n"/>
      <c r="C293" s="87" t="n"/>
      <c r="D293" s="87" t="n"/>
      <c r="E293" s="87" t="n"/>
      <c r="F293" s="87" t="n"/>
      <c r="G293" s="87" t="n"/>
      <c r="H293" s="87" t="n"/>
      <c r="I293" s="87" t="n"/>
      <c r="J293" s="87" t="n"/>
      <c r="K293" s="87" t="n"/>
      <c r="L293" s="87" t="n"/>
      <c r="M293" s="87" t="n"/>
      <c r="N293" s="87" t="n"/>
      <c r="O293" s="87" t="n"/>
      <c r="P293" s="87" t="n"/>
      <c r="Q293" s="87" t="n"/>
      <c r="R293" s="87" t="n"/>
      <c r="S293" s="87" t="n"/>
      <c r="T293" s="87" t="n"/>
      <c r="U293" s="87" t="n"/>
      <c r="V293" s="87" t="n"/>
      <c r="W293" s="87" t="n"/>
      <c r="X293" s="87" t="n"/>
      <c r="Y293" s="87" t="n"/>
      <c r="Z293" s="87" t="n"/>
    </row>
    <row r="294" ht="15.75" customHeight="1">
      <c r="A294" s="87" t="n"/>
      <c r="B294" s="87" t="n"/>
      <c r="C294" s="87" t="n"/>
      <c r="D294" s="87" t="n"/>
      <c r="E294" s="87" t="n"/>
      <c r="F294" s="87" t="n"/>
      <c r="G294" s="87" t="n"/>
      <c r="H294" s="87" t="n"/>
      <c r="I294" s="87" t="n"/>
      <c r="J294" s="87" t="n"/>
      <c r="K294" s="87" t="n"/>
      <c r="L294" s="87" t="n"/>
      <c r="M294" s="87" t="n"/>
      <c r="N294" s="87" t="n"/>
      <c r="O294" s="87" t="n"/>
      <c r="P294" s="87" t="n"/>
      <c r="Q294" s="87" t="n"/>
      <c r="R294" s="87" t="n"/>
      <c r="S294" s="87" t="n"/>
      <c r="T294" s="87" t="n"/>
      <c r="U294" s="87" t="n"/>
      <c r="V294" s="87" t="n"/>
      <c r="W294" s="87" t="n"/>
      <c r="X294" s="87" t="n"/>
      <c r="Y294" s="87" t="n"/>
      <c r="Z294" s="87" t="n"/>
    </row>
    <row r="295" ht="15.75" customHeight="1">
      <c r="A295" s="87" t="n"/>
      <c r="B295" s="87" t="n"/>
      <c r="C295" s="87" t="n"/>
      <c r="D295" s="87" t="n"/>
      <c r="E295" s="87" t="n"/>
      <c r="F295" s="87" t="n"/>
      <c r="G295" s="87" t="n"/>
      <c r="H295" s="87" t="n"/>
      <c r="I295" s="87" t="n"/>
      <c r="J295" s="87" t="n"/>
      <c r="K295" s="87" t="n"/>
      <c r="L295" s="87" t="n"/>
      <c r="M295" s="87" t="n"/>
      <c r="N295" s="87" t="n"/>
      <c r="O295" s="87" t="n"/>
      <c r="P295" s="87" t="n"/>
      <c r="Q295" s="87" t="n"/>
      <c r="R295" s="87" t="n"/>
      <c r="S295" s="87" t="n"/>
      <c r="T295" s="87" t="n"/>
      <c r="U295" s="87" t="n"/>
      <c r="V295" s="87" t="n"/>
      <c r="W295" s="87" t="n"/>
      <c r="X295" s="87" t="n"/>
      <c r="Y295" s="87" t="n"/>
      <c r="Z295" s="87" t="n"/>
    </row>
    <row r="296" ht="15.75" customHeight="1">
      <c r="A296" s="87" t="n"/>
      <c r="B296" s="87" t="n"/>
      <c r="C296" s="87" t="n"/>
      <c r="D296" s="87" t="n"/>
      <c r="E296" s="87" t="n"/>
      <c r="F296" s="87" t="n"/>
      <c r="G296" s="87" t="n"/>
      <c r="H296" s="87" t="n"/>
      <c r="I296" s="87" t="n"/>
      <c r="J296" s="87" t="n"/>
      <c r="K296" s="87" t="n"/>
      <c r="L296" s="87" t="n"/>
      <c r="M296" s="87" t="n"/>
      <c r="N296" s="87" t="n"/>
      <c r="O296" s="87" t="n"/>
      <c r="P296" s="87" t="n"/>
      <c r="Q296" s="87" t="n"/>
      <c r="R296" s="87" t="n"/>
      <c r="S296" s="87" t="n"/>
      <c r="T296" s="87" t="n"/>
      <c r="U296" s="87" t="n"/>
      <c r="V296" s="87" t="n"/>
      <c r="W296" s="87" t="n"/>
      <c r="X296" s="87" t="n"/>
      <c r="Y296" s="87" t="n"/>
      <c r="Z296" s="87" t="n"/>
    </row>
    <row r="297" ht="15.75" customHeight="1">
      <c r="A297" s="87" t="n"/>
      <c r="B297" s="87" t="n"/>
      <c r="C297" s="87" t="n"/>
      <c r="D297" s="87" t="n"/>
      <c r="E297" s="87" t="n"/>
      <c r="F297" s="87" t="n"/>
      <c r="G297" s="87" t="n"/>
      <c r="H297" s="87" t="n"/>
      <c r="I297" s="87" t="n"/>
      <c r="J297" s="87" t="n"/>
      <c r="K297" s="87" t="n"/>
      <c r="L297" s="87" t="n"/>
      <c r="M297" s="87" t="n"/>
      <c r="N297" s="87" t="n"/>
      <c r="O297" s="87" t="n"/>
      <c r="P297" s="87" t="n"/>
      <c r="Q297" s="87" t="n"/>
      <c r="R297" s="87" t="n"/>
      <c r="S297" s="87" t="n"/>
      <c r="T297" s="87" t="n"/>
      <c r="U297" s="87" t="n"/>
      <c r="V297" s="87" t="n"/>
      <c r="W297" s="87" t="n"/>
      <c r="X297" s="87" t="n"/>
      <c r="Y297" s="87" t="n"/>
      <c r="Z297" s="87" t="n"/>
    </row>
    <row r="298" ht="15.75" customHeight="1">
      <c r="A298" s="87" t="n"/>
      <c r="B298" s="87" t="n"/>
      <c r="C298" s="87" t="n"/>
      <c r="D298" s="87" t="n"/>
      <c r="E298" s="87" t="n"/>
      <c r="F298" s="87" t="n"/>
      <c r="G298" s="87" t="n"/>
      <c r="H298" s="87" t="n"/>
      <c r="I298" s="87" t="n"/>
      <c r="J298" s="87" t="n"/>
      <c r="K298" s="87" t="n"/>
      <c r="L298" s="87" t="n"/>
      <c r="M298" s="87" t="n"/>
      <c r="N298" s="87" t="n"/>
      <c r="O298" s="87" t="n"/>
      <c r="P298" s="87" t="n"/>
      <c r="Q298" s="87" t="n"/>
      <c r="R298" s="87" t="n"/>
      <c r="S298" s="87" t="n"/>
      <c r="T298" s="87" t="n"/>
      <c r="U298" s="87" t="n"/>
      <c r="V298" s="87" t="n"/>
      <c r="W298" s="87" t="n"/>
      <c r="X298" s="87" t="n"/>
      <c r="Y298" s="87" t="n"/>
      <c r="Z298" s="87" t="n"/>
    </row>
    <row r="299" ht="15.75" customHeight="1">
      <c r="A299" s="87" t="n"/>
      <c r="B299" s="87" t="n"/>
      <c r="C299" s="87" t="n"/>
      <c r="D299" s="87" t="n"/>
      <c r="E299" s="87" t="n"/>
      <c r="F299" s="87" t="n"/>
      <c r="G299" s="87" t="n"/>
      <c r="H299" s="87" t="n"/>
      <c r="I299" s="87" t="n"/>
      <c r="J299" s="87" t="n"/>
      <c r="K299" s="87" t="n"/>
      <c r="L299" s="87" t="n"/>
      <c r="M299" s="87" t="n"/>
      <c r="N299" s="87" t="n"/>
      <c r="O299" s="87" t="n"/>
      <c r="P299" s="87" t="n"/>
      <c r="Q299" s="87" t="n"/>
      <c r="R299" s="87" t="n"/>
      <c r="S299" s="87" t="n"/>
      <c r="T299" s="87" t="n"/>
      <c r="U299" s="87" t="n"/>
      <c r="V299" s="87" t="n"/>
      <c r="W299" s="87" t="n"/>
      <c r="X299" s="87" t="n"/>
      <c r="Y299" s="87" t="n"/>
      <c r="Z299" s="87" t="n"/>
    </row>
    <row r="300" ht="15.75" customHeight="1">
      <c r="A300" s="87" t="n"/>
      <c r="B300" s="87" t="n"/>
      <c r="C300" s="87" t="n"/>
      <c r="D300" s="87" t="n"/>
      <c r="E300" s="87" t="n"/>
      <c r="F300" s="87" t="n"/>
      <c r="G300" s="87" t="n"/>
      <c r="H300" s="87" t="n"/>
      <c r="I300" s="87" t="n"/>
      <c r="J300" s="87" t="n"/>
      <c r="K300" s="87" t="n"/>
      <c r="L300" s="87" t="n"/>
      <c r="M300" s="87" t="n"/>
      <c r="N300" s="87" t="n"/>
      <c r="O300" s="87" t="n"/>
      <c r="P300" s="87" t="n"/>
      <c r="Q300" s="87" t="n"/>
      <c r="R300" s="87" t="n"/>
      <c r="S300" s="87" t="n"/>
      <c r="T300" s="87" t="n"/>
      <c r="U300" s="87" t="n"/>
      <c r="V300" s="87" t="n"/>
      <c r="W300" s="87" t="n"/>
      <c r="X300" s="87" t="n"/>
      <c r="Y300" s="87" t="n"/>
      <c r="Z300" s="87" t="n"/>
    </row>
    <row r="301" ht="15.75" customHeight="1">
      <c r="A301" s="87" t="n"/>
      <c r="B301" s="87" t="n"/>
      <c r="C301" s="87" t="n"/>
      <c r="D301" s="87" t="n"/>
      <c r="E301" s="87" t="n"/>
      <c r="F301" s="87" t="n"/>
      <c r="G301" s="87" t="n"/>
      <c r="H301" s="87" t="n"/>
      <c r="I301" s="87" t="n"/>
      <c r="J301" s="87" t="n"/>
      <c r="K301" s="87" t="n"/>
      <c r="L301" s="87" t="n"/>
      <c r="M301" s="87" t="n"/>
      <c r="N301" s="87" t="n"/>
      <c r="O301" s="87" t="n"/>
      <c r="P301" s="87" t="n"/>
      <c r="Q301" s="87" t="n"/>
      <c r="R301" s="87" t="n"/>
      <c r="S301" s="87" t="n"/>
      <c r="T301" s="87" t="n"/>
      <c r="U301" s="87" t="n"/>
      <c r="V301" s="87" t="n"/>
      <c r="W301" s="87" t="n"/>
      <c r="X301" s="87" t="n"/>
      <c r="Y301" s="87" t="n"/>
      <c r="Z301" s="87" t="n"/>
    </row>
    <row r="302" ht="15.75" customHeight="1">
      <c r="A302" s="87" t="n"/>
      <c r="B302" s="87" t="n"/>
      <c r="C302" s="87" t="n"/>
      <c r="D302" s="87" t="n"/>
      <c r="E302" s="87" t="n"/>
      <c r="F302" s="87" t="n"/>
      <c r="G302" s="87" t="n"/>
      <c r="H302" s="87" t="n"/>
      <c r="I302" s="87" t="n"/>
      <c r="J302" s="87" t="n"/>
      <c r="K302" s="87" t="n"/>
      <c r="L302" s="87" t="n"/>
      <c r="M302" s="87" t="n"/>
      <c r="N302" s="87" t="n"/>
      <c r="O302" s="87" t="n"/>
      <c r="P302" s="87" t="n"/>
      <c r="Q302" s="87" t="n"/>
      <c r="R302" s="87" t="n"/>
      <c r="S302" s="87" t="n"/>
      <c r="T302" s="87" t="n"/>
      <c r="U302" s="87" t="n"/>
      <c r="V302" s="87" t="n"/>
      <c r="W302" s="87" t="n"/>
      <c r="X302" s="87" t="n"/>
      <c r="Y302" s="87" t="n"/>
      <c r="Z302" s="87" t="n"/>
    </row>
    <row r="303" ht="15.75" customHeight="1">
      <c r="A303" s="87" t="n"/>
      <c r="B303" s="87" t="n"/>
      <c r="C303" s="87" t="n"/>
      <c r="D303" s="87" t="n"/>
      <c r="E303" s="87" t="n"/>
      <c r="F303" s="87" t="n"/>
      <c r="G303" s="87" t="n"/>
      <c r="H303" s="87" t="n"/>
      <c r="I303" s="87" t="n"/>
      <c r="J303" s="87" t="n"/>
      <c r="K303" s="87" t="n"/>
      <c r="L303" s="87" t="n"/>
      <c r="M303" s="87" t="n"/>
      <c r="N303" s="87" t="n"/>
      <c r="O303" s="87" t="n"/>
      <c r="P303" s="87" t="n"/>
      <c r="Q303" s="87" t="n"/>
      <c r="R303" s="87" t="n"/>
      <c r="S303" s="87" t="n"/>
      <c r="T303" s="87" t="n"/>
      <c r="U303" s="87" t="n"/>
      <c r="V303" s="87" t="n"/>
      <c r="W303" s="87" t="n"/>
      <c r="X303" s="87" t="n"/>
      <c r="Y303" s="87" t="n"/>
      <c r="Z303" s="87" t="n"/>
    </row>
    <row r="304" ht="15.75" customHeight="1">
      <c r="A304" s="87" t="n"/>
      <c r="B304" s="87" t="n"/>
      <c r="C304" s="87" t="n"/>
      <c r="D304" s="87" t="n"/>
      <c r="E304" s="87" t="n"/>
      <c r="F304" s="87" t="n"/>
      <c r="G304" s="87" t="n"/>
      <c r="H304" s="87" t="n"/>
      <c r="I304" s="87" t="n"/>
      <c r="J304" s="87" t="n"/>
      <c r="K304" s="87" t="n"/>
      <c r="L304" s="87" t="n"/>
      <c r="M304" s="87" t="n"/>
      <c r="N304" s="87" t="n"/>
      <c r="O304" s="87" t="n"/>
      <c r="P304" s="87" t="n"/>
      <c r="Q304" s="87" t="n"/>
      <c r="R304" s="87" t="n"/>
      <c r="S304" s="87" t="n"/>
      <c r="T304" s="87" t="n"/>
      <c r="U304" s="87" t="n"/>
      <c r="V304" s="87" t="n"/>
      <c r="W304" s="87" t="n"/>
      <c r="X304" s="87" t="n"/>
      <c r="Y304" s="87" t="n"/>
      <c r="Z304" s="87" t="n"/>
    </row>
    <row r="305" ht="15.75" customHeight="1">
      <c r="A305" s="87" t="n"/>
      <c r="B305" s="87" t="n"/>
      <c r="C305" s="87" t="n"/>
      <c r="D305" s="87" t="n"/>
      <c r="E305" s="87" t="n"/>
      <c r="F305" s="87" t="n"/>
      <c r="G305" s="87" t="n"/>
      <c r="H305" s="87" t="n"/>
      <c r="I305" s="87" t="n"/>
      <c r="J305" s="87" t="n"/>
      <c r="K305" s="87" t="n"/>
      <c r="L305" s="87" t="n"/>
      <c r="M305" s="87" t="n"/>
      <c r="N305" s="87" t="n"/>
      <c r="O305" s="87" t="n"/>
      <c r="P305" s="87" t="n"/>
      <c r="Q305" s="87" t="n"/>
      <c r="R305" s="87" t="n"/>
      <c r="S305" s="87" t="n"/>
      <c r="T305" s="87" t="n"/>
      <c r="U305" s="87" t="n"/>
      <c r="V305" s="87" t="n"/>
      <c r="W305" s="87" t="n"/>
      <c r="X305" s="87" t="n"/>
      <c r="Y305" s="87" t="n"/>
      <c r="Z305" s="87" t="n"/>
    </row>
    <row r="306" ht="15.75" customHeight="1">
      <c r="A306" s="87" t="n"/>
      <c r="B306" s="87" t="n"/>
      <c r="C306" s="87" t="n"/>
      <c r="D306" s="87" t="n"/>
      <c r="E306" s="87" t="n"/>
      <c r="F306" s="87" t="n"/>
      <c r="G306" s="87" t="n"/>
      <c r="H306" s="87" t="n"/>
      <c r="I306" s="87" t="n"/>
      <c r="J306" s="87" t="n"/>
      <c r="K306" s="87" t="n"/>
      <c r="L306" s="87" t="n"/>
      <c r="M306" s="87" t="n"/>
      <c r="N306" s="87" t="n"/>
      <c r="O306" s="87" t="n"/>
      <c r="P306" s="87" t="n"/>
      <c r="Q306" s="87" t="n"/>
      <c r="R306" s="87" t="n"/>
      <c r="S306" s="87" t="n"/>
      <c r="T306" s="87" t="n"/>
      <c r="U306" s="87" t="n"/>
      <c r="V306" s="87" t="n"/>
      <c r="W306" s="87" t="n"/>
      <c r="X306" s="87" t="n"/>
      <c r="Y306" s="87" t="n"/>
      <c r="Z306" s="87" t="n"/>
    </row>
    <row r="307" ht="15.75" customHeight="1">
      <c r="A307" s="87" t="n"/>
      <c r="B307" s="87" t="n"/>
      <c r="C307" s="87" t="n"/>
      <c r="D307" s="87" t="n"/>
      <c r="E307" s="87" t="n"/>
      <c r="F307" s="87" t="n"/>
      <c r="G307" s="87" t="n"/>
      <c r="H307" s="87" t="n"/>
      <c r="I307" s="87" t="n"/>
      <c r="J307" s="87" t="n"/>
      <c r="K307" s="87" t="n"/>
      <c r="L307" s="87" t="n"/>
      <c r="M307" s="87" t="n"/>
      <c r="N307" s="87" t="n"/>
      <c r="O307" s="87" t="n"/>
      <c r="P307" s="87" t="n"/>
      <c r="Q307" s="87" t="n"/>
      <c r="R307" s="87" t="n"/>
      <c r="S307" s="87" t="n"/>
      <c r="T307" s="87" t="n"/>
      <c r="U307" s="87" t="n"/>
      <c r="V307" s="87" t="n"/>
      <c r="W307" s="87" t="n"/>
      <c r="X307" s="87" t="n"/>
      <c r="Y307" s="87" t="n"/>
      <c r="Z307" s="87" t="n"/>
    </row>
    <row r="308" ht="15.75" customHeight="1">
      <c r="A308" s="87" t="n"/>
      <c r="B308" s="87" t="n"/>
      <c r="C308" s="87" t="n"/>
      <c r="D308" s="87" t="n"/>
      <c r="E308" s="87" t="n"/>
      <c r="F308" s="87" t="n"/>
      <c r="G308" s="87" t="n"/>
      <c r="H308" s="87" t="n"/>
      <c r="I308" s="87" t="n"/>
      <c r="J308" s="87" t="n"/>
      <c r="K308" s="87" t="n"/>
      <c r="L308" s="87" t="n"/>
      <c r="M308" s="87" t="n"/>
      <c r="N308" s="87" t="n"/>
      <c r="O308" s="87" t="n"/>
      <c r="P308" s="87" t="n"/>
      <c r="Q308" s="87" t="n"/>
      <c r="R308" s="87" t="n"/>
      <c r="S308" s="87" t="n"/>
      <c r="T308" s="87" t="n"/>
      <c r="U308" s="87" t="n"/>
      <c r="V308" s="87" t="n"/>
      <c r="W308" s="87" t="n"/>
      <c r="X308" s="87" t="n"/>
      <c r="Y308" s="87" t="n"/>
      <c r="Z308" s="87" t="n"/>
    </row>
    <row r="309" ht="15.75" customHeight="1">
      <c r="A309" s="87" t="n"/>
      <c r="B309" s="87" t="n"/>
      <c r="C309" s="87" t="n"/>
      <c r="D309" s="87" t="n"/>
      <c r="E309" s="87" t="n"/>
      <c r="F309" s="87" t="n"/>
      <c r="G309" s="87" t="n"/>
      <c r="H309" s="87" t="n"/>
      <c r="I309" s="87" t="n"/>
      <c r="J309" s="87" t="n"/>
      <c r="K309" s="87" t="n"/>
      <c r="L309" s="87" t="n"/>
      <c r="M309" s="87" t="n"/>
      <c r="N309" s="87" t="n"/>
      <c r="O309" s="87" t="n"/>
      <c r="P309" s="87" t="n"/>
      <c r="Q309" s="87" t="n"/>
      <c r="R309" s="87" t="n"/>
      <c r="S309" s="87" t="n"/>
      <c r="T309" s="87" t="n"/>
      <c r="U309" s="87" t="n"/>
      <c r="V309" s="87" t="n"/>
      <c r="W309" s="87" t="n"/>
      <c r="X309" s="87" t="n"/>
      <c r="Y309" s="87" t="n"/>
      <c r="Z309" s="87" t="n"/>
    </row>
    <row r="310" ht="15.75" customHeight="1">
      <c r="A310" s="87" t="n"/>
      <c r="B310" s="87" t="n"/>
      <c r="C310" s="87" t="n"/>
      <c r="D310" s="87" t="n"/>
      <c r="E310" s="87" t="n"/>
      <c r="F310" s="87" t="n"/>
      <c r="G310" s="87" t="n"/>
      <c r="H310" s="87" t="n"/>
      <c r="I310" s="87" t="n"/>
      <c r="J310" s="87" t="n"/>
      <c r="K310" s="87" t="n"/>
      <c r="L310" s="87" t="n"/>
      <c r="M310" s="87" t="n"/>
      <c r="N310" s="87" t="n"/>
      <c r="O310" s="87" t="n"/>
      <c r="P310" s="87" t="n"/>
      <c r="Q310" s="87" t="n"/>
      <c r="R310" s="87" t="n"/>
      <c r="S310" s="87" t="n"/>
      <c r="T310" s="87" t="n"/>
      <c r="U310" s="87" t="n"/>
      <c r="V310" s="87" t="n"/>
      <c r="W310" s="87" t="n"/>
      <c r="X310" s="87" t="n"/>
      <c r="Y310" s="87" t="n"/>
      <c r="Z310" s="87" t="n"/>
    </row>
    <row r="311" ht="15.75" customHeight="1">
      <c r="A311" s="87" t="n"/>
      <c r="B311" s="87" t="n"/>
      <c r="C311" s="87" t="n"/>
      <c r="D311" s="87" t="n"/>
      <c r="E311" s="87" t="n"/>
      <c r="F311" s="87" t="n"/>
      <c r="G311" s="87" t="n"/>
      <c r="H311" s="87" t="n"/>
      <c r="I311" s="87" t="n"/>
      <c r="J311" s="87" t="n"/>
      <c r="K311" s="87" t="n"/>
      <c r="L311" s="87" t="n"/>
      <c r="M311" s="87" t="n"/>
      <c r="N311" s="87" t="n"/>
      <c r="O311" s="87" t="n"/>
      <c r="P311" s="87" t="n"/>
      <c r="Q311" s="87" t="n"/>
      <c r="R311" s="87" t="n"/>
      <c r="S311" s="87" t="n"/>
      <c r="T311" s="87" t="n"/>
      <c r="U311" s="87" t="n"/>
      <c r="V311" s="87" t="n"/>
      <c r="W311" s="87" t="n"/>
      <c r="X311" s="87" t="n"/>
      <c r="Y311" s="87" t="n"/>
      <c r="Z311" s="87" t="n"/>
    </row>
    <row r="312" ht="15.75" customHeight="1">
      <c r="A312" s="87" t="n"/>
      <c r="B312" s="87" t="n"/>
      <c r="C312" s="87" t="n"/>
      <c r="D312" s="87" t="n"/>
      <c r="E312" s="87" t="n"/>
      <c r="F312" s="87" t="n"/>
      <c r="G312" s="87" t="n"/>
      <c r="H312" s="87" t="n"/>
      <c r="I312" s="87" t="n"/>
      <c r="J312" s="87" t="n"/>
      <c r="K312" s="87" t="n"/>
      <c r="L312" s="87" t="n"/>
      <c r="M312" s="87" t="n"/>
      <c r="N312" s="87" t="n"/>
      <c r="O312" s="87" t="n"/>
      <c r="P312" s="87" t="n"/>
      <c r="Q312" s="87" t="n"/>
      <c r="R312" s="87" t="n"/>
      <c r="S312" s="87" t="n"/>
      <c r="T312" s="87" t="n"/>
      <c r="U312" s="87" t="n"/>
      <c r="V312" s="87" t="n"/>
      <c r="W312" s="87" t="n"/>
      <c r="X312" s="87" t="n"/>
      <c r="Y312" s="87" t="n"/>
      <c r="Z312" s="87" t="n"/>
    </row>
    <row r="313" ht="15.75" customHeight="1">
      <c r="A313" s="87" t="n"/>
      <c r="B313" s="87" t="n"/>
      <c r="C313" s="87" t="n"/>
      <c r="D313" s="87" t="n"/>
      <c r="E313" s="87" t="n"/>
      <c r="F313" s="87" t="n"/>
      <c r="G313" s="87" t="n"/>
      <c r="H313" s="87" t="n"/>
      <c r="I313" s="87" t="n"/>
      <c r="J313" s="87" t="n"/>
      <c r="K313" s="87" t="n"/>
      <c r="L313" s="87" t="n"/>
      <c r="M313" s="87" t="n"/>
      <c r="N313" s="87" t="n"/>
      <c r="O313" s="87" t="n"/>
      <c r="P313" s="87" t="n"/>
      <c r="Q313" s="87" t="n"/>
      <c r="R313" s="87" t="n"/>
      <c r="S313" s="87" t="n"/>
      <c r="T313" s="87" t="n"/>
      <c r="U313" s="87" t="n"/>
      <c r="V313" s="87" t="n"/>
      <c r="W313" s="87" t="n"/>
      <c r="X313" s="87" t="n"/>
      <c r="Y313" s="87" t="n"/>
      <c r="Z313" s="87" t="n"/>
    </row>
    <row r="314" ht="15.75" customHeight="1">
      <c r="A314" s="87" t="n"/>
      <c r="B314" s="87" t="n"/>
      <c r="C314" s="87" t="n"/>
      <c r="D314" s="87" t="n"/>
      <c r="E314" s="87" t="n"/>
      <c r="F314" s="87" t="n"/>
      <c r="G314" s="87" t="n"/>
      <c r="H314" s="87" t="n"/>
      <c r="I314" s="87" t="n"/>
      <c r="J314" s="87" t="n"/>
      <c r="K314" s="87" t="n"/>
      <c r="L314" s="87" t="n"/>
      <c r="M314" s="87" t="n"/>
      <c r="N314" s="87" t="n"/>
      <c r="O314" s="87" t="n"/>
      <c r="P314" s="87" t="n"/>
      <c r="Q314" s="87" t="n"/>
      <c r="R314" s="87" t="n"/>
      <c r="S314" s="87" t="n"/>
      <c r="T314" s="87" t="n"/>
      <c r="U314" s="87" t="n"/>
      <c r="V314" s="87" t="n"/>
      <c r="W314" s="87" t="n"/>
      <c r="X314" s="87" t="n"/>
      <c r="Y314" s="87" t="n"/>
      <c r="Z314" s="87" t="n"/>
    </row>
    <row r="315" ht="15.75" customHeight="1">
      <c r="A315" s="87" t="n"/>
      <c r="B315" s="87" t="n"/>
      <c r="C315" s="87" t="n"/>
      <c r="D315" s="87" t="n"/>
      <c r="E315" s="87" t="n"/>
      <c r="F315" s="87" t="n"/>
      <c r="G315" s="87" t="n"/>
      <c r="H315" s="87" t="n"/>
      <c r="I315" s="87" t="n"/>
      <c r="J315" s="87" t="n"/>
      <c r="K315" s="87" t="n"/>
      <c r="L315" s="87" t="n"/>
      <c r="M315" s="87" t="n"/>
      <c r="N315" s="87" t="n"/>
      <c r="O315" s="87" t="n"/>
      <c r="P315" s="87" t="n"/>
      <c r="Q315" s="87" t="n"/>
      <c r="R315" s="87" t="n"/>
      <c r="S315" s="87" t="n"/>
      <c r="T315" s="87" t="n"/>
      <c r="U315" s="87" t="n"/>
      <c r="V315" s="87" t="n"/>
      <c r="W315" s="87" t="n"/>
      <c r="X315" s="87" t="n"/>
      <c r="Y315" s="87" t="n"/>
      <c r="Z315" s="87" t="n"/>
    </row>
    <row r="316" ht="15.75" customHeight="1">
      <c r="A316" s="87" t="n"/>
      <c r="B316" s="87" t="n"/>
      <c r="C316" s="87" t="n"/>
      <c r="D316" s="87" t="n"/>
      <c r="E316" s="87" t="n"/>
      <c r="F316" s="87" t="n"/>
      <c r="G316" s="87" t="n"/>
      <c r="H316" s="87" t="n"/>
      <c r="I316" s="87" t="n"/>
      <c r="J316" s="87" t="n"/>
      <c r="K316" s="87" t="n"/>
      <c r="L316" s="87" t="n"/>
      <c r="M316" s="87" t="n"/>
      <c r="N316" s="87" t="n"/>
      <c r="O316" s="87" t="n"/>
      <c r="P316" s="87" t="n"/>
      <c r="Q316" s="87" t="n"/>
      <c r="R316" s="87" t="n"/>
      <c r="S316" s="87" t="n"/>
      <c r="T316" s="87" t="n"/>
      <c r="U316" s="87" t="n"/>
      <c r="V316" s="87" t="n"/>
      <c r="W316" s="87" t="n"/>
      <c r="X316" s="87" t="n"/>
      <c r="Y316" s="87" t="n"/>
      <c r="Z316" s="87" t="n"/>
    </row>
    <row r="317" ht="15.75" customHeight="1">
      <c r="A317" s="87" t="n"/>
      <c r="B317" s="87" t="n"/>
      <c r="C317" s="87" t="n"/>
      <c r="D317" s="87" t="n"/>
      <c r="E317" s="87" t="n"/>
      <c r="F317" s="87" t="n"/>
      <c r="G317" s="87" t="n"/>
      <c r="H317" s="87" t="n"/>
      <c r="I317" s="87" t="n"/>
      <c r="J317" s="87" t="n"/>
      <c r="K317" s="87" t="n"/>
      <c r="L317" s="87" t="n"/>
      <c r="M317" s="87" t="n"/>
      <c r="N317" s="87" t="n"/>
      <c r="O317" s="87" t="n"/>
      <c r="P317" s="87" t="n"/>
      <c r="Q317" s="87" t="n"/>
      <c r="R317" s="87" t="n"/>
      <c r="S317" s="87" t="n"/>
      <c r="T317" s="87" t="n"/>
      <c r="U317" s="87" t="n"/>
      <c r="V317" s="87" t="n"/>
      <c r="W317" s="87" t="n"/>
      <c r="X317" s="87" t="n"/>
      <c r="Y317" s="87" t="n"/>
      <c r="Z317" s="87" t="n"/>
    </row>
    <row r="318" ht="15.75" customHeight="1">
      <c r="A318" s="87" t="n"/>
      <c r="B318" s="87" t="n"/>
      <c r="C318" s="87" t="n"/>
      <c r="D318" s="87" t="n"/>
      <c r="E318" s="87" t="n"/>
      <c r="F318" s="87" t="n"/>
      <c r="G318" s="87" t="n"/>
      <c r="H318" s="87" t="n"/>
      <c r="I318" s="87" t="n"/>
      <c r="J318" s="87" t="n"/>
      <c r="K318" s="87" t="n"/>
      <c r="L318" s="87" t="n"/>
      <c r="M318" s="87" t="n"/>
      <c r="N318" s="87" t="n"/>
      <c r="O318" s="87" t="n"/>
      <c r="P318" s="87" t="n"/>
      <c r="Q318" s="87" t="n"/>
      <c r="R318" s="87" t="n"/>
      <c r="S318" s="87" t="n"/>
      <c r="T318" s="87" t="n"/>
      <c r="U318" s="87" t="n"/>
      <c r="V318" s="87" t="n"/>
      <c r="W318" s="87" t="n"/>
      <c r="X318" s="87" t="n"/>
      <c r="Y318" s="87" t="n"/>
      <c r="Z318" s="87" t="n"/>
    </row>
    <row r="319" ht="15.75" customHeight="1">
      <c r="A319" s="87" t="n"/>
      <c r="B319" s="87" t="n"/>
      <c r="C319" s="87" t="n"/>
      <c r="D319" s="87" t="n"/>
      <c r="E319" s="87" t="n"/>
      <c r="F319" s="87" t="n"/>
      <c r="G319" s="87" t="n"/>
      <c r="H319" s="87" t="n"/>
      <c r="I319" s="87" t="n"/>
      <c r="J319" s="87" t="n"/>
      <c r="K319" s="87" t="n"/>
      <c r="L319" s="87" t="n"/>
      <c r="M319" s="87" t="n"/>
      <c r="N319" s="87" t="n"/>
      <c r="O319" s="87" t="n"/>
      <c r="P319" s="87" t="n"/>
      <c r="Q319" s="87" t="n"/>
      <c r="R319" s="87" t="n"/>
      <c r="S319" s="87" t="n"/>
      <c r="T319" s="87" t="n"/>
      <c r="U319" s="87" t="n"/>
      <c r="V319" s="87" t="n"/>
      <c r="W319" s="87" t="n"/>
      <c r="X319" s="87" t="n"/>
      <c r="Y319" s="87" t="n"/>
      <c r="Z319" s="87" t="n"/>
    </row>
    <row r="320" ht="15.75" customHeight="1">
      <c r="A320" s="87" t="n"/>
      <c r="B320" s="87" t="n"/>
      <c r="C320" s="87" t="n"/>
      <c r="D320" s="87" t="n"/>
      <c r="E320" s="87" t="n"/>
      <c r="F320" s="87" t="n"/>
      <c r="G320" s="87" t="n"/>
      <c r="H320" s="87" t="n"/>
      <c r="I320" s="87" t="n"/>
      <c r="J320" s="87" t="n"/>
      <c r="K320" s="87" t="n"/>
      <c r="L320" s="87" t="n"/>
      <c r="M320" s="87" t="n"/>
      <c r="N320" s="87" t="n"/>
      <c r="O320" s="87" t="n"/>
      <c r="P320" s="87" t="n"/>
      <c r="Q320" s="87" t="n"/>
      <c r="R320" s="87" t="n"/>
      <c r="S320" s="87" t="n"/>
      <c r="T320" s="87" t="n"/>
      <c r="U320" s="87" t="n"/>
      <c r="V320" s="87" t="n"/>
      <c r="W320" s="87" t="n"/>
      <c r="X320" s="87" t="n"/>
      <c r="Y320" s="87" t="n"/>
      <c r="Z320" s="87" t="n"/>
    </row>
    <row r="321" ht="15.75" customHeight="1">
      <c r="A321" s="87" t="n"/>
      <c r="B321" s="87" t="n"/>
      <c r="C321" s="87" t="n"/>
      <c r="D321" s="87" t="n"/>
      <c r="E321" s="87" t="n"/>
      <c r="F321" s="87" t="n"/>
      <c r="G321" s="87" t="n"/>
      <c r="H321" s="87" t="n"/>
      <c r="I321" s="87" t="n"/>
      <c r="J321" s="87" t="n"/>
      <c r="K321" s="87" t="n"/>
      <c r="L321" s="87" t="n"/>
      <c r="M321" s="87" t="n"/>
      <c r="N321" s="87" t="n"/>
      <c r="O321" s="87" t="n"/>
      <c r="P321" s="87" t="n"/>
      <c r="Q321" s="87" t="n"/>
      <c r="R321" s="87" t="n"/>
      <c r="S321" s="87" t="n"/>
      <c r="T321" s="87" t="n"/>
      <c r="U321" s="87" t="n"/>
      <c r="V321" s="87" t="n"/>
      <c r="W321" s="87" t="n"/>
      <c r="X321" s="87" t="n"/>
      <c r="Y321" s="87" t="n"/>
      <c r="Z321" s="87" t="n"/>
    </row>
    <row r="322" ht="15.75" customHeight="1">
      <c r="A322" s="87" t="n"/>
      <c r="B322" s="87" t="n"/>
      <c r="C322" s="87" t="n"/>
      <c r="D322" s="87" t="n"/>
      <c r="E322" s="87" t="n"/>
      <c r="F322" s="87" t="n"/>
      <c r="G322" s="87" t="n"/>
      <c r="H322" s="87" t="n"/>
      <c r="I322" s="87" t="n"/>
      <c r="J322" s="87" t="n"/>
      <c r="K322" s="87" t="n"/>
      <c r="L322" s="87" t="n"/>
      <c r="M322" s="87" t="n"/>
      <c r="N322" s="87" t="n"/>
      <c r="O322" s="87" t="n"/>
      <c r="P322" s="87" t="n"/>
      <c r="Q322" s="87" t="n"/>
      <c r="R322" s="87" t="n"/>
      <c r="S322" s="87" t="n"/>
      <c r="T322" s="87" t="n"/>
      <c r="U322" s="87" t="n"/>
      <c r="V322" s="87" t="n"/>
      <c r="W322" s="87" t="n"/>
      <c r="X322" s="87" t="n"/>
      <c r="Y322" s="87" t="n"/>
      <c r="Z322" s="87" t="n"/>
    </row>
    <row r="323" ht="15.75" customHeight="1">
      <c r="A323" s="87" t="n"/>
      <c r="B323" s="87" t="n"/>
      <c r="C323" s="87" t="n"/>
      <c r="D323" s="87" t="n"/>
      <c r="E323" s="87" t="n"/>
      <c r="F323" s="87" t="n"/>
      <c r="G323" s="87" t="n"/>
      <c r="H323" s="87" t="n"/>
      <c r="I323" s="87" t="n"/>
      <c r="J323" s="87" t="n"/>
      <c r="K323" s="87" t="n"/>
      <c r="L323" s="87" t="n"/>
      <c r="M323" s="87" t="n"/>
      <c r="N323" s="87" t="n"/>
      <c r="O323" s="87" t="n"/>
      <c r="P323" s="87" t="n"/>
      <c r="Q323" s="87" t="n"/>
      <c r="R323" s="87" t="n"/>
      <c r="S323" s="87" t="n"/>
      <c r="T323" s="87" t="n"/>
      <c r="U323" s="87" t="n"/>
      <c r="V323" s="87" t="n"/>
      <c r="W323" s="87" t="n"/>
      <c r="X323" s="87" t="n"/>
      <c r="Y323" s="87" t="n"/>
      <c r="Z323" s="87" t="n"/>
    </row>
    <row r="324" ht="15.75" customHeight="1">
      <c r="A324" s="87" t="n"/>
      <c r="B324" s="87" t="n"/>
      <c r="C324" s="87" t="n"/>
      <c r="D324" s="87" t="n"/>
      <c r="E324" s="87" t="n"/>
      <c r="F324" s="87" t="n"/>
      <c r="G324" s="87" t="n"/>
      <c r="H324" s="87" t="n"/>
      <c r="I324" s="87" t="n"/>
      <c r="J324" s="87" t="n"/>
      <c r="K324" s="87" t="n"/>
      <c r="L324" s="87" t="n"/>
      <c r="M324" s="87" t="n"/>
      <c r="N324" s="87" t="n"/>
      <c r="O324" s="87" t="n"/>
      <c r="P324" s="87" t="n"/>
      <c r="Q324" s="87" t="n"/>
      <c r="R324" s="87" t="n"/>
      <c r="S324" s="87" t="n"/>
      <c r="T324" s="87" t="n"/>
      <c r="U324" s="87" t="n"/>
      <c r="V324" s="87" t="n"/>
      <c r="W324" s="87" t="n"/>
      <c r="X324" s="87" t="n"/>
      <c r="Y324" s="87" t="n"/>
      <c r="Z324" s="87" t="n"/>
    </row>
    <row r="325" ht="15.75" customHeight="1">
      <c r="A325" s="87" t="n"/>
      <c r="B325" s="87" t="n"/>
      <c r="C325" s="87" t="n"/>
      <c r="D325" s="87" t="n"/>
      <c r="E325" s="87" t="n"/>
      <c r="F325" s="87" t="n"/>
      <c r="G325" s="87" t="n"/>
      <c r="H325" s="87" t="n"/>
      <c r="I325" s="87" t="n"/>
      <c r="J325" s="87" t="n"/>
      <c r="K325" s="87" t="n"/>
      <c r="L325" s="87" t="n"/>
      <c r="M325" s="87" t="n"/>
      <c r="N325" s="87" t="n"/>
      <c r="O325" s="87" t="n"/>
      <c r="P325" s="87" t="n"/>
      <c r="Q325" s="87" t="n"/>
      <c r="R325" s="87" t="n"/>
      <c r="S325" s="87" t="n"/>
      <c r="T325" s="87" t="n"/>
      <c r="U325" s="87" t="n"/>
      <c r="V325" s="87" t="n"/>
      <c r="W325" s="87" t="n"/>
      <c r="X325" s="87" t="n"/>
      <c r="Y325" s="87" t="n"/>
      <c r="Z325" s="87" t="n"/>
    </row>
    <row r="326" ht="15.75" customHeight="1">
      <c r="A326" s="87" t="n"/>
      <c r="B326" s="87" t="n"/>
      <c r="C326" s="87" t="n"/>
      <c r="D326" s="87" t="n"/>
      <c r="E326" s="87" t="n"/>
      <c r="F326" s="87" t="n"/>
      <c r="G326" s="87" t="n"/>
      <c r="H326" s="87" t="n"/>
      <c r="I326" s="87" t="n"/>
      <c r="J326" s="87" t="n"/>
      <c r="K326" s="87" t="n"/>
      <c r="L326" s="87" t="n"/>
      <c r="M326" s="87" t="n"/>
      <c r="N326" s="87" t="n"/>
      <c r="O326" s="87" t="n"/>
      <c r="P326" s="87" t="n"/>
      <c r="Q326" s="87" t="n"/>
      <c r="R326" s="87" t="n"/>
      <c r="S326" s="87" t="n"/>
      <c r="T326" s="87" t="n"/>
      <c r="U326" s="87" t="n"/>
      <c r="V326" s="87" t="n"/>
      <c r="W326" s="87" t="n"/>
      <c r="X326" s="87" t="n"/>
      <c r="Y326" s="87" t="n"/>
      <c r="Z326" s="87" t="n"/>
    </row>
    <row r="327" ht="15.75" customHeight="1">
      <c r="A327" s="87" t="n"/>
      <c r="B327" s="87" t="n"/>
      <c r="C327" s="87" t="n"/>
      <c r="D327" s="87" t="n"/>
      <c r="E327" s="87" t="n"/>
      <c r="F327" s="87" t="n"/>
      <c r="G327" s="87" t="n"/>
      <c r="H327" s="87" t="n"/>
      <c r="I327" s="87" t="n"/>
      <c r="J327" s="87" t="n"/>
      <c r="K327" s="87" t="n"/>
      <c r="L327" s="87" t="n"/>
      <c r="M327" s="87" t="n"/>
      <c r="N327" s="87" t="n"/>
      <c r="O327" s="87" t="n"/>
      <c r="P327" s="87" t="n"/>
      <c r="Q327" s="87" t="n"/>
      <c r="R327" s="87" t="n"/>
      <c r="S327" s="87" t="n"/>
      <c r="T327" s="87" t="n"/>
      <c r="U327" s="87" t="n"/>
      <c r="V327" s="87" t="n"/>
      <c r="W327" s="87" t="n"/>
      <c r="X327" s="87" t="n"/>
      <c r="Y327" s="87" t="n"/>
      <c r="Z327" s="87" t="n"/>
    </row>
    <row r="328" ht="15.75" customHeight="1">
      <c r="A328" s="87" t="n"/>
      <c r="B328" s="87" t="n"/>
      <c r="C328" s="87" t="n"/>
      <c r="D328" s="87" t="n"/>
      <c r="E328" s="87" t="n"/>
      <c r="F328" s="87" t="n"/>
      <c r="G328" s="87" t="n"/>
      <c r="H328" s="87" t="n"/>
      <c r="I328" s="87" t="n"/>
      <c r="J328" s="87" t="n"/>
      <c r="K328" s="87" t="n"/>
      <c r="L328" s="87" t="n"/>
      <c r="M328" s="87" t="n"/>
      <c r="N328" s="87" t="n"/>
      <c r="O328" s="87" t="n"/>
      <c r="P328" s="87" t="n"/>
      <c r="Q328" s="87" t="n"/>
      <c r="R328" s="87" t="n"/>
      <c r="S328" s="87" t="n"/>
      <c r="T328" s="87" t="n"/>
      <c r="U328" s="87" t="n"/>
      <c r="V328" s="87" t="n"/>
      <c r="W328" s="87" t="n"/>
      <c r="X328" s="87" t="n"/>
      <c r="Y328" s="87" t="n"/>
      <c r="Z328" s="87" t="n"/>
    </row>
    <row r="329" ht="15.75" customHeight="1">
      <c r="A329" s="87" t="n"/>
      <c r="B329" s="87" t="n"/>
      <c r="C329" s="87" t="n"/>
      <c r="D329" s="87" t="n"/>
      <c r="E329" s="87" t="n"/>
      <c r="F329" s="87" t="n"/>
      <c r="G329" s="87" t="n"/>
      <c r="H329" s="87" t="n"/>
      <c r="I329" s="87" t="n"/>
      <c r="J329" s="87" t="n"/>
      <c r="K329" s="87" t="n"/>
      <c r="L329" s="87" t="n"/>
      <c r="M329" s="87" t="n"/>
      <c r="N329" s="87" t="n"/>
      <c r="O329" s="87" t="n"/>
      <c r="P329" s="87" t="n"/>
      <c r="Q329" s="87" t="n"/>
      <c r="R329" s="87" t="n"/>
      <c r="S329" s="87" t="n"/>
      <c r="T329" s="87" t="n"/>
      <c r="U329" s="87" t="n"/>
      <c r="V329" s="87" t="n"/>
      <c r="W329" s="87" t="n"/>
      <c r="X329" s="87" t="n"/>
      <c r="Y329" s="87" t="n"/>
      <c r="Z329" s="87" t="n"/>
    </row>
    <row r="330" ht="15.75" customHeight="1">
      <c r="A330" s="87" t="n"/>
      <c r="B330" s="87" t="n"/>
      <c r="C330" s="87" t="n"/>
      <c r="D330" s="87" t="n"/>
      <c r="E330" s="87" t="n"/>
      <c r="F330" s="87" t="n"/>
      <c r="G330" s="87" t="n"/>
      <c r="H330" s="87" t="n"/>
      <c r="I330" s="87" t="n"/>
      <c r="J330" s="87" t="n"/>
      <c r="K330" s="87" t="n"/>
      <c r="L330" s="87" t="n"/>
      <c r="M330" s="87" t="n"/>
      <c r="N330" s="87" t="n"/>
      <c r="O330" s="87" t="n"/>
      <c r="P330" s="87" t="n"/>
      <c r="Q330" s="87" t="n"/>
      <c r="R330" s="87" t="n"/>
      <c r="S330" s="87" t="n"/>
      <c r="T330" s="87" t="n"/>
      <c r="U330" s="87" t="n"/>
      <c r="V330" s="87" t="n"/>
      <c r="W330" s="87" t="n"/>
      <c r="X330" s="87" t="n"/>
      <c r="Y330" s="87" t="n"/>
      <c r="Z330" s="87" t="n"/>
    </row>
    <row r="331" ht="15.75" customHeight="1">
      <c r="A331" s="87" t="n"/>
      <c r="B331" s="87" t="n"/>
      <c r="C331" s="87" t="n"/>
      <c r="D331" s="87" t="n"/>
      <c r="E331" s="87" t="n"/>
      <c r="F331" s="87" t="n"/>
      <c r="G331" s="87" t="n"/>
      <c r="H331" s="87" t="n"/>
      <c r="I331" s="87" t="n"/>
      <c r="J331" s="87" t="n"/>
      <c r="K331" s="87" t="n"/>
      <c r="L331" s="87" t="n"/>
      <c r="M331" s="87" t="n"/>
      <c r="N331" s="87" t="n"/>
      <c r="O331" s="87" t="n"/>
      <c r="P331" s="87" t="n"/>
      <c r="Q331" s="87" t="n"/>
      <c r="R331" s="87" t="n"/>
      <c r="S331" s="87" t="n"/>
      <c r="T331" s="87" t="n"/>
      <c r="U331" s="87" t="n"/>
      <c r="V331" s="87" t="n"/>
      <c r="W331" s="87" t="n"/>
      <c r="X331" s="87" t="n"/>
      <c r="Y331" s="87" t="n"/>
      <c r="Z331" s="87" t="n"/>
    </row>
    <row r="332" ht="15.75" customHeight="1">
      <c r="A332" s="87" t="n"/>
      <c r="B332" s="87" t="n"/>
      <c r="C332" s="87" t="n"/>
      <c r="D332" s="87" t="n"/>
      <c r="E332" s="87" t="n"/>
      <c r="F332" s="87" t="n"/>
      <c r="G332" s="87" t="n"/>
      <c r="H332" s="87" t="n"/>
      <c r="I332" s="87" t="n"/>
      <c r="J332" s="87" t="n"/>
      <c r="K332" s="87" t="n"/>
      <c r="L332" s="87" t="n"/>
      <c r="M332" s="87" t="n"/>
      <c r="N332" s="87" t="n"/>
      <c r="O332" s="87" t="n"/>
      <c r="P332" s="87" t="n"/>
      <c r="Q332" s="87" t="n"/>
      <c r="R332" s="87" t="n"/>
      <c r="S332" s="87" t="n"/>
      <c r="T332" s="87" t="n"/>
      <c r="U332" s="87" t="n"/>
      <c r="V332" s="87" t="n"/>
      <c r="W332" s="87" t="n"/>
      <c r="X332" s="87" t="n"/>
      <c r="Y332" s="87" t="n"/>
      <c r="Z332" s="87" t="n"/>
    </row>
    <row r="333" ht="15.75" customHeight="1">
      <c r="A333" s="87" t="n"/>
      <c r="B333" s="87" t="n"/>
      <c r="C333" s="87" t="n"/>
      <c r="D333" s="87" t="n"/>
      <c r="E333" s="87" t="n"/>
      <c r="F333" s="87" t="n"/>
      <c r="G333" s="87" t="n"/>
      <c r="H333" s="87" t="n"/>
      <c r="I333" s="87" t="n"/>
      <c r="J333" s="87" t="n"/>
      <c r="K333" s="87" t="n"/>
      <c r="L333" s="87" t="n"/>
      <c r="M333" s="87" t="n"/>
      <c r="N333" s="87" t="n"/>
      <c r="O333" s="87" t="n"/>
      <c r="P333" s="87" t="n"/>
      <c r="Q333" s="87" t="n"/>
      <c r="R333" s="87" t="n"/>
      <c r="S333" s="87" t="n"/>
      <c r="T333" s="87" t="n"/>
      <c r="U333" s="87" t="n"/>
      <c r="V333" s="87" t="n"/>
      <c r="W333" s="87" t="n"/>
      <c r="X333" s="87" t="n"/>
      <c r="Y333" s="87" t="n"/>
      <c r="Z333" s="87" t="n"/>
    </row>
    <row r="334" ht="15.75" customHeight="1">
      <c r="A334" s="87" t="n"/>
      <c r="B334" s="87" t="n"/>
      <c r="C334" s="87" t="n"/>
      <c r="D334" s="87" t="n"/>
      <c r="E334" s="87" t="n"/>
      <c r="F334" s="87" t="n"/>
      <c r="G334" s="87" t="n"/>
      <c r="H334" s="87" t="n"/>
      <c r="I334" s="87" t="n"/>
      <c r="J334" s="87" t="n"/>
      <c r="K334" s="87" t="n"/>
      <c r="L334" s="87" t="n"/>
      <c r="M334" s="87" t="n"/>
      <c r="N334" s="87" t="n"/>
      <c r="O334" s="87" t="n"/>
      <c r="P334" s="87" t="n"/>
      <c r="Q334" s="87" t="n"/>
      <c r="R334" s="87" t="n"/>
      <c r="S334" s="87" t="n"/>
      <c r="T334" s="87" t="n"/>
      <c r="U334" s="87" t="n"/>
      <c r="V334" s="87" t="n"/>
      <c r="W334" s="87" t="n"/>
      <c r="X334" s="87" t="n"/>
      <c r="Y334" s="87" t="n"/>
      <c r="Z334" s="87" t="n"/>
    </row>
    <row r="335" ht="15.75" customHeight="1">
      <c r="A335" s="87" t="n"/>
      <c r="B335" s="87" t="n"/>
      <c r="C335" s="87" t="n"/>
      <c r="D335" s="87" t="n"/>
      <c r="E335" s="87" t="n"/>
      <c r="F335" s="87" t="n"/>
      <c r="G335" s="87" t="n"/>
      <c r="H335" s="87" t="n"/>
      <c r="I335" s="87" t="n"/>
      <c r="J335" s="87" t="n"/>
      <c r="K335" s="87" t="n"/>
      <c r="L335" s="87" t="n"/>
      <c r="M335" s="87" t="n"/>
      <c r="N335" s="87" t="n"/>
      <c r="O335" s="87" t="n"/>
      <c r="P335" s="87" t="n"/>
      <c r="Q335" s="87" t="n"/>
      <c r="R335" s="87" t="n"/>
      <c r="S335" s="87" t="n"/>
      <c r="T335" s="87" t="n"/>
      <c r="U335" s="87" t="n"/>
      <c r="V335" s="87" t="n"/>
      <c r="W335" s="87" t="n"/>
      <c r="X335" s="87" t="n"/>
      <c r="Y335" s="87" t="n"/>
      <c r="Z335" s="87" t="n"/>
    </row>
    <row r="336" ht="15.75" customHeight="1">
      <c r="A336" s="87" t="n"/>
      <c r="B336" s="87" t="n"/>
      <c r="C336" s="87" t="n"/>
      <c r="D336" s="87" t="n"/>
      <c r="E336" s="87" t="n"/>
      <c r="F336" s="87" t="n"/>
      <c r="G336" s="87" t="n"/>
      <c r="H336" s="87" t="n"/>
      <c r="I336" s="87" t="n"/>
      <c r="J336" s="87" t="n"/>
      <c r="K336" s="87" t="n"/>
      <c r="L336" s="87" t="n"/>
      <c r="M336" s="87" t="n"/>
      <c r="N336" s="87" t="n"/>
      <c r="O336" s="87" t="n"/>
      <c r="P336" s="87" t="n"/>
      <c r="Q336" s="87" t="n"/>
      <c r="R336" s="87" t="n"/>
      <c r="S336" s="87" t="n"/>
      <c r="T336" s="87" t="n"/>
      <c r="U336" s="87" t="n"/>
      <c r="V336" s="87" t="n"/>
      <c r="W336" s="87" t="n"/>
      <c r="X336" s="87" t="n"/>
      <c r="Y336" s="87" t="n"/>
      <c r="Z336" s="87" t="n"/>
    </row>
    <row r="337" ht="15.75" customHeight="1">
      <c r="A337" s="87" t="n"/>
      <c r="B337" s="87" t="n"/>
      <c r="C337" s="87" t="n"/>
      <c r="D337" s="87" t="n"/>
      <c r="E337" s="87" t="n"/>
      <c r="F337" s="87" t="n"/>
      <c r="G337" s="87" t="n"/>
      <c r="H337" s="87" t="n"/>
      <c r="I337" s="87" t="n"/>
      <c r="J337" s="87" t="n"/>
      <c r="K337" s="87" t="n"/>
      <c r="L337" s="87" t="n"/>
      <c r="M337" s="87" t="n"/>
      <c r="N337" s="87" t="n"/>
      <c r="O337" s="87" t="n"/>
      <c r="P337" s="87" t="n"/>
      <c r="Q337" s="87" t="n"/>
      <c r="R337" s="87" t="n"/>
      <c r="S337" s="87" t="n"/>
      <c r="T337" s="87" t="n"/>
      <c r="U337" s="87" t="n"/>
      <c r="V337" s="87" t="n"/>
      <c r="W337" s="87" t="n"/>
      <c r="X337" s="87" t="n"/>
      <c r="Y337" s="87" t="n"/>
      <c r="Z337" s="87" t="n"/>
    </row>
    <row r="338" ht="15.75" customHeight="1">
      <c r="A338" s="87" t="n"/>
      <c r="B338" s="87" t="n"/>
      <c r="C338" s="87" t="n"/>
      <c r="D338" s="87" t="n"/>
      <c r="E338" s="87" t="n"/>
      <c r="F338" s="87" t="n"/>
      <c r="G338" s="87" t="n"/>
      <c r="H338" s="87" t="n"/>
      <c r="I338" s="87" t="n"/>
      <c r="J338" s="87" t="n"/>
      <c r="K338" s="87" t="n"/>
      <c r="L338" s="87" t="n"/>
      <c r="M338" s="87" t="n"/>
      <c r="N338" s="87" t="n"/>
      <c r="O338" s="87" t="n"/>
      <c r="P338" s="87" t="n"/>
      <c r="Q338" s="87" t="n"/>
      <c r="R338" s="87" t="n"/>
      <c r="S338" s="87" t="n"/>
      <c r="T338" s="87" t="n"/>
      <c r="U338" s="87" t="n"/>
      <c r="V338" s="87" t="n"/>
      <c r="W338" s="87" t="n"/>
      <c r="X338" s="87" t="n"/>
      <c r="Y338" s="87" t="n"/>
      <c r="Z338" s="87" t="n"/>
    </row>
    <row r="339" ht="15.75" customHeight="1">
      <c r="A339" s="87" t="n"/>
      <c r="B339" s="87" t="n"/>
      <c r="C339" s="87" t="n"/>
      <c r="D339" s="87" t="n"/>
      <c r="E339" s="87" t="n"/>
      <c r="F339" s="87" t="n"/>
      <c r="G339" s="87" t="n"/>
      <c r="H339" s="87" t="n"/>
      <c r="I339" s="87" t="n"/>
      <c r="J339" s="87" t="n"/>
      <c r="K339" s="87" t="n"/>
      <c r="L339" s="87" t="n"/>
      <c r="M339" s="87" t="n"/>
      <c r="N339" s="87" t="n"/>
      <c r="O339" s="87" t="n"/>
      <c r="P339" s="87" t="n"/>
      <c r="Q339" s="87" t="n"/>
      <c r="R339" s="87" t="n"/>
      <c r="S339" s="87" t="n"/>
      <c r="T339" s="87" t="n"/>
      <c r="U339" s="87" t="n"/>
      <c r="V339" s="87" t="n"/>
      <c r="W339" s="87" t="n"/>
      <c r="X339" s="87" t="n"/>
      <c r="Y339" s="87" t="n"/>
      <c r="Z339" s="87" t="n"/>
    </row>
    <row r="340" ht="15.75" customHeight="1">
      <c r="A340" s="87" t="n"/>
      <c r="B340" s="87" t="n"/>
      <c r="C340" s="87" t="n"/>
      <c r="D340" s="87" t="n"/>
      <c r="E340" s="87" t="n"/>
      <c r="F340" s="87" t="n"/>
      <c r="G340" s="87" t="n"/>
      <c r="H340" s="87" t="n"/>
      <c r="I340" s="87" t="n"/>
      <c r="J340" s="87" t="n"/>
      <c r="K340" s="87" t="n"/>
      <c r="L340" s="87" t="n"/>
      <c r="M340" s="87" t="n"/>
      <c r="N340" s="87" t="n"/>
      <c r="O340" s="87" t="n"/>
      <c r="P340" s="87" t="n"/>
      <c r="Q340" s="87" t="n"/>
      <c r="R340" s="87" t="n"/>
      <c r="S340" s="87" t="n"/>
      <c r="T340" s="87" t="n"/>
      <c r="U340" s="87" t="n"/>
      <c r="V340" s="87" t="n"/>
      <c r="W340" s="87" t="n"/>
      <c r="X340" s="87" t="n"/>
      <c r="Y340" s="87" t="n"/>
      <c r="Z340" s="87" t="n"/>
    </row>
    <row r="341" ht="15.75" customHeight="1">
      <c r="A341" s="87" t="n"/>
      <c r="B341" s="87" t="n"/>
      <c r="C341" s="87" t="n"/>
      <c r="D341" s="87" t="n"/>
      <c r="E341" s="87" t="n"/>
      <c r="F341" s="87" t="n"/>
      <c r="G341" s="87" t="n"/>
      <c r="H341" s="87" t="n"/>
      <c r="I341" s="87" t="n"/>
      <c r="J341" s="87" t="n"/>
      <c r="K341" s="87" t="n"/>
      <c r="L341" s="87" t="n"/>
      <c r="M341" s="87" t="n"/>
      <c r="N341" s="87" t="n"/>
      <c r="O341" s="87" t="n"/>
      <c r="P341" s="87" t="n"/>
      <c r="Q341" s="87" t="n"/>
      <c r="R341" s="87" t="n"/>
      <c r="S341" s="87" t="n"/>
      <c r="T341" s="87" t="n"/>
      <c r="U341" s="87" t="n"/>
      <c r="V341" s="87" t="n"/>
      <c r="W341" s="87" t="n"/>
      <c r="X341" s="87" t="n"/>
      <c r="Y341" s="87" t="n"/>
      <c r="Z341" s="87" t="n"/>
    </row>
    <row r="342" ht="15.75" customHeight="1">
      <c r="A342" s="87" t="n"/>
      <c r="B342" s="87" t="n"/>
      <c r="C342" s="87" t="n"/>
      <c r="D342" s="87" t="n"/>
      <c r="E342" s="87" t="n"/>
      <c r="F342" s="87" t="n"/>
      <c r="G342" s="87" t="n"/>
      <c r="H342" s="87" t="n"/>
      <c r="I342" s="87" t="n"/>
      <c r="J342" s="87" t="n"/>
      <c r="K342" s="87" t="n"/>
      <c r="L342" s="87" t="n"/>
      <c r="M342" s="87" t="n"/>
      <c r="N342" s="87" t="n"/>
      <c r="O342" s="87" t="n"/>
      <c r="P342" s="87" t="n"/>
      <c r="Q342" s="87" t="n"/>
      <c r="R342" s="87" t="n"/>
      <c r="S342" s="87" t="n"/>
      <c r="T342" s="87" t="n"/>
      <c r="U342" s="87" t="n"/>
      <c r="V342" s="87" t="n"/>
      <c r="W342" s="87" t="n"/>
      <c r="X342" s="87" t="n"/>
      <c r="Y342" s="87" t="n"/>
      <c r="Z342" s="87" t="n"/>
    </row>
    <row r="343" ht="15.75" customHeight="1">
      <c r="A343" s="87" t="n"/>
      <c r="B343" s="87" t="n"/>
      <c r="C343" s="87" t="n"/>
      <c r="D343" s="87" t="n"/>
      <c r="E343" s="87" t="n"/>
      <c r="F343" s="87" t="n"/>
      <c r="G343" s="87" t="n"/>
      <c r="H343" s="87" t="n"/>
      <c r="I343" s="87" t="n"/>
      <c r="J343" s="87" t="n"/>
      <c r="K343" s="87" t="n"/>
      <c r="L343" s="87" t="n"/>
      <c r="M343" s="87" t="n"/>
      <c r="N343" s="87" t="n"/>
      <c r="O343" s="87" t="n"/>
      <c r="P343" s="87" t="n"/>
      <c r="Q343" s="87" t="n"/>
      <c r="R343" s="87" t="n"/>
      <c r="S343" s="87" t="n"/>
      <c r="T343" s="87" t="n"/>
      <c r="U343" s="87" t="n"/>
      <c r="V343" s="87" t="n"/>
      <c r="W343" s="87" t="n"/>
      <c r="X343" s="87" t="n"/>
      <c r="Y343" s="87" t="n"/>
      <c r="Z343" s="87" t="n"/>
    </row>
    <row r="344" ht="15.75" customHeight="1">
      <c r="A344" s="87" t="n"/>
      <c r="B344" s="87" t="n"/>
      <c r="C344" s="87" t="n"/>
      <c r="D344" s="87" t="n"/>
      <c r="E344" s="87" t="n"/>
      <c r="F344" s="87" t="n"/>
      <c r="G344" s="87" t="n"/>
      <c r="H344" s="87" t="n"/>
      <c r="I344" s="87" t="n"/>
      <c r="J344" s="87" t="n"/>
      <c r="K344" s="87" t="n"/>
      <c r="L344" s="87" t="n"/>
      <c r="M344" s="87" t="n"/>
      <c r="N344" s="87" t="n"/>
      <c r="O344" s="87" t="n"/>
      <c r="P344" s="87" t="n"/>
      <c r="Q344" s="87" t="n"/>
      <c r="R344" s="87" t="n"/>
      <c r="S344" s="87" t="n"/>
      <c r="T344" s="87" t="n"/>
      <c r="U344" s="87" t="n"/>
      <c r="V344" s="87" t="n"/>
      <c r="W344" s="87" t="n"/>
      <c r="X344" s="87" t="n"/>
      <c r="Y344" s="87" t="n"/>
      <c r="Z344" s="87" t="n"/>
    </row>
    <row r="345" ht="15.75" customHeight="1">
      <c r="A345" s="87" t="n"/>
      <c r="B345" s="87" t="n"/>
      <c r="C345" s="87" t="n"/>
      <c r="D345" s="87" t="n"/>
      <c r="E345" s="87" t="n"/>
      <c r="F345" s="87" t="n"/>
      <c r="G345" s="87" t="n"/>
      <c r="H345" s="87" t="n"/>
      <c r="I345" s="87" t="n"/>
      <c r="J345" s="87" t="n"/>
      <c r="K345" s="87" t="n"/>
      <c r="L345" s="87" t="n"/>
      <c r="M345" s="87" t="n"/>
      <c r="N345" s="87" t="n"/>
      <c r="O345" s="87" t="n"/>
      <c r="P345" s="87" t="n"/>
      <c r="Q345" s="87" t="n"/>
      <c r="R345" s="87" t="n"/>
      <c r="S345" s="87" t="n"/>
      <c r="T345" s="87" t="n"/>
      <c r="U345" s="87" t="n"/>
      <c r="V345" s="87" t="n"/>
      <c r="W345" s="87" t="n"/>
      <c r="X345" s="87" t="n"/>
      <c r="Y345" s="87" t="n"/>
      <c r="Z345" s="87" t="n"/>
    </row>
    <row r="346" ht="15.75" customHeight="1">
      <c r="A346" s="87" t="n"/>
      <c r="B346" s="87" t="n"/>
      <c r="C346" s="87" t="n"/>
      <c r="D346" s="87" t="n"/>
      <c r="E346" s="87" t="n"/>
      <c r="F346" s="87" t="n"/>
      <c r="G346" s="87" t="n"/>
      <c r="H346" s="87" t="n"/>
      <c r="I346" s="87" t="n"/>
      <c r="J346" s="87" t="n"/>
      <c r="K346" s="87" t="n"/>
      <c r="L346" s="87" t="n"/>
      <c r="M346" s="87" t="n"/>
      <c r="N346" s="87" t="n"/>
      <c r="O346" s="87" t="n"/>
      <c r="P346" s="87" t="n"/>
      <c r="Q346" s="87" t="n"/>
      <c r="R346" s="87" t="n"/>
      <c r="S346" s="87" t="n"/>
      <c r="T346" s="87" t="n"/>
      <c r="U346" s="87" t="n"/>
      <c r="V346" s="87" t="n"/>
      <c r="W346" s="87" t="n"/>
      <c r="X346" s="87" t="n"/>
      <c r="Y346" s="87" t="n"/>
      <c r="Z346" s="87" t="n"/>
    </row>
    <row r="347" ht="15.75" customHeight="1">
      <c r="A347" s="87" t="n"/>
      <c r="B347" s="87" t="n"/>
      <c r="C347" s="87" t="n"/>
      <c r="D347" s="87" t="n"/>
      <c r="E347" s="87" t="n"/>
      <c r="F347" s="87" t="n"/>
      <c r="G347" s="87" t="n"/>
      <c r="H347" s="87" t="n"/>
      <c r="I347" s="87" t="n"/>
      <c r="J347" s="87" t="n"/>
      <c r="K347" s="87" t="n"/>
      <c r="L347" s="87" t="n"/>
      <c r="M347" s="87" t="n"/>
      <c r="N347" s="87" t="n"/>
      <c r="O347" s="87" t="n"/>
      <c r="P347" s="87" t="n"/>
      <c r="Q347" s="87" t="n"/>
      <c r="R347" s="87" t="n"/>
      <c r="S347" s="87" t="n"/>
      <c r="T347" s="87" t="n"/>
      <c r="U347" s="87" t="n"/>
      <c r="V347" s="87" t="n"/>
      <c r="W347" s="87" t="n"/>
      <c r="X347" s="87" t="n"/>
      <c r="Y347" s="87" t="n"/>
      <c r="Z347" s="87" t="n"/>
    </row>
    <row r="348" ht="15.75" customHeight="1">
      <c r="A348" s="87" t="n"/>
      <c r="B348" s="87" t="n"/>
      <c r="C348" s="87" t="n"/>
      <c r="D348" s="87" t="n"/>
      <c r="E348" s="87" t="n"/>
      <c r="F348" s="87" t="n"/>
      <c r="G348" s="87" t="n"/>
      <c r="H348" s="87" t="n"/>
      <c r="I348" s="87" t="n"/>
      <c r="J348" s="87" t="n"/>
      <c r="K348" s="87" t="n"/>
      <c r="L348" s="87" t="n"/>
      <c r="M348" s="87" t="n"/>
      <c r="N348" s="87" t="n"/>
      <c r="O348" s="87" t="n"/>
      <c r="P348" s="87" t="n"/>
      <c r="Q348" s="87" t="n"/>
      <c r="R348" s="87" t="n"/>
      <c r="S348" s="87" t="n"/>
      <c r="T348" s="87" t="n"/>
      <c r="U348" s="87" t="n"/>
      <c r="V348" s="87" t="n"/>
      <c r="W348" s="87" t="n"/>
      <c r="X348" s="87" t="n"/>
      <c r="Y348" s="87" t="n"/>
      <c r="Z348" s="87" t="n"/>
    </row>
    <row r="349" ht="15.75" customHeight="1">
      <c r="A349" s="87" t="n"/>
      <c r="B349" s="87" t="n"/>
      <c r="C349" s="87" t="n"/>
      <c r="D349" s="87" t="n"/>
      <c r="E349" s="87" t="n"/>
      <c r="F349" s="87" t="n"/>
      <c r="G349" s="87" t="n"/>
      <c r="H349" s="87" t="n"/>
      <c r="I349" s="87" t="n"/>
      <c r="J349" s="87" t="n"/>
      <c r="K349" s="87" t="n"/>
      <c r="L349" s="87" t="n"/>
      <c r="M349" s="87" t="n"/>
      <c r="N349" s="87" t="n"/>
      <c r="O349" s="87" t="n"/>
      <c r="P349" s="87" t="n"/>
      <c r="Q349" s="87" t="n"/>
      <c r="R349" s="87" t="n"/>
      <c r="S349" s="87" t="n"/>
      <c r="T349" s="87" t="n"/>
      <c r="U349" s="87" t="n"/>
      <c r="V349" s="87" t="n"/>
      <c r="W349" s="87" t="n"/>
      <c r="X349" s="87" t="n"/>
      <c r="Y349" s="87" t="n"/>
      <c r="Z349" s="87" t="n"/>
    </row>
    <row r="350" ht="15.75" customHeight="1">
      <c r="A350" s="87" t="n"/>
      <c r="B350" s="87" t="n"/>
      <c r="C350" s="87" t="n"/>
      <c r="D350" s="87" t="n"/>
      <c r="E350" s="87" t="n"/>
      <c r="F350" s="87" t="n"/>
      <c r="G350" s="87" t="n"/>
      <c r="H350" s="87" t="n"/>
      <c r="I350" s="87" t="n"/>
      <c r="J350" s="87" t="n"/>
      <c r="K350" s="87" t="n"/>
      <c r="L350" s="87" t="n"/>
      <c r="M350" s="87" t="n"/>
      <c r="N350" s="87" t="n"/>
      <c r="O350" s="87" t="n"/>
      <c r="P350" s="87" t="n"/>
      <c r="Q350" s="87" t="n"/>
      <c r="R350" s="87" t="n"/>
      <c r="S350" s="87" t="n"/>
      <c r="T350" s="87" t="n"/>
      <c r="U350" s="87" t="n"/>
      <c r="V350" s="87" t="n"/>
      <c r="W350" s="87" t="n"/>
      <c r="X350" s="87" t="n"/>
      <c r="Y350" s="87" t="n"/>
      <c r="Z350" s="87" t="n"/>
    </row>
    <row r="351" ht="15.75" customHeight="1">
      <c r="A351" s="87" t="n"/>
      <c r="B351" s="87" t="n"/>
      <c r="C351" s="87" t="n"/>
      <c r="D351" s="87" t="n"/>
      <c r="E351" s="87" t="n"/>
      <c r="F351" s="87" t="n"/>
      <c r="G351" s="87" t="n"/>
      <c r="H351" s="87" t="n"/>
      <c r="I351" s="87" t="n"/>
      <c r="J351" s="87" t="n"/>
      <c r="K351" s="87" t="n"/>
      <c r="L351" s="87" t="n"/>
      <c r="M351" s="87" t="n"/>
      <c r="N351" s="87" t="n"/>
      <c r="O351" s="87" t="n"/>
      <c r="P351" s="87" t="n"/>
      <c r="Q351" s="87" t="n"/>
      <c r="R351" s="87" t="n"/>
      <c r="S351" s="87" t="n"/>
      <c r="T351" s="87" t="n"/>
      <c r="U351" s="87" t="n"/>
      <c r="V351" s="87" t="n"/>
      <c r="W351" s="87" t="n"/>
      <c r="X351" s="87" t="n"/>
      <c r="Y351" s="87" t="n"/>
      <c r="Z351" s="87" t="n"/>
    </row>
    <row r="352" ht="15.75" customHeight="1">
      <c r="A352" s="87" t="n"/>
      <c r="B352" s="87" t="n"/>
      <c r="C352" s="87" t="n"/>
      <c r="D352" s="87" t="n"/>
      <c r="E352" s="87" t="n"/>
      <c r="F352" s="87" t="n"/>
      <c r="G352" s="87" t="n"/>
      <c r="H352" s="87" t="n"/>
      <c r="I352" s="87" t="n"/>
      <c r="J352" s="87" t="n"/>
      <c r="K352" s="87" t="n"/>
      <c r="L352" s="87" t="n"/>
      <c r="M352" s="87" t="n"/>
      <c r="N352" s="87" t="n"/>
      <c r="O352" s="87" t="n"/>
      <c r="P352" s="87" t="n"/>
      <c r="Q352" s="87" t="n"/>
      <c r="R352" s="87" t="n"/>
      <c r="S352" s="87" t="n"/>
      <c r="T352" s="87" t="n"/>
      <c r="U352" s="87" t="n"/>
      <c r="V352" s="87" t="n"/>
      <c r="W352" s="87" t="n"/>
      <c r="X352" s="87" t="n"/>
      <c r="Y352" s="87" t="n"/>
      <c r="Z352" s="87" t="n"/>
    </row>
    <row r="353" ht="15.75" customHeight="1">
      <c r="A353" s="87" t="n"/>
      <c r="B353" s="87" t="n"/>
      <c r="C353" s="87" t="n"/>
      <c r="D353" s="87" t="n"/>
      <c r="E353" s="87" t="n"/>
      <c r="F353" s="87" t="n"/>
      <c r="G353" s="87" t="n"/>
      <c r="H353" s="87" t="n"/>
      <c r="I353" s="87" t="n"/>
      <c r="J353" s="87" t="n"/>
      <c r="K353" s="87" t="n"/>
      <c r="L353" s="87" t="n"/>
      <c r="M353" s="87" t="n"/>
      <c r="N353" s="87" t="n"/>
      <c r="O353" s="87" t="n"/>
      <c r="P353" s="87" t="n"/>
      <c r="Q353" s="87" t="n"/>
      <c r="R353" s="87" t="n"/>
      <c r="S353" s="87" t="n"/>
      <c r="T353" s="87" t="n"/>
      <c r="U353" s="87" t="n"/>
      <c r="V353" s="87" t="n"/>
      <c r="W353" s="87" t="n"/>
      <c r="X353" s="87" t="n"/>
      <c r="Y353" s="87" t="n"/>
      <c r="Z353" s="87" t="n"/>
    </row>
    <row r="354" ht="15.75" customHeight="1">
      <c r="A354" s="87" t="n"/>
      <c r="B354" s="87" t="n"/>
      <c r="C354" s="87" t="n"/>
      <c r="D354" s="87" t="n"/>
      <c r="E354" s="87" t="n"/>
      <c r="F354" s="87" t="n"/>
      <c r="G354" s="87" t="n"/>
      <c r="H354" s="87" t="n"/>
      <c r="I354" s="87" t="n"/>
      <c r="J354" s="87" t="n"/>
      <c r="K354" s="87" t="n"/>
      <c r="L354" s="87" t="n"/>
      <c r="M354" s="87" t="n"/>
      <c r="N354" s="87" t="n"/>
      <c r="O354" s="87" t="n"/>
      <c r="P354" s="87" t="n"/>
      <c r="Q354" s="87" t="n"/>
      <c r="R354" s="87" t="n"/>
      <c r="S354" s="87" t="n"/>
      <c r="T354" s="87" t="n"/>
      <c r="U354" s="87" t="n"/>
      <c r="V354" s="87" t="n"/>
      <c r="W354" s="87" t="n"/>
      <c r="X354" s="87" t="n"/>
      <c r="Y354" s="87" t="n"/>
      <c r="Z354" s="87" t="n"/>
    </row>
    <row r="355" ht="15.75" customHeight="1">
      <c r="A355" s="87" t="n"/>
      <c r="B355" s="87" t="n"/>
      <c r="C355" s="87" t="n"/>
      <c r="D355" s="87" t="n"/>
      <c r="E355" s="87" t="n"/>
      <c r="F355" s="87" t="n"/>
      <c r="G355" s="87" t="n"/>
      <c r="H355" s="87" t="n"/>
      <c r="I355" s="87" t="n"/>
      <c r="J355" s="87" t="n"/>
      <c r="K355" s="87" t="n"/>
      <c r="L355" s="87" t="n"/>
      <c r="M355" s="87" t="n"/>
      <c r="N355" s="87" t="n"/>
      <c r="O355" s="87" t="n"/>
      <c r="P355" s="87" t="n"/>
      <c r="Q355" s="87" t="n"/>
      <c r="R355" s="87" t="n"/>
      <c r="S355" s="87" t="n"/>
      <c r="T355" s="87" t="n"/>
      <c r="U355" s="87" t="n"/>
      <c r="V355" s="87" t="n"/>
      <c r="W355" s="87" t="n"/>
      <c r="X355" s="87" t="n"/>
      <c r="Y355" s="87" t="n"/>
      <c r="Z355" s="87" t="n"/>
    </row>
    <row r="356" ht="15.75" customHeight="1">
      <c r="A356" s="87" t="n"/>
      <c r="B356" s="87" t="n"/>
      <c r="C356" s="87" t="n"/>
      <c r="D356" s="87" t="n"/>
      <c r="E356" s="87" t="n"/>
      <c r="F356" s="87" t="n"/>
      <c r="G356" s="87" t="n"/>
      <c r="H356" s="87" t="n"/>
      <c r="I356" s="87" t="n"/>
      <c r="J356" s="87" t="n"/>
      <c r="K356" s="87" t="n"/>
      <c r="L356" s="87" t="n"/>
      <c r="M356" s="87" t="n"/>
      <c r="N356" s="87" t="n"/>
      <c r="O356" s="87" t="n"/>
      <c r="P356" s="87" t="n"/>
      <c r="Q356" s="87" t="n"/>
      <c r="R356" s="87" t="n"/>
      <c r="S356" s="87" t="n"/>
      <c r="T356" s="87" t="n"/>
      <c r="U356" s="87" t="n"/>
      <c r="V356" s="87" t="n"/>
      <c r="W356" s="87" t="n"/>
      <c r="X356" s="87" t="n"/>
      <c r="Y356" s="87" t="n"/>
      <c r="Z356" s="87" t="n"/>
    </row>
    <row r="357" ht="15.75" customHeight="1">
      <c r="A357" s="87" t="n"/>
      <c r="B357" s="87" t="n"/>
      <c r="C357" s="87" t="n"/>
      <c r="D357" s="87" t="n"/>
      <c r="E357" s="87" t="n"/>
      <c r="F357" s="87" t="n"/>
      <c r="G357" s="87" t="n"/>
      <c r="H357" s="87" t="n"/>
      <c r="I357" s="87" t="n"/>
      <c r="J357" s="87" t="n"/>
      <c r="K357" s="87" t="n"/>
      <c r="L357" s="87" t="n"/>
      <c r="M357" s="87" t="n"/>
      <c r="N357" s="87" t="n"/>
      <c r="O357" s="87" t="n"/>
      <c r="P357" s="87" t="n"/>
      <c r="Q357" s="87" t="n"/>
      <c r="R357" s="87" t="n"/>
      <c r="S357" s="87" t="n"/>
      <c r="T357" s="87" t="n"/>
      <c r="U357" s="87" t="n"/>
      <c r="V357" s="87" t="n"/>
      <c r="W357" s="87" t="n"/>
      <c r="X357" s="87" t="n"/>
      <c r="Y357" s="87" t="n"/>
      <c r="Z357" s="87" t="n"/>
    </row>
    <row r="358" ht="15.75" customHeight="1">
      <c r="A358" s="87" t="n"/>
      <c r="B358" s="87" t="n"/>
      <c r="C358" s="87" t="n"/>
      <c r="D358" s="87" t="n"/>
      <c r="E358" s="87" t="n"/>
      <c r="F358" s="87" t="n"/>
      <c r="G358" s="87" t="n"/>
      <c r="H358" s="87" t="n"/>
      <c r="I358" s="87" t="n"/>
      <c r="J358" s="87" t="n"/>
      <c r="K358" s="87" t="n"/>
      <c r="L358" s="87" t="n"/>
      <c r="M358" s="87" t="n"/>
      <c r="N358" s="87" t="n"/>
      <c r="O358" s="87" t="n"/>
      <c r="P358" s="87" t="n"/>
      <c r="Q358" s="87" t="n"/>
      <c r="R358" s="87" t="n"/>
      <c r="S358" s="87" t="n"/>
      <c r="T358" s="87" t="n"/>
      <c r="U358" s="87" t="n"/>
      <c r="V358" s="87" t="n"/>
      <c r="W358" s="87" t="n"/>
      <c r="X358" s="87" t="n"/>
      <c r="Y358" s="87" t="n"/>
      <c r="Z358" s="87" t="n"/>
    </row>
    <row r="359" ht="15.75" customHeight="1">
      <c r="A359" s="87" t="n"/>
      <c r="B359" s="87" t="n"/>
      <c r="C359" s="87" t="n"/>
      <c r="D359" s="87" t="n"/>
      <c r="E359" s="87" t="n"/>
      <c r="F359" s="87" t="n"/>
      <c r="G359" s="87" t="n"/>
      <c r="H359" s="87" t="n"/>
      <c r="I359" s="87" t="n"/>
      <c r="J359" s="87" t="n"/>
      <c r="K359" s="87" t="n"/>
      <c r="L359" s="87" t="n"/>
      <c r="M359" s="87" t="n"/>
      <c r="N359" s="87" t="n"/>
      <c r="O359" s="87" t="n"/>
      <c r="P359" s="87" t="n"/>
      <c r="Q359" s="87" t="n"/>
      <c r="R359" s="87" t="n"/>
      <c r="S359" s="87" t="n"/>
      <c r="T359" s="87" t="n"/>
      <c r="U359" s="87" t="n"/>
      <c r="V359" s="87" t="n"/>
      <c r="W359" s="87" t="n"/>
      <c r="X359" s="87" t="n"/>
      <c r="Y359" s="87" t="n"/>
      <c r="Z359" s="87" t="n"/>
    </row>
    <row r="360" ht="15.75" customHeight="1">
      <c r="A360" s="87" t="n"/>
      <c r="B360" s="87" t="n"/>
      <c r="C360" s="87" t="n"/>
      <c r="D360" s="87" t="n"/>
      <c r="E360" s="87" t="n"/>
      <c r="F360" s="87" t="n"/>
      <c r="G360" s="87" t="n"/>
      <c r="H360" s="87" t="n"/>
      <c r="I360" s="87" t="n"/>
      <c r="J360" s="87" t="n"/>
      <c r="K360" s="87" t="n"/>
      <c r="L360" s="87" t="n"/>
      <c r="M360" s="87" t="n"/>
      <c r="N360" s="87" t="n"/>
      <c r="O360" s="87" t="n"/>
      <c r="P360" s="87" t="n"/>
      <c r="Q360" s="87" t="n"/>
      <c r="R360" s="87" t="n"/>
      <c r="S360" s="87" t="n"/>
      <c r="T360" s="87" t="n"/>
      <c r="U360" s="87" t="n"/>
      <c r="V360" s="87" t="n"/>
      <c r="W360" s="87" t="n"/>
      <c r="X360" s="87" t="n"/>
      <c r="Y360" s="87" t="n"/>
      <c r="Z360" s="87" t="n"/>
    </row>
    <row r="361" ht="15.75" customHeight="1">
      <c r="A361" s="87" t="n"/>
      <c r="B361" s="87" t="n"/>
      <c r="C361" s="87" t="n"/>
      <c r="D361" s="87" t="n"/>
      <c r="E361" s="87" t="n"/>
      <c r="F361" s="87" t="n"/>
      <c r="G361" s="87" t="n"/>
      <c r="H361" s="87" t="n"/>
      <c r="I361" s="87" t="n"/>
      <c r="J361" s="87" t="n"/>
      <c r="K361" s="87" t="n"/>
      <c r="L361" s="87" t="n"/>
      <c r="M361" s="87" t="n"/>
      <c r="N361" s="87" t="n"/>
      <c r="O361" s="87" t="n"/>
      <c r="P361" s="87" t="n"/>
      <c r="Q361" s="87" t="n"/>
      <c r="R361" s="87" t="n"/>
      <c r="S361" s="87" t="n"/>
      <c r="T361" s="87" t="n"/>
      <c r="U361" s="87" t="n"/>
      <c r="V361" s="87" t="n"/>
      <c r="W361" s="87" t="n"/>
      <c r="X361" s="87" t="n"/>
      <c r="Y361" s="87" t="n"/>
      <c r="Z361" s="87" t="n"/>
    </row>
    <row r="362" ht="15.75" customHeight="1">
      <c r="A362" s="87" t="n"/>
      <c r="B362" s="87" t="n"/>
      <c r="C362" s="87" t="n"/>
      <c r="D362" s="87" t="n"/>
      <c r="E362" s="87" t="n"/>
      <c r="F362" s="87" t="n"/>
      <c r="G362" s="87" t="n"/>
      <c r="H362" s="87" t="n"/>
      <c r="I362" s="87" t="n"/>
      <c r="J362" s="87" t="n"/>
      <c r="K362" s="87" t="n"/>
      <c r="L362" s="87" t="n"/>
      <c r="M362" s="87" t="n"/>
      <c r="N362" s="87" t="n"/>
      <c r="O362" s="87" t="n"/>
      <c r="P362" s="87" t="n"/>
      <c r="Q362" s="87" t="n"/>
      <c r="R362" s="87" t="n"/>
      <c r="S362" s="87" t="n"/>
      <c r="T362" s="87" t="n"/>
      <c r="U362" s="87" t="n"/>
      <c r="V362" s="87" t="n"/>
      <c r="W362" s="87" t="n"/>
      <c r="X362" s="87" t="n"/>
      <c r="Y362" s="87" t="n"/>
      <c r="Z362" s="87" t="n"/>
    </row>
    <row r="363" ht="15.75" customHeight="1">
      <c r="A363" s="87" t="n"/>
      <c r="B363" s="87" t="n"/>
      <c r="C363" s="87" t="n"/>
      <c r="D363" s="87" t="n"/>
      <c r="E363" s="87" t="n"/>
      <c r="F363" s="87" t="n"/>
      <c r="G363" s="87" t="n"/>
      <c r="H363" s="87" t="n"/>
      <c r="I363" s="87" t="n"/>
      <c r="J363" s="87" t="n"/>
      <c r="K363" s="87" t="n"/>
      <c r="L363" s="87" t="n"/>
      <c r="M363" s="87" t="n"/>
      <c r="N363" s="87" t="n"/>
      <c r="O363" s="87" t="n"/>
      <c r="P363" s="87" t="n"/>
      <c r="Q363" s="87" t="n"/>
      <c r="R363" s="87" t="n"/>
      <c r="S363" s="87" t="n"/>
      <c r="T363" s="87" t="n"/>
      <c r="U363" s="87" t="n"/>
      <c r="V363" s="87" t="n"/>
      <c r="W363" s="87" t="n"/>
      <c r="X363" s="87" t="n"/>
      <c r="Y363" s="87" t="n"/>
      <c r="Z363" s="87" t="n"/>
    </row>
    <row r="364" ht="15.75" customHeight="1">
      <c r="A364" s="87" t="n"/>
      <c r="B364" s="87" t="n"/>
      <c r="C364" s="87" t="n"/>
      <c r="D364" s="87" t="n"/>
      <c r="E364" s="87" t="n"/>
      <c r="F364" s="87" t="n"/>
      <c r="G364" s="87" t="n"/>
      <c r="H364" s="87" t="n"/>
      <c r="I364" s="87" t="n"/>
      <c r="J364" s="87" t="n"/>
      <c r="K364" s="87" t="n"/>
      <c r="L364" s="87" t="n"/>
      <c r="M364" s="87" t="n"/>
      <c r="N364" s="87" t="n"/>
      <c r="O364" s="87" t="n"/>
      <c r="P364" s="87" t="n"/>
      <c r="Q364" s="87" t="n"/>
      <c r="R364" s="87" t="n"/>
      <c r="S364" s="87" t="n"/>
      <c r="T364" s="87" t="n"/>
      <c r="U364" s="87" t="n"/>
      <c r="V364" s="87" t="n"/>
      <c r="W364" s="87" t="n"/>
      <c r="X364" s="87" t="n"/>
      <c r="Y364" s="87" t="n"/>
      <c r="Z364" s="87" t="n"/>
    </row>
    <row r="365" ht="15.75" customHeight="1">
      <c r="A365" s="87" t="n"/>
      <c r="B365" s="87" t="n"/>
      <c r="C365" s="87" t="n"/>
      <c r="D365" s="87" t="n"/>
      <c r="E365" s="87" t="n"/>
      <c r="F365" s="87" t="n"/>
      <c r="G365" s="87" t="n"/>
      <c r="H365" s="87" t="n"/>
      <c r="I365" s="87" t="n"/>
      <c r="J365" s="87" t="n"/>
      <c r="K365" s="87" t="n"/>
      <c r="L365" s="87" t="n"/>
      <c r="M365" s="87" t="n"/>
      <c r="N365" s="87" t="n"/>
      <c r="O365" s="87" t="n"/>
      <c r="P365" s="87" t="n"/>
      <c r="Q365" s="87" t="n"/>
      <c r="R365" s="87" t="n"/>
      <c r="S365" s="87" t="n"/>
      <c r="T365" s="87" t="n"/>
      <c r="U365" s="87" t="n"/>
      <c r="V365" s="87" t="n"/>
      <c r="W365" s="87" t="n"/>
      <c r="X365" s="87" t="n"/>
      <c r="Y365" s="87" t="n"/>
      <c r="Z365" s="87" t="n"/>
    </row>
    <row r="366" ht="15.75" customHeight="1">
      <c r="A366" s="87" t="n"/>
      <c r="B366" s="87" t="n"/>
      <c r="C366" s="87" t="n"/>
      <c r="D366" s="87" t="n"/>
      <c r="E366" s="87" t="n"/>
      <c r="F366" s="87" t="n"/>
      <c r="G366" s="87" t="n"/>
      <c r="H366" s="87" t="n"/>
      <c r="I366" s="87" t="n"/>
      <c r="J366" s="87" t="n"/>
      <c r="K366" s="87" t="n"/>
      <c r="L366" s="87" t="n"/>
      <c r="M366" s="87" t="n"/>
      <c r="N366" s="87" t="n"/>
      <c r="O366" s="87" t="n"/>
      <c r="P366" s="87" t="n"/>
      <c r="Q366" s="87" t="n"/>
      <c r="R366" s="87" t="n"/>
      <c r="S366" s="87" t="n"/>
      <c r="T366" s="87" t="n"/>
      <c r="U366" s="87" t="n"/>
      <c r="V366" s="87" t="n"/>
      <c r="W366" s="87" t="n"/>
      <c r="X366" s="87" t="n"/>
      <c r="Y366" s="87" t="n"/>
      <c r="Z366" s="87" t="n"/>
    </row>
    <row r="367" ht="15.75" customHeight="1">
      <c r="A367" s="87" t="n"/>
      <c r="B367" s="87" t="n"/>
      <c r="C367" s="87" t="n"/>
      <c r="D367" s="87" t="n"/>
      <c r="E367" s="87" t="n"/>
      <c r="F367" s="87" t="n"/>
      <c r="G367" s="87" t="n"/>
      <c r="H367" s="87" t="n"/>
      <c r="I367" s="87" t="n"/>
      <c r="J367" s="87" t="n"/>
      <c r="K367" s="87" t="n"/>
      <c r="L367" s="87" t="n"/>
      <c r="M367" s="87" t="n"/>
      <c r="N367" s="87" t="n"/>
      <c r="O367" s="87" t="n"/>
      <c r="P367" s="87" t="n"/>
      <c r="Q367" s="87" t="n"/>
      <c r="R367" s="87" t="n"/>
      <c r="S367" s="87" t="n"/>
      <c r="T367" s="87" t="n"/>
      <c r="U367" s="87" t="n"/>
      <c r="V367" s="87" t="n"/>
      <c r="W367" s="87" t="n"/>
      <c r="X367" s="87" t="n"/>
      <c r="Y367" s="87" t="n"/>
      <c r="Z367" s="87" t="n"/>
    </row>
    <row r="368" ht="15.75" customHeight="1">
      <c r="A368" s="87" t="n"/>
      <c r="B368" s="87" t="n"/>
      <c r="C368" s="87" t="n"/>
      <c r="D368" s="87" t="n"/>
      <c r="E368" s="87" t="n"/>
      <c r="F368" s="87" t="n"/>
      <c r="G368" s="87" t="n"/>
      <c r="H368" s="87" t="n"/>
      <c r="I368" s="87" t="n"/>
      <c r="J368" s="87" t="n"/>
      <c r="K368" s="87" t="n"/>
      <c r="L368" s="87" t="n"/>
      <c r="M368" s="87" t="n"/>
      <c r="N368" s="87" t="n"/>
      <c r="O368" s="87" t="n"/>
      <c r="P368" s="87" t="n"/>
      <c r="Q368" s="87" t="n"/>
      <c r="R368" s="87" t="n"/>
      <c r="S368" s="87" t="n"/>
      <c r="T368" s="87" t="n"/>
      <c r="U368" s="87" t="n"/>
      <c r="V368" s="87" t="n"/>
      <c r="W368" s="87" t="n"/>
      <c r="X368" s="87" t="n"/>
      <c r="Y368" s="87" t="n"/>
      <c r="Z368" s="87" t="n"/>
    </row>
    <row r="369" ht="15.75" customHeight="1">
      <c r="A369" s="87" t="n"/>
      <c r="B369" s="87" t="n"/>
      <c r="C369" s="87" t="n"/>
      <c r="D369" s="87" t="n"/>
      <c r="E369" s="87" t="n"/>
      <c r="F369" s="87" t="n"/>
      <c r="G369" s="87" t="n"/>
      <c r="H369" s="87" t="n"/>
      <c r="I369" s="87" t="n"/>
      <c r="J369" s="87" t="n"/>
      <c r="K369" s="87" t="n"/>
      <c r="L369" s="87" t="n"/>
      <c r="M369" s="87" t="n"/>
      <c r="N369" s="87" t="n"/>
      <c r="O369" s="87" t="n"/>
      <c r="P369" s="87" t="n"/>
      <c r="Q369" s="87" t="n"/>
      <c r="R369" s="87" t="n"/>
      <c r="S369" s="87" t="n"/>
      <c r="T369" s="87" t="n"/>
      <c r="U369" s="87" t="n"/>
      <c r="V369" s="87" t="n"/>
      <c r="W369" s="87" t="n"/>
      <c r="X369" s="87" t="n"/>
      <c r="Y369" s="87" t="n"/>
      <c r="Z369" s="87" t="n"/>
    </row>
    <row r="370" ht="15.75" customHeight="1">
      <c r="A370" s="87" t="n"/>
      <c r="B370" s="87" t="n"/>
      <c r="C370" s="87" t="n"/>
      <c r="D370" s="87" t="n"/>
      <c r="E370" s="87" t="n"/>
      <c r="F370" s="87" t="n"/>
      <c r="G370" s="87" t="n"/>
      <c r="H370" s="87" t="n"/>
      <c r="I370" s="87" t="n"/>
      <c r="J370" s="87" t="n"/>
      <c r="K370" s="87" t="n"/>
      <c r="L370" s="87" t="n"/>
      <c r="M370" s="87" t="n"/>
      <c r="N370" s="87" t="n"/>
      <c r="O370" s="87" t="n"/>
      <c r="P370" s="87" t="n"/>
      <c r="Q370" s="87" t="n"/>
      <c r="R370" s="87" t="n"/>
      <c r="S370" s="87" t="n"/>
      <c r="T370" s="87" t="n"/>
      <c r="U370" s="87" t="n"/>
      <c r="V370" s="87" t="n"/>
      <c r="W370" s="87" t="n"/>
      <c r="X370" s="87" t="n"/>
      <c r="Y370" s="87" t="n"/>
      <c r="Z370" s="87" t="n"/>
    </row>
    <row r="371" ht="15.75" customHeight="1">
      <c r="A371" s="87" t="n"/>
      <c r="B371" s="87" t="n"/>
      <c r="C371" s="87" t="n"/>
      <c r="D371" s="87" t="n"/>
      <c r="E371" s="87" t="n"/>
      <c r="F371" s="87" t="n"/>
      <c r="G371" s="87" t="n"/>
      <c r="H371" s="87" t="n"/>
      <c r="I371" s="87" t="n"/>
      <c r="J371" s="87" t="n"/>
      <c r="K371" s="87" t="n"/>
      <c r="L371" s="87" t="n"/>
      <c r="M371" s="87" t="n"/>
      <c r="N371" s="87" t="n"/>
      <c r="O371" s="87" t="n"/>
      <c r="P371" s="87" t="n"/>
      <c r="Q371" s="87" t="n"/>
      <c r="R371" s="87" t="n"/>
      <c r="S371" s="87" t="n"/>
      <c r="T371" s="87" t="n"/>
      <c r="U371" s="87" t="n"/>
      <c r="V371" s="87" t="n"/>
      <c r="W371" s="87" t="n"/>
      <c r="X371" s="87" t="n"/>
      <c r="Y371" s="87" t="n"/>
      <c r="Z371" s="87" t="n"/>
    </row>
    <row r="372" ht="15.75" customHeight="1">
      <c r="A372" s="87" t="n"/>
      <c r="B372" s="87" t="n"/>
      <c r="C372" s="87" t="n"/>
      <c r="D372" s="87" t="n"/>
      <c r="E372" s="87" t="n"/>
      <c r="F372" s="87" t="n"/>
      <c r="G372" s="87" t="n"/>
      <c r="H372" s="87" t="n"/>
      <c r="I372" s="87" t="n"/>
      <c r="J372" s="87" t="n"/>
      <c r="K372" s="87" t="n"/>
      <c r="L372" s="87" t="n"/>
      <c r="M372" s="87" t="n"/>
      <c r="N372" s="87" t="n"/>
      <c r="O372" s="87" t="n"/>
      <c r="P372" s="87" t="n"/>
      <c r="Q372" s="87" t="n"/>
      <c r="R372" s="87" t="n"/>
      <c r="S372" s="87" t="n"/>
      <c r="T372" s="87" t="n"/>
      <c r="U372" s="87" t="n"/>
      <c r="V372" s="87" t="n"/>
      <c r="W372" s="87" t="n"/>
      <c r="X372" s="87" t="n"/>
      <c r="Y372" s="87" t="n"/>
      <c r="Z372" s="87" t="n"/>
    </row>
    <row r="373" ht="15.75" customHeight="1">
      <c r="A373" s="87" t="n"/>
      <c r="B373" s="87" t="n"/>
      <c r="C373" s="87" t="n"/>
      <c r="D373" s="87" t="n"/>
      <c r="E373" s="87" t="n"/>
      <c r="F373" s="87" t="n"/>
      <c r="G373" s="87" t="n"/>
      <c r="H373" s="87" t="n"/>
      <c r="I373" s="87" t="n"/>
      <c r="J373" s="87" t="n"/>
      <c r="K373" s="87" t="n"/>
      <c r="L373" s="87" t="n"/>
      <c r="M373" s="87" t="n"/>
      <c r="N373" s="87" t="n"/>
      <c r="O373" s="87" t="n"/>
      <c r="P373" s="87" t="n"/>
      <c r="Q373" s="87" t="n"/>
      <c r="R373" s="87" t="n"/>
      <c r="S373" s="87" t="n"/>
      <c r="T373" s="87" t="n"/>
      <c r="U373" s="87" t="n"/>
      <c r="V373" s="87" t="n"/>
      <c r="W373" s="87" t="n"/>
      <c r="X373" s="87" t="n"/>
      <c r="Y373" s="87" t="n"/>
      <c r="Z373" s="87" t="n"/>
    </row>
    <row r="374" ht="15.75" customHeight="1">
      <c r="A374" s="87" t="n"/>
      <c r="B374" s="87" t="n"/>
      <c r="C374" s="87" t="n"/>
      <c r="D374" s="87" t="n"/>
      <c r="E374" s="87" t="n"/>
      <c r="F374" s="87" t="n"/>
      <c r="G374" s="87" t="n"/>
      <c r="H374" s="87" t="n"/>
      <c r="I374" s="87" t="n"/>
      <c r="J374" s="87" t="n"/>
      <c r="K374" s="87" t="n"/>
      <c r="L374" s="87" t="n"/>
      <c r="M374" s="87" t="n"/>
      <c r="N374" s="87" t="n"/>
      <c r="O374" s="87" t="n"/>
      <c r="P374" s="87" t="n"/>
      <c r="Q374" s="87" t="n"/>
      <c r="R374" s="87" t="n"/>
      <c r="S374" s="87" t="n"/>
      <c r="T374" s="87" t="n"/>
      <c r="U374" s="87" t="n"/>
      <c r="V374" s="87" t="n"/>
      <c r="W374" s="87" t="n"/>
      <c r="X374" s="87" t="n"/>
      <c r="Y374" s="87" t="n"/>
      <c r="Z374" s="87" t="n"/>
    </row>
    <row r="375" ht="15.75" customHeight="1">
      <c r="A375" s="87" t="n"/>
      <c r="B375" s="87" t="n"/>
      <c r="C375" s="87" t="n"/>
      <c r="D375" s="87" t="n"/>
      <c r="E375" s="87" t="n"/>
      <c r="F375" s="87" t="n"/>
      <c r="G375" s="87" t="n"/>
      <c r="H375" s="87" t="n"/>
      <c r="I375" s="87" t="n"/>
      <c r="J375" s="87" t="n"/>
      <c r="K375" s="87" t="n"/>
      <c r="L375" s="87" t="n"/>
      <c r="M375" s="87" t="n"/>
      <c r="N375" s="87" t="n"/>
      <c r="O375" s="87" t="n"/>
      <c r="P375" s="87" t="n"/>
      <c r="Q375" s="87" t="n"/>
      <c r="R375" s="87" t="n"/>
      <c r="S375" s="87" t="n"/>
      <c r="T375" s="87" t="n"/>
      <c r="U375" s="87" t="n"/>
      <c r="V375" s="87" t="n"/>
      <c r="W375" s="87" t="n"/>
      <c r="X375" s="87" t="n"/>
      <c r="Y375" s="87" t="n"/>
      <c r="Z375" s="87" t="n"/>
    </row>
    <row r="376" ht="15.75" customHeight="1">
      <c r="A376" s="87" t="n"/>
      <c r="B376" s="87" t="n"/>
      <c r="C376" s="87" t="n"/>
      <c r="D376" s="87" t="n"/>
      <c r="E376" s="87" t="n"/>
      <c r="F376" s="87" t="n"/>
      <c r="G376" s="87" t="n"/>
      <c r="H376" s="87" t="n"/>
      <c r="I376" s="87" t="n"/>
      <c r="J376" s="87" t="n"/>
      <c r="K376" s="87" t="n"/>
      <c r="L376" s="87" t="n"/>
      <c r="M376" s="87" t="n"/>
      <c r="N376" s="87" t="n"/>
      <c r="O376" s="87" t="n"/>
      <c r="P376" s="87" t="n"/>
      <c r="Q376" s="87" t="n"/>
      <c r="R376" s="87" t="n"/>
      <c r="S376" s="87" t="n"/>
      <c r="T376" s="87" t="n"/>
      <c r="U376" s="87" t="n"/>
      <c r="V376" s="87" t="n"/>
      <c r="W376" s="87" t="n"/>
      <c r="X376" s="87" t="n"/>
      <c r="Y376" s="87" t="n"/>
      <c r="Z376" s="87" t="n"/>
    </row>
    <row r="377" ht="15.75" customHeight="1">
      <c r="A377" s="87" t="n"/>
      <c r="B377" s="87" t="n"/>
      <c r="C377" s="87" t="n"/>
      <c r="D377" s="87" t="n"/>
      <c r="E377" s="87" t="n"/>
      <c r="F377" s="87" t="n"/>
      <c r="G377" s="87" t="n"/>
      <c r="H377" s="87" t="n"/>
      <c r="I377" s="87" t="n"/>
      <c r="J377" s="87" t="n"/>
      <c r="K377" s="87" t="n"/>
      <c r="L377" s="87" t="n"/>
      <c r="M377" s="87" t="n"/>
      <c r="N377" s="87" t="n"/>
      <c r="O377" s="87" t="n"/>
      <c r="P377" s="87" t="n"/>
      <c r="Q377" s="87" t="n"/>
      <c r="R377" s="87" t="n"/>
      <c r="S377" s="87" t="n"/>
      <c r="T377" s="87" t="n"/>
      <c r="U377" s="87" t="n"/>
      <c r="V377" s="87" t="n"/>
      <c r="W377" s="87" t="n"/>
      <c r="X377" s="87" t="n"/>
      <c r="Y377" s="87" t="n"/>
      <c r="Z377" s="87" t="n"/>
    </row>
    <row r="378" ht="15.75" customHeight="1">
      <c r="A378" s="87" t="n"/>
      <c r="B378" s="87" t="n"/>
      <c r="C378" s="87" t="n"/>
      <c r="D378" s="87" t="n"/>
      <c r="E378" s="87" t="n"/>
      <c r="F378" s="87" t="n"/>
      <c r="G378" s="87" t="n"/>
      <c r="H378" s="87" t="n"/>
      <c r="I378" s="87" t="n"/>
      <c r="J378" s="87" t="n"/>
      <c r="K378" s="87" t="n"/>
      <c r="L378" s="87" t="n"/>
      <c r="M378" s="87" t="n"/>
      <c r="N378" s="87" t="n"/>
      <c r="O378" s="87" t="n"/>
      <c r="P378" s="87" t="n"/>
      <c r="Q378" s="87" t="n"/>
      <c r="R378" s="87" t="n"/>
      <c r="S378" s="87" t="n"/>
      <c r="T378" s="87" t="n"/>
      <c r="U378" s="87" t="n"/>
      <c r="V378" s="87" t="n"/>
      <c r="W378" s="87" t="n"/>
      <c r="X378" s="87" t="n"/>
      <c r="Y378" s="87" t="n"/>
      <c r="Z378" s="87" t="n"/>
    </row>
    <row r="379" ht="15.75" customHeight="1">
      <c r="A379" s="87" t="n"/>
      <c r="B379" s="87" t="n"/>
      <c r="C379" s="87" t="n"/>
      <c r="D379" s="87" t="n"/>
      <c r="E379" s="87" t="n"/>
      <c r="F379" s="87" t="n"/>
      <c r="G379" s="87" t="n"/>
      <c r="H379" s="87" t="n"/>
      <c r="I379" s="87" t="n"/>
      <c r="J379" s="87" t="n"/>
      <c r="K379" s="87" t="n"/>
      <c r="L379" s="87" t="n"/>
      <c r="M379" s="87" t="n"/>
      <c r="N379" s="87" t="n"/>
      <c r="O379" s="87" t="n"/>
      <c r="P379" s="87" t="n"/>
      <c r="Q379" s="87" t="n"/>
      <c r="R379" s="87" t="n"/>
      <c r="S379" s="87" t="n"/>
      <c r="T379" s="87" t="n"/>
      <c r="U379" s="87" t="n"/>
      <c r="V379" s="87" t="n"/>
      <c r="W379" s="87" t="n"/>
      <c r="X379" s="87" t="n"/>
      <c r="Y379" s="87" t="n"/>
      <c r="Z379" s="87" t="n"/>
    </row>
    <row r="380" ht="15.75" customHeight="1">
      <c r="A380" s="87" t="n"/>
      <c r="B380" s="87" t="n"/>
      <c r="C380" s="87" t="n"/>
      <c r="D380" s="87" t="n"/>
      <c r="E380" s="87" t="n"/>
      <c r="F380" s="87" t="n"/>
      <c r="G380" s="87" t="n"/>
      <c r="H380" s="87" t="n"/>
      <c r="I380" s="87" t="n"/>
      <c r="J380" s="87" t="n"/>
      <c r="K380" s="87" t="n"/>
      <c r="L380" s="87" t="n"/>
      <c r="M380" s="87" t="n"/>
      <c r="N380" s="87" t="n"/>
      <c r="O380" s="87" t="n"/>
      <c r="P380" s="87" t="n"/>
      <c r="Q380" s="87" t="n"/>
      <c r="R380" s="87" t="n"/>
      <c r="S380" s="87" t="n"/>
      <c r="T380" s="87" t="n"/>
      <c r="U380" s="87" t="n"/>
      <c r="V380" s="87" t="n"/>
      <c r="W380" s="87" t="n"/>
      <c r="X380" s="87" t="n"/>
      <c r="Y380" s="87" t="n"/>
      <c r="Z380" s="87" t="n"/>
    </row>
    <row r="381" ht="15.75" customHeight="1">
      <c r="A381" s="87" t="n"/>
      <c r="B381" s="87" t="n"/>
      <c r="C381" s="87" t="n"/>
      <c r="D381" s="87" t="n"/>
      <c r="E381" s="87" t="n"/>
      <c r="F381" s="87" t="n"/>
      <c r="G381" s="87" t="n"/>
      <c r="H381" s="87" t="n"/>
      <c r="I381" s="87" t="n"/>
      <c r="J381" s="87" t="n"/>
      <c r="K381" s="87" t="n"/>
      <c r="L381" s="87" t="n"/>
      <c r="M381" s="87" t="n"/>
      <c r="N381" s="87" t="n"/>
      <c r="O381" s="87" t="n"/>
      <c r="P381" s="87" t="n"/>
      <c r="Q381" s="87" t="n"/>
      <c r="R381" s="87" t="n"/>
      <c r="S381" s="87" t="n"/>
      <c r="T381" s="87" t="n"/>
      <c r="U381" s="87" t="n"/>
      <c r="V381" s="87" t="n"/>
      <c r="W381" s="87" t="n"/>
      <c r="X381" s="87" t="n"/>
      <c r="Y381" s="87" t="n"/>
      <c r="Z381" s="87" t="n"/>
    </row>
    <row r="382" ht="15.75" customHeight="1">
      <c r="A382" s="87" t="n"/>
      <c r="B382" s="87" t="n"/>
      <c r="C382" s="87" t="n"/>
      <c r="D382" s="87" t="n"/>
      <c r="E382" s="87" t="n"/>
      <c r="F382" s="87" t="n"/>
      <c r="G382" s="87" t="n"/>
      <c r="H382" s="87" t="n"/>
      <c r="I382" s="87" t="n"/>
      <c r="J382" s="87" t="n"/>
      <c r="K382" s="87" t="n"/>
      <c r="L382" s="87" t="n"/>
      <c r="M382" s="87" t="n"/>
      <c r="N382" s="87" t="n"/>
      <c r="O382" s="87" t="n"/>
      <c r="P382" s="87" t="n"/>
      <c r="Q382" s="87" t="n"/>
      <c r="R382" s="87" t="n"/>
      <c r="S382" s="87" t="n"/>
      <c r="T382" s="87" t="n"/>
      <c r="U382" s="87" t="n"/>
      <c r="V382" s="87" t="n"/>
      <c r="W382" s="87" t="n"/>
      <c r="X382" s="87" t="n"/>
      <c r="Y382" s="87" t="n"/>
      <c r="Z382" s="87" t="n"/>
    </row>
    <row r="383" ht="15.75" customHeight="1">
      <c r="A383" s="87" t="n"/>
      <c r="B383" s="87" t="n"/>
      <c r="C383" s="87" t="n"/>
      <c r="D383" s="87" t="n"/>
      <c r="E383" s="87" t="n"/>
      <c r="F383" s="87" t="n"/>
      <c r="G383" s="87" t="n"/>
      <c r="H383" s="87" t="n"/>
      <c r="I383" s="87" t="n"/>
      <c r="J383" s="87" t="n"/>
      <c r="K383" s="87" t="n"/>
      <c r="L383" s="87" t="n"/>
      <c r="M383" s="87" t="n"/>
      <c r="N383" s="87" t="n"/>
      <c r="O383" s="87" t="n"/>
      <c r="P383" s="87" t="n"/>
      <c r="Q383" s="87" t="n"/>
      <c r="R383" s="87" t="n"/>
      <c r="S383" s="87" t="n"/>
      <c r="T383" s="87" t="n"/>
      <c r="U383" s="87" t="n"/>
      <c r="V383" s="87" t="n"/>
      <c r="W383" s="87" t="n"/>
      <c r="X383" s="87" t="n"/>
      <c r="Y383" s="87" t="n"/>
      <c r="Z383" s="87" t="n"/>
    </row>
    <row r="384" ht="15.75" customHeight="1">
      <c r="A384" s="87" t="n"/>
      <c r="B384" s="87" t="n"/>
      <c r="C384" s="87" t="n"/>
      <c r="D384" s="87" t="n"/>
      <c r="E384" s="87" t="n"/>
      <c r="F384" s="87" t="n"/>
      <c r="G384" s="87" t="n"/>
      <c r="H384" s="87" t="n"/>
      <c r="I384" s="87" t="n"/>
      <c r="J384" s="87" t="n"/>
      <c r="K384" s="87" t="n"/>
      <c r="L384" s="87" t="n"/>
      <c r="M384" s="87" t="n"/>
      <c r="N384" s="87" t="n"/>
      <c r="O384" s="87" t="n"/>
      <c r="P384" s="87" t="n"/>
      <c r="Q384" s="87" t="n"/>
      <c r="R384" s="87" t="n"/>
      <c r="S384" s="87" t="n"/>
      <c r="T384" s="87" t="n"/>
      <c r="U384" s="87" t="n"/>
      <c r="V384" s="87" t="n"/>
      <c r="W384" s="87" t="n"/>
      <c r="X384" s="87" t="n"/>
      <c r="Y384" s="87" t="n"/>
      <c r="Z384" s="87" t="n"/>
    </row>
    <row r="385" ht="15.75" customHeight="1">
      <c r="A385" s="87" t="n"/>
      <c r="B385" s="87" t="n"/>
      <c r="C385" s="87" t="n"/>
      <c r="D385" s="87" t="n"/>
      <c r="E385" s="87" t="n"/>
      <c r="F385" s="87" t="n"/>
      <c r="G385" s="87" t="n"/>
      <c r="H385" s="87" t="n"/>
      <c r="I385" s="87" t="n"/>
      <c r="J385" s="87" t="n"/>
      <c r="K385" s="87" t="n"/>
      <c r="L385" s="87" t="n"/>
      <c r="M385" s="87" t="n"/>
      <c r="N385" s="87" t="n"/>
      <c r="O385" s="87" t="n"/>
      <c r="P385" s="87" t="n"/>
      <c r="Q385" s="87" t="n"/>
      <c r="R385" s="87" t="n"/>
      <c r="S385" s="87" t="n"/>
      <c r="T385" s="87" t="n"/>
      <c r="U385" s="87" t="n"/>
      <c r="V385" s="87" t="n"/>
      <c r="W385" s="87" t="n"/>
      <c r="X385" s="87" t="n"/>
      <c r="Y385" s="87" t="n"/>
      <c r="Z385" s="87" t="n"/>
    </row>
    <row r="386" ht="15.75" customHeight="1">
      <c r="A386" s="87" t="n"/>
      <c r="B386" s="87" t="n"/>
      <c r="C386" s="87" t="n"/>
      <c r="D386" s="87" t="n"/>
      <c r="E386" s="87" t="n"/>
      <c r="F386" s="87" t="n"/>
      <c r="G386" s="87" t="n"/>
      <c r="H386" s="87" t="n"/>
      <c r="I386" s="87" t="n"/>
      <c r="J386" s="87" t="n"/>
      <c r="K386" s="87" t="n"/>
      <c r="L386" s="87" t="n"/>
      <c r="M386" s="87" t="n"/>
      <c r="N386" s="87" t="n"/>
      <c r="O386" s="87" t="n"/>
      <c r="P386" s="87" t="n"/>
      <c r="Q386" s="87" t="n"/>
      <c r="R386" s="87" t="n"/>
      <c r="S386" s="87" t="n"/>
      <c r="T386" s="87" t="n"/>
      <c r="U386" s="87" t="n"/>
      <c r="V386" s="87" t="n"/>
      <c r="W386" s="87" t="n"/>
      <c r="X386" s="87" t="n"/>
      <c r="Y386" s="87" t="n"/>
      <c r="Z386" s="87" t="n"/>
    </row>
    <row r="387" ht="15.75" customHeight="1">
      <c r="A387" s="87" t="n"/>
      <c r="B387" s="87" t="n"/>
      <c r="C387" s="87" t="n"/>
      <c r="D387" s="87" t="n"/>
      <c r="E387" s="87" t="n"/>
      <c r="F387" s="87" t="n"/>
      <c r="G387" s="87" t="n"/>
      <c r="H387" s="87" t="n"/>
      <c r="I387" s="87" t="n"/>
      <c r="J387" s="87" t="n"/>
      <c r="K387" s="87" t="n"/>
      <c r="L387" s="87" t="n"/>
      <c r="M387" s="87" t="n"/>
      <c r="N387" s="87" t="n"/>
      <c r="O387" s="87" t="n"/>
      <c r="P387" s="87" t="n"/>
      <c r="Q387" s="87" t="n"/>
      <c r="R387" s="87" t="n"/>
      <c r="S387" s="87" t="n"/>
      <c r="T387" s="87" t="n"/>
      <c r="U387" s="87" t="n"/>
      <c r="V387" s="87" t="n"/>
      <c r="W387" s="87" t="n"/>
      <c r="X387" s="87" t="n"/>
      <c r="Y387" s="87" t="n"/>
      <c r="Z387" s="87" t="n"/>
    </row>
    <row r="388" ht="15.75" customHeight="1">
      <c r="A388" s="87" t="n"/>
      <c r="B388" s="87" t="n"/>
      <c r="C388" s="87" t="n"/>
      <c r="D388" s="87" t="n"/>
      <c r="E388" s="87" t="n"/>
      <c r="F388" s="87" t="n"/>
      <c r="G388" s="87" t="n"/>
      <c r="H388" s="87" t="n"/>
      <c r="I388" s="87" t="n"/>
      <c r="J388" s="87" t="n"/>
      <c r="K388" s="87" t="n"/>
      <c r="L388" s="87" t="n"/>
      <c r="M388" s="87" t="n"/>
      <c r="N388" s="87" t="n"/>
      <c r="O388" s="87" t="n"/>
      <c r="P388" s="87" t="n"/>
      <c r="Q388" s="87" t="n"/>
      <c r="R388" s="87" t="n"/>
      <c r="S388" s="87" t="n"/>
      <c r="T388" s="87" t="n"/>
      <c r="U388" s="87" t="n"/>
      <c r="V388" s="87" t="n"/>
      <c r="W388" s="87" t="n"/>
      <c r="X388" s="87" t="n"/>
      <c r="Y388" s="87" t="n"/>
      <c r="Z388" s="87" t="n"/>
    </row>
    <row r="389" ht="15.75" customHeight="1">
      <c r="A389" s="87" t="n"/>
      <c r="B389" s="87" t="n"/>
      <c r="C389" s="87" t="n"/>
      <c r="D389" s="87" t="n"/>
      <c r="E389" s="87" t="n"/>
      <c r="F389" s="87" t="n"/>
      <c r="G389" s="87" t="n"/>
      <c r="H389" s="87" t="n"/>
      <c r="I389" s="87" t="n"/>
      <c r="J389" s="87" t="n"/>
      <c r="K389" s="87" t="n"/>
      <c r="L389" s="87" t="n"/>
      <c r="M389" s="87" t="n"/>
      <c r="N389" s="87" t="n"/>
      <c r="O389" s="87" t="n"/>
      <c r="P389" s="87" t="n"/>
      <c r="Q389" s="87" t="n"/>
      <c r="R389" s="87" t="n"/>
      <c r="S389" s="87" t="n"/>
      <c r="T389" s="87" t="n"/>
      <c r="U389" s="87" t="n"/>
      <c r="V389" s="87" t="n"/>
      <c r="W389" s="87" t="n"/>
      <c r="X389" s="87" t="n"/>
      <c r="Y389" s="87" t="n"/>
      <c r="Z389" s="87" t="n"/>
    </row>
    <row r="390" ht="15.75" customHeight="1">
      <c r="A390" s="87" t="n"/>
      <c r="B390" s="87" t="n"/>
      <c r="C390" s="87" t="n"/>
      <c r="D390" s="87" t="n"/>
      <c r="E390" s="87" t="n"/>
      <c r="F390" s="87" t="n"/>
      <c r="G390" s="87" t="n"/>
      <c r="H390" s="87" t="n"/>
      <c r="I390" s="87" t="n"/>
      <c r="J390" s="87" t="n"/>
      <c r="K390" s="87" t="n"/>
      <c r="L390" s="87" t="n"/>
      <c r="M390" s="87" t="n"/>
      <c r="N390" s="87" t="n"/>
      <c r="O390" s="87" t="n"/>
      <c r="P390" s="87" t="n"/>
      <c r="Q390" s="87" t="n"/>
      <c r="R390" s="87" t="n"/>
      <c r="S390" s="87" t="n"/>
      <c r="T390" s="87" t="n"/>
      <c r="U390" s="87" t="n"/>
      <c r="V390" s="87" t="n"/>
      <c r="W390" s="87" t="n"/>
      <c r="X390" s="87" t="n"/>
      <c r="Y390" s="87" t="n"/>
      <c r="Z390" s="87" t="n"/>
    </row>
    <row r="391" ht="15.75" customHeight="1">
      <c r="A391" s="87" t="n"/>
      <c r="B391" s="87" t="n"/>
      <c r="C391" s="87" t="n"/>
      <c r="D391" s="87" t="n"/>
      <c r="E391" s="87" t="n"/>
      <c r="F391" s="87" t="n"/>
      <c r="G391" s="87" t="n"/>
      <c r="H391" s="87" t="n"/>
      <c r="I391" s="87" t="n"/>
      <c r="J391" s="87" t="n"/>
      <c r="K391" s="87" t="n"/>
      <c r="L391" s="87" t="n"/>
      <c r="M391" s="87" t="n"/>
      <c r="N391" s="87" t="n"/>
      <c r="O391" s="87" t="n"/>
      <c r="P391" s="87" t="n"/>
      <c r="Q391" s="87" t="n"/>
      <c r="R391" s="87" t="n"/>
      <c r="S391" s="87" t="n"/>
      <c r="T391" s="87" t="n"/>
      <c r="U391" s="87" t="n"/>
      <c r="V391" s="87" t="n"/>
      <c r="W391" s="87" t="n"/>
      <c r="X391" s="87" t="n"/>
      <c r="Y391" s="87" t="n"/>
      <c r="Z391" s="87" t="n"/>
    </row>
    <row r="392" ht="15.75" customHeight="1">
      <c r="A392" s="87" t="n"/>
      <c r="B392" s="87" t="n"/>
      <c r="C392" s="87" t="n"/>
      <c r="D392" s="87" t="n"/>
      <c r="E392" s="87" t="n"/>
      <c r="F392" s="87" t="n"/>
      <c r="G392" s="87" t="n"/>
      <c r="H392" s="87" t="n"/>
      <c r="I392" s="87" t="n"/>
      <c r="J392" s="87" t="n"/>
      <c r="K392" s="87" t="n"/>
      <c r="L392" s="87" t="n"/>
      <c r="M392" s="87" t="n"/>
      <c r="N392" s="87" t="n"/>
      <c r="O392" s="87" t="n"/>
      <c r="P392" s="87" t="n"/>
      <c r="Q392" s="87" t="n"/>
      <c r="R392" s="87" t="n"/>
      <c r="S392" s="87" t="n"/>
      <c r="T392" s="87" t="n"/>
      <c r="U392" s="87" t="n"/>
      <c r="V392" s="87" t="n"/>
      <c r="W392" s="87" t="n"/>
      <c r="X392" s="87" t="n"/>
      <c r="Y392" s="87" t="n"/>
      <c r="Z392" s="87" t="n"/>
    </row>
    <row r="393" ht="15.75" customHeight="1">
      <c r="A393" s="87" t="n"/>
      <c r="B393" s="87" t="n"/>
      <c r="C393" s="87" t="n"/>
      <c r="D393" s="87" t="n"/>
      <c r="E393" s="87" t="n"/>
      <c r="F393" s="87" t="n"/>
      <c r="G393" s="87" t="n"/>
      <c r="H393" s="87" t="n"/>
      <c r="I393" s="87" t="n"/>
      <c r="J393" s="87" t="n"/>
      <c r="K393" s="87" t="n"/>
      <c r="L393" s="87" t="n"/>
      <c r="M393" s="87" t="n"/>
      <c r="N393" s="87" t="n"/>
      <c r="O393" s="87" t="n"/>
      <c r="P393" s="87" t="n"/>
      <c r="Q393" s="87" t="n"/>
      <c r="R393" s="87" t="n"/>
      <c r="S393" s="87" t="n"/>
      <c r="T393" s="87" t="n"/>
      <c r="U393" s="87" t="n"/>
      <c r="V393" s="87" t="n"/>
      <c r="W393" s="87" t="n"/>
      <c r="X393" s="87" t="n"/>
      <c r="Y393" s="87" t="n"/>
      <c r="Z393" s="87" t="n"/>
    </row>
    <row r="394" ht="15.75" customHeight="1">
      <c r="A394" s="87" t="n"/>
      <c r="B394" s="87" t="n"/>
      <c r="C394" s="87" t="n"/>
      <c r="D394" s="87" t="n"/>
      <c r="E394" s="87" t="n"/>
      <c r="F394" s="87" t="n"/>
      <c r="G394" s="87" t="n"/>
      <c r="H394" s="87" t="n"/>
      <c r="I394" s="87" t="n"/>
      <c r="J394" s="87" t="n"/>
      <c r="K394" s="87" t="n"/>
      <c r="L394" s="87" t="n"/>
      <c r="M394" s="87" t="n"/>
      <c r="N394" s="87" t="n"/>
      <c r="O394" s="87" t="n"/>
      <c r="P394" s="87" t="n"/>
      <c r="Q394" s="87" t="n"/>
      <c r="R394" s="87" t="n"/>
      <c r="S394" s="87" t="n"/>
      <c r="T394" s="87" t="n"/>
      <c r="U394" s="87" t="n"/>
      <c r="V394" s="87" t="n"/>
      <c r="W394" s="87" t="n"/>
      <c r="X394" s="87" t="n"/>
      <c r="Y394" s="87" t="n"/>
      <c r="Z394" s="87" t="n"/>
    </row>
    <row r="395" ht="15.75" customHeight="1">
      <c r="A395" s="87" t="n"/>
      <c r="B395" s="87" t="n"/>
      <c r="C395" s="87" t="n"/>
      <c r="D395" s="87" t="n"/>
      <c r="E395" s="87" t="n"/>
      <c r="F395" s="87" t="n"/>
      <c r="G395" s="87" t="n"/>
      <c r="H395" s="87" t="n"/>
      <c r="I395" s="87" t="n"/>
      <c r="J395" s="87" t="n"/>
      <c r="K395" s="87" t="n"/>
      <c r="L395" s="87" t="n"/>
      <c r="M395" s="87" t="n"/>
      <c r="N395" s="87" t="n"/>
      <c r="O395" s="87" t="n"/>
      <c r="P395" s="87" t="n"/>
      <c r="Q395" s="87" t="n"/>
      <c r="R395" s="87" t="n"/>
      <c r="S395" s="87" t="n"/>
      <c r="T395" s="87" t="n"/>
      <c r="U395" s="87" t="n"/>
      <c r="V395" s="87" t="n"/>
      <c r="W395" s="87" t="n"/>
      <c r="X395" s="87" t="n"/>
      <c r="Y395" s="87" t="n"/>
      <c r="Z395" s="87" t="n"/>
    </row>
    <row r="396" ht="15.75" customHeight="1">
      <c r="A396" s="87" t="n"/>
      <c r="B396" s="87" t="n"/>
      <c r="C396" s="87" t="n"/>
      <c r="D396" s="87" t="n"/>
      <c r="E396" s="87" t="n"/>
      <c r="F396" s="87" t="n"/>
      <c r="G396" s="87" t="n"/>
      <c r="H396" s="87" t="n"/>
      <c r="I396" s="87" t="n"/>
      <c r="J396" s="87" t="n"/>
      <c r="K396" s="87" t="n"/>
      <c r="L396" s="87" t="n"/>
      <c r="M396" s="87" t="n"/>
      <c r="N396" s="87" t="n"/>
      <c r="O396" s="87" t="n"/>
      <c r="P396" s="87" t="n"/>
      <c r="Q396" s="87" t="n"/>
      <c r="R396" s="87" t="n"/>
      <c r="S396" s="87" t="n"/>
      <c r="T396" s="87" t="n"/>
      <c r="U396" s="87" t="n"/>
      <c r="V396" s="87" t="n"/>
      <c r="W396" s="87" t="n"/>
      <c r="X396" s="87" t="n"/>
      <c r="Y396" s="87" t="n"/>
      <c r="Z396" s="87" t="n"/>
    </row>
    <row r="397" ht="15.75" customHeight="1">
      <c r="A397" s="87" t="n"/>
      <c r="B397" s="87" t="n"/>
      <c r="C397" s="87" t="n"/>
      <c r="D397" s="87" t="n"/>
      <c r="E397" s="87" t="n"/>
      <c r="F397" s="87" t="n"/>
      <c r="G397" s="87" t="n"/>
      <c r="H397" s="87" t="n"/>
      <c r="I397" s="87" t="n"/>
      <c r="J397" s="87" t="n"/>
      <c r="K397" s="87" t="n"/>
      <c r="L397" s="87" t="n"/>
      <c r="M397" s="87" t="n"/>
      <c r="N397" s="87" t="n"/>
      <c r="O397" s="87" t="n"/>
      <c r="P397" s="87" t="n"/>
      <c r="Q397" s="87" t="n"/>
      <c r="R397" s="87" t="n"/>
      <c r="S397" s="87" t="n"/>
      <c r="T397" s="87" t="n"/>
      <c r="U397" s="87" t="n"/>
      <c r="V397" s="87" t="n"/>
      <c r="W397" s="87" t="n"/>
      <c r="X397" s="87" t="n"/>
      <c r="Y397" s="87" t="n"/>
      <c r="Z397" s="87" t="n"/>
    </row>
    <row r="398" ht="15.75" customHeight="1">
      <c r="A398" s="87" t="n"/>
      <c r="B398" s="87" t="n"/>
      <c r="C398" s="87" t="n"/>
      <c r="D398" s="87" t="n"/>
      <c r="E398" s="87" t="n"/>
      <c r="F398" s="87" t="n"/>
      <c r="G398" s="87" t="n"/>
      <c r="H398" s="87" t="n"/>
      <c r="I398" s="87" t="n"/>
      <c r="J398" s="87" t="n"/>
      <c r="K398" s="87" t="n"/>
      <c r="L398" s="87" t="n"/>
      <c r="M398" s="87" t="n"/>
      <c r="N398" s="87" t="n"/>
      <c r="O398" s="87" t="n"/>
      <c r="P398" s="87" t="n"/>
      <c r="Q398" s="87" t="n"/>
      <c r="R398" s="87" t="n"/>
      <c r="S398" s="87" t="n"/>
      <c r="T398" s="87" t="n"/>
      <c r="U398" s="87" t="n"/>
      <c r="V398" s="87" t="n"/>
      <c r="W398" s="87" t="n"/>
      <c r="X398" s="87" t="n"/>
      <c r="Y398" s="87" t="n"/>
      <c r="Z398" s="87" t="n"/>
    </row>
    <row r="399" ht="15.75" customHeight="1">
      <c r="A399" s="87" t="n"/>
      <c r="B399" s="87" t="n"/>
      <c r="C399" s="87" t="n"/>
      <c r="D399" s="87" t="n"/>
      <c r="E399" s="87" t="n"/>
      <c r="F399" s="87" t="n"/>
      <c r="G399" s="87" t="n"/>
      <c r="H399" s="87" t="n"/>
      <c r="I399" s="87" t="n"/>
      <c r="J399" s="87" t="n"/>
      <c r="K399" s="87" t="n"/>
      <c r="L399" s="87" t="n"/>
      <c r="M399" s="87" t="n"/>
      <c r="N399" s="87" t="n"/>
      <c r="O399" s="87" t="n"/>
      <c r="P399" s="87" t="n"/>
      <c r="Q399" s="87" t="n"/>
      <c r="R399" s="87" t="n"/>
      <c r="S399" s="87" t="n"/>
      <c r="T399" s="87" t="n"/>
      <c r="U399" s="87" t="n"/>
      <c r="V399" s="87" t="n"/>
      <c r="W399" s="87" t="n"/>
      <c r="X399" s="87" t="n"/>
      <c r="Y399" s="87" t="n"/>
      <c r="Z399" s="87" t="n"/>
    </row>
    <row r="400" ht="15.75" customHeight="1">
      <c r="A400" s="87" t="n"/>
      <c r="B400" s="87" t="n"/>
      <c r="C400" s="87" t="n"/>
      <c r="D400" s="87" t="n"/>
      <c r="E400" s="87" t="n"/>
      <c r="F400" s="87" t="n"/>
      <c r="G400" s="87" t="n"/>
      <c r="H400" s="87" t="n"/>
      <c r="I400" s="87" t="n"/>
      <c r="J400" s="87" t="n"/>
      <c r="K400" s="87" t="n"/>
      <c r="L400" s="87" t="n"/>
      <c r="M400" s="87" t="n"/>
      <c r="N400" s="87" t="n"/>
      <c r="O400" s="87" t="n"/>
      <c r="P400" s="87" t="n"/>
      <c r="Q400" s="87" t="n"/>
      <c r="R400" s="87" t="n"/>
      <c r="S400" s="87" t="n"/>
      <c r="T400" s="87" t="n"/>
      <c r="U400" s="87" t="n"/>
      <c r="V400" s="87" t="n"/>
      <c r="W400" s="87" t="n"/>
      <c r="X400" s="87" t="n"/>
      <c r="Y400" s="87" t="n"/>
      <c r="Z400" s="87" t="n"/>
    </row>
    <row r="401" ht="15.75" customHeight="1">
      <c r="A401" s="87" t="n"/>
      <c r="B401" s="87" t="n"/>
      <c r="C401" s="87" t="n"/>
      <c r="D401" s="87" t="n"/>
      <c r="E401" s="87" t="n"/>
      <c r="F401" s="87" t="n"/>
      <c r="G401" s="87" t="n"/>
      <c r="H401" s="87" t="n"/>
      <c r="I401" s="87" t="n"/>
      <c r="J401" s="87" t="n"/>
      <c r="K401" s="87" t="n"/>
      <c r="L401" s="87" t="n"/>
      <c r="M401" s="87" t="n"/>
      <c r="N401" s="87" t="n"/>
      <c r="O401" s="87" t="n"/>
      <c r="P401" s="87" t="n"/>
      <c r="Q401" s="87" t="n"/>
      <c r="R401" s="87" t="n"/>
      <c r="S401" s="87" t="n"/>
      <c r="T401" s="87" t="n"/>
      <c r="U401" s="87" t="n"/>
      <c r="V401" s="87" t="n"/>
      <c r="W401" s="87" t="n"/>
      <c r="X401" s="87" t="n"/>
      <c r="Y401" s="87" t="n"/>
      <c r="Z401" s="87" t="n"/>
    </row>
    <row r="402" ht="15.75" customHeight="1">
      <c r="A402" s="87" t="n"/>
      <c r="B402" s="87" t="n"/>
      <c r="C402" s="87" t="n"/>
      <c r="D402" s="87" t="n"/>
      <c r="E402" s="87" t="n"/>
      <c r="F402" s="87" t="n"/>
      <c r="G402" s="87" t="n"/>
      <c r="H402" s="87" t="n"/>
      <c r="I402" s="87" t="n"/>
      <c r="J402" s="87" t="n"/>
      <c r="K402" s="87" t="n"/>
      <c r="L402" s="87" t="n"/>
      <c r="M402" s="87" t="n"/>
      <c r="N402" s="87" t="n"/>
      <c r="O402" s="87" t="n"/>
      <c r="P402" s="87" t="n"/>
      <c r="Q402" s="87" t="n"/>
      <c r="R402" s="87" t="n"/>
      <c r="S402" s="87" t="n"/>
      <c r="T402" s="87" t="n"/>
      <c r="U402" s="87" t="n"/>
      <c r="V402" s="87" t="n"/>
      <c r="W402" s="87" t="n"/>
      <c r="X402" s="87" t="n"/>
      <c r="Y402" s="87" t="n"/>
      <c r="Z402" s="87" t="n"/>
    </row>
    <row r="403" ht="15.75" customHeight="1">
      <c r="A403" s="87" t="n"/>
      <c r="B403" s="87" t="n"/>
      <c r="C403" s="87" t="n"/>
      <c r="D403" s="87" t="n"/>
      <c r="E403" s="87" t="n"/>
      <c r="F403" s="87" t="n"/>
      <c r="G403" s="87" t="n"/>
      <c r="H403" s="87" t="n"/>
      <c r="I403" s="87" t="n"/>
      <c r="J403" s="87" t="n"/>
      <c r="K403" s="87" t="n"/>
      <c r="L403" s="87" t="n"/>
      <c r="M403" s="87" t="n"/>
      <c r="N403" s="87" t="n"/>
      <c r="O403" s="87" t="n"/>
      <c r="P403" s="87" t="n"/>
      <c r="Q403" s="87" t="n"/>
      <c r="R403" s="87" t="n"/>
      <c r="S403" s="87" t="n"/>
      <c r="T403" s="87" t="n"/>
      <c r="U403" s="87" t="n"/>
      <c r="V403" s="87" t="n"/>
      <c r="W403" s="87" t="n"/>
      <c r="X403" s="87" t="n"/>
      <c r="Y403" s="87" t="n"/>
      <c r="Z403" s="87" t="n"/>
    </row>
    <row r="404" ht="15.75" customHeight="1">
      <c r="A404" s="87" t="n"/>
      <c r="B404" s="87" t="n"/>
      <c r="C404" s="87" t="n"/>
      <c r="D404" s="87" t="n"/>
      <c r="E404" s="87" t="n"/>
      <c r="F404" s="87" t="n"/>
      <c r="G404" s="87" t="n"/>
      <c r="H404" s="87" t="n"/>
      <c r="I404" s="87" t="n"/>
      <c r="J404" s="87" t="n"/>
      <c r="K404" s="87" t="n"/>
      <c r="L404" s="87" t="n"/>
      <c r="M404" s="87" t="n"/>
      <c r="N404" s="87" t="n"/>
      <c r="O404" s="87" t="n"/>
      <c r="P404" s="87" t="n"/>
      <c r="Q404" s="87" t="n"/>
      <c r="R404" s="87" t="n"/>
      <c r="S404" s="87" t="n"/>
      <c r="T404" s="87" t="n"/>
      <c r="U404" s="87" t="n"/>
      <c r="V404" s="87" t="n"/>
      <c r="W404" s="87" t="n"/>
      <c r="X404" s="87" t="n"/>
      <c r="Y404" s="87" t="n"/>
      <c r="Z404" s="87" t="n"/>
    </row>
    <row r="405" ht="15.75" customHeight="1">
      <c r="A405" s="87" t="n"/>
      <c r="B405" s="87" t="n"/>
      <c r="C405" s="87" t="n"/>
      <c r="D405" s="87" t="n"/>
      <c r="E405" s="87" t="n"/>
      <c r="F405" s="87" t="n"/>
      <c r="G405" s="87" t="n"/>
      <c r="H405" s="87" t="n"/>
      <c r="I405" s="87" t="n"/>
      <c r="J405" s="87" t="n"/>
      <c r="K405" s="87" t="n"/>
      <c r="L405" s="87" t="n"/>
      <c r="M405" s="87" t="n"/>
      <c r="N405" s="87" t="n"/>
      <c r="O405" s="87" t="n"/>
      <c r="P405" s="87" t="n"/>
      <c r="Q405" s="87" t="n"/>
      <c r="R405" s="87" t="n"/>
      <c r="S405" s="87" t="n"/>
      <c r="T405" s="87" t="n"/>
      <c r="U405" s="87" t="n"/>
      <c r="V405" s="87" t="n"/>
      <c r="W405" s="87" t="n"/>
      <c r="X405" s="87" t="n"/>
      <c r="Y405" s="87" t="n"/>
      <c r="Z405" s="87" t="n"/>
    </row>
    <row r="406" ht="15.75" customHeight="1">
      <c r="A406" s="87" t="n"/>
      <c r="B406" s="87" t="n"/>
      <c r="C406" s="87" t="n"/>
      <c r="D406" s="87" t="n"/>
      <c r="E406" s="87" t="n"/>
      <c r="F406" s="87" t="n"/>
      <c r="G406" s="87" t="n"/>
      <c r="H406" s="87" t="n"/>
      <c r="I406" s="87" t="n"/>
      <c r="J406" s="87" t="n"/>
      <c r="K406" s="87" t="n"/>
      <c r="L406" s="87" t="n"/>
      <c r="M406" s="87" t="n"/>
      <c r="N406" s="87" t="n"/>
      <c r="O406" s="87" t="n"/>
      <c r="P406" s="87" t="n"/>
      <c r="Q406" s="87" t="n"/>
      <c r="R406" s="87" t="n"/>
      <c r="S406" s="87" t="n"/>
      <c r="T406" s="87" t="n"/>
      <c r="U406" s="87" t="n"/>
      <c r="V406" s="87" t="n"/>
      <c r="W406" s="87" t="n"/>
      <c r="X406" s="87" t="n"/>
      <c r="Y406" s="87" t="n"/>
      <c r="Z406" s="87" t="n"/>
    </row>
    <row r="407" ht="15.75" customHeight="1">
      <c r="A407" s="87" t="n"/>
      <c r="B407" s="87" t="n"/>
      <c r="C407" s="87" t="n"/>
      <c r="D407" s="87" t="n"/>
      <c r="E407" s="87" t="n"/>
      <c r="F407" s="87" t="n"/>
      <c r="G407" s="87" t="n"/>
      <c r="H407" s="87" t="n"/>
      <c r="I407" s="87" t="n"/>
      <c r="J407" s="87" t="n"/>
      <c r="K407" s="87" t="n"/>
      <c r="L407" s="87" t="n"/>
      <c r="M407" s="87" t="n"/>
      <c r="N407" s="87" t="n"/>
      <c r="O407" s="87" t="n"/>
      <c r="P407" s="87" t="n"/>
      <c r="Q407" s="87" t="n"/>
      <c r="R407" s="87" t="n"/>
      <c r="S407" s="87" t="n"/>
      <c r="T407" s="87" t="n"/>
      <c r="U407" s="87" t="n"/>
      <c r="V407" s="87" t="n"/>
      <c r="W407" s="87" t="n"/>
      <c r="X407" s="87" t="n"/>
      <c r="Y407" s="87" t="n"/>
      <c r="Z407" s="87" t="n"/>
    </row>
    <row r="408" ht="15.75" customHeight="1">
      <c r="A408" s="87" t="n"/>
      <c r="B408" s="87" t="n"/>
      <c r="C408" s="87" t="n"/>
      <c r="D408" s="87" t="n"/>
      <c r="E408" s="87" t="n"/>
      <c r="F408" s="87" t="n"/>
      <c r="G408" s="87" t="n"/>
      <c r="H408" s="87" t="n"/>
      <c r="I408" s="87" t="n"/>
      <c r="J408" s="87" t="n"/>
      <c r="K408" s="87" t="n"/>
      <c r="L408" s="87" t="n"/>
      <c r="M408" s="87" t="n"/>
      <c r="N408" s="87" t="n"/>
      <c r="O408" s="87" t="n"/>
      <c r="P408" s="87" t="n"/>
      <c r="Q408" s="87" t="n"/>
      <c r="R408" s="87" t="n"/>
      <c r="S408" s="87" t="n"/>
      <c r="T408" s="87" t="n"/>
      <c r="U408" s="87" t="n"/>
      <c r="V408" s="87" t="n"/>
      <c r="W408" s="87" t="n"/>
      <c r="X408" s="87" t="n"/>
      <c r="Y408" s="87" t="n"/>
      <c r="Z408" s="87" t="n"/>
    </row>
    <row r="409" ht="15.75" customHeight="1">
      <c r="A409" s="87" t="n"/>
      <c r="B409" s="87" t="n"/>
      <c r="C409" s="87" t="n"/>
      <c r="D409" s="87" t="n"/>
      <c r="E409" s="87" t="n"/>
      <c r="F409" s="87" t="n"/>
      <c r="G409" s="87" t="n"/>
      <c r="H409" s="87" t="n"/>
      <c r="I409" s="87" t="n"/>
      <c r="J409" s="87" t="n"/>
      <c r="K409" s="87" t="n"/>
      <c r="L409" s="87" t="n"/>
      <c r="M409" s="87" t="n"/>
      <c r="N409" s="87" t="n"/>
      <c r="O409" s="87" t="n"/>
      <c r="P409" s="87" t="n"/>
      <c r="Q409" s="87" t="n"/>
      <c r="R409" s="87" t="n"/>
      <c r="S409" s="87" t="n"/>
      <c r="T409" s="87" t="n"/>
      <c r="U409" s="87" t="n"/>
      <c r="V409" s="87" t="n"/>
      <c r="W409" s="87" t="n"/>
      <c r="X409" s="87" t="n"/>
      <c r="Y409" s="87" t="n"/>
      <c r="Z409" s="87" t="n"/>
    </row>
    <row r="410" ht="15.75" customHeight="1">
      <c r="A410" s="87" t="n"/>
      <c r="B410" s="87" t="n"/>
      <c r="C410" s="87" t="n"/>
      <c r="D410" s="87" t="n"/>
      <c r="E410" s="87" t="n"/>
      <c r="F410" s="87" t="n"/>
      <c r="G410" s="87" t="n"/>
      <c r="H410" s="87" t="n"/>
      <c r="I410" s="87" t="n"/>
      <c r="J410" s="87" t="n"/>
      <c r="K410" s="87" t="n"/>
      <c r="L410" s="87" t="n"/>
      <c r="M410" s="87" t="n"/>
      <c r="N410" s="87" t="n"/>
      <c r="O410" s="87" t="n"/>
      <c r="P410" s="87" t="n"/>
      <c r="Q410" s="87" t="n"/>
      <c r="R410" s="87" t="n"/>
      <c r="S410" s="87" t="n"/>
      <c r="T410" s="87" t="n"/>
      <c r="U410" s="87" t="n"/>
      <c r="V410" s="87" t="n"/>
      <c r="W410" s="87" t="n"/>
      <c r="X410" s="87" t="n"/>
      <c r="Y410" s="87" t="n"/>
      <c r="Z410" s="87" t="n"/>
    </row>
    <row r="411" ht="15.75" customHeight="1">
      <c r="A411" s="87" t="n"/>
      <c r="B411" s="87" t="n"/>
      <c r="C411" s="87" t="n"/>
      <c r="D411" s="87" t="n"/>
      <c r="E411" s="87" t="n"/>
      <c r="F411" s="87" t="n"/>
      <c r="G411" s="87" t="n"/>
      <c r="H411" s="87" t="n"/>
      <c r="I411" s="87" t="n"/>
      <c r="J411" s="87" t="n"/>
      <c r="K411" s="87" t="n"/>
      <c r="L411" s="87" t="n"/>
      <c r="M411" s="87" t="n"/>
      <c r="N411" s="87" t="n"/>
      <c r="O411" s="87" t="n"/>
      <c r="P411" s="87" t="n"/>
      <c r="Q411" s="87" t="n"/>
      <c r="R411" s="87" t="n"/>
      <c r="S411" s="87" t="n"/>
      <c r="T411" s="87" t="n"/>
      <c r="U411" s="87" t="n"/>
      <c r="V411" s="87" t="n"/>
      <c r="W411" s="87" t="n"/>
      <c r="X411" s="87" t="n"/>
      <c r="Y411" s="87" t="n"/>
      <c r="Z411" s="87" t="n"/>
    </row>
    <row r="412" ht="15.75" customHeight="1">
      <c r="A412" s="87" t="n"/>
      <c r="B412" s="87" t="n"/>
      <c r="C412" s="87" t="n"/>
      <c r="D412" s="87" t="n"/>
      <c r="E412" s="87" t="n"/>
      <c r="F412" s="87" t="n"/>
      <c r="G412" s="87" t="n"/>
      <c r="H412" s="87" t="n"/>
      <c r="I412" s="87" t="n"/>
      <c r="J412" s="87" t="n"/>
      <c r="K412" s="87" t="n"/>
      <c r="L412" s="87" t="n"/>
      <c r="M412" s="87" t="n"/>
      <c r="N412" s="87" t="n"/>
      <c r="O412" s="87" t="n"/>
      <c r="P412" s="87" t="n"/>
      <c r="Q412" s="87" t="n"/>
      <c r="R412" s="87" t="n"/>
      <c r="S412" s="87" t="n"/>
      <c r="T412" s="87" t="n"/>
      <c r="U412" s="87" t="n"/>
      <c r="V412" s="87" t="n"/>
      <c r="W412" s="87" t="n"/>
      <c r="X412" s="87" t="n"/>
      <c r="Y412" s="87" t="n"/>
      <c r="Z412" s="87" t="n"/>
    </row>
    <row r="413" ht="15.75" customHeight="1">
      <c r="A413" s="87" t="n"/>
      <c r="B413" s="87" t="n"/>
      <c r="C413" s="87" t="n"/>
      <c r="D413" s="87" t="n"/>
      <c r="E413" s="87" t="n"/>
      <c r="F413" s="87" t="n"/>
      <c r="G413" s="87" t="n"/>
      <c r="H413" s="87" t="n"/>
      <c r="I413" s="87" t="n"/>
      <c r="J413" s="87" t="n"/>
      <c r="K413" s="87" t="n"/>
      <c r="L413" s="87" t="n"/>
      <c r="M413" s="87" t="n"/>
      <c r="N413" s="87" t="n"/>
      <c r="O413" s="87" t="n"/>
      <c r="P413" s="87" t="n"/>
      <c r="Q413" s="87" t="n"/>
      <c r="R413" s="87" t="n"/>
      <c r="S413" s="87" t="n"/>
      <c r="T413" s="87" t="n"/>
      <c r="U413" s="87" t="n"/>
      <c r="V413" s="87" t="n"/>
      <c r="W413" s="87" t="n"/>
      <c r="X413" s="87" t="n"/>
      <c r="Y413" s="87" t="n"/>
      <c r="Z413" s="87" t="n"/>
    </row>
    <row r="414" ht="15.75" customHeight="1">
      <c r="A414" s="87" t="n"/>
      <c r="B414" s="87" t="n"/>
      <c r="C414" s="87" t="n"/>
      <c r="D414" s="87" t="n"/>
      <c r="E414" s="87" t="n"/>
      <c r="F414" s="87" t="n"/>
      <c r="G414" s="87" t="n"/>
      <c r="H414" s="87" t="n"/>
      <c r="I414" s="87" t="n"/>
      <c r="J414" s="87" t="n"/>
      <c r="K414" s="87" t="n"/>
      <c r="L414" s="87" t="n"/>
      <c r="M414" s="87" t="n"/>
      <c r="N414" s="87" t="n"/>
      <c r="O414" s="87" t="n"/>
      <c r="P414" s="87" t="n"/>
      <c r="Q414" s="87" t="n"/>
      <c r="R414" s="87" t="n"/>
      <c r="S414" s="87" t="n"/>
      <c r="T414" s="87" t="n"/>
      <c r="U414" s="87" t="n"/>
      <c r="V414" s="87" t="n"/>
      <c r="W414" s="87" t="n"/>
      <c r="X414" s="87" t="n"/>
      <c r="Y414" s="87" t="n"/>
      <c r="Z414" s="87" t="n"/>
    </row>
    <row r="415" ht="15.75" customHeight="1">
      <c r="A415" s="87" t="n"/>
      <c r="B415" s="87" t="n"/>
      <c r="C415" s="87" t="n"/>
      <c r="D415" s="87" t="n"/>
      <c r="E415" s="87" t="n"/>
      <c r="F415" s="87" t="n"/>
      <c r="G415" s="87" t="n"/>
      <c r="H415" s="87" t="n"/>
      <c r="I415" s="87" t="n"/>
      <c r="J415" s="87" t="n"/>
      <c r="K415" s="87" t="n"/>
      <c r="L415" s="87" t="n"/>
      <c r="M415" s="87" t="n"/>
      <c r="N415" s="87" t="n"/>
      <c r="O415" s="87" t="n"/>
      <c r="P415" s="87" t="n"/>
      <c r="Q415" s="87" t="n"/>
      <c r="R415" s="87" t="n"/>
      <c r="S415" s="87" t="n"/>
      <c r="T415" s="87" t="n"/>
      <c r="U415" s="87" t="n"/>
      <c r="V415" s="87" t="n"/>
      <c r="W415" s="87" t="n"/>
      <c r="X415" s="87" t="n"/>
      <c r="Y415" s="87" t="n"/>
      <c r="Z415" s="87" t="n"/>
    </row>
    <row r="416" ht="15.75" customHeight="1">
      <c r="A416" s="87" t="n"/>
      <c r="B416" s="87" t="n"/>
      <c r="C416" s="87" t="n"/>
      <c r="D416" s="87" t="n"/>
      <c r="E416" s="87" t="n"/>
      <c r="F416" s="87" t="n"/>
      <c r="G416" s="87" t="n"/>
      <c r="H416" s="87" t="n"/>
      <c r="I416" s="87" t="n"/>
      <c r="J416" s="87" t="n"/>
      <c r="K416" s="87" t="n"/>
      <c r="L416" s="87" t="n"/>
      <c r="M416" s="87" t="n"/>
      <c r="N416" s="87" t="n"/>
      <c r="O416" s="87" t="n"/>
      <c r="P416" s="87" t="n"/>
      <c r="Q416" s="87" t="n"/>
      <c r="R416" s="87" t="n"/>
      <c r="S416" s="87" t="n"/>
      <c r="T416" s="87" t="n"/>
      <c r="U416" s="87" t="n"/>
      <c r="V416" s="87" t="n"/>
      <c r="W416" s="87" t="n"/>
      <c r="X416" s="87" t="n"/>
      <c r="Y416" s="87" t="n"/>
      <c r="Z416" s="87" t="n"/>
    </row>
    <row r="417" ht="15.75" customHeight="1">
      <c r="A417" s="87" t="n"/>
      <c r="B417" s="87" t="n"/>
      <c r="C417" s="87" t="n"/>
      <c r="D417" s="87" t="n"/>
      <c r="E417" s="87" t="n"/>
      <c r="F417" s="87" t="n"/>
      <c r="G417" s="87" t="n"/>
      <c r="H417" s="87" t="n"/>
      <c r="I417" s="87" t="n"/>
      <c r="J417" s="87" t="n"/>
      <c r="K417" s="87" t="n"/>
      <c r="L417" s="87" t="n"/>
      <c r="M417" s="87" t="n"/>
      <c r="N417" s="87" t="n"/>
      <c r="O417" s="87" t="n"/>
      <c r="P417" s="87" t="n"/>
      <c r="Q417" s="87" t="n"/>
      <c r="R417" s="87" t="n"/>
      <c r="S417" s="87" t="n"/>
      <c r="T417" s="87" t="n"/>
      <c r="U417" s="87" t="n"/>
      <c r="V417" s="87" t="n"/>
      <c r="W417" s="87" t="n"/>
      <c r="X417" s="87" t="n"/>
      <c r="Y417" s="87" t="n"/>
      <c r="Z417" s="87" t="n"/>
    </row>
    <row r="418" ht="15.75" customHeight="1">
      <c r="A418" s="87" t="n"/>
      <c r="B418" s="87" t="n"/>
      <c r="C418" s="87" t="n"/>
      <c r="D418" s="87" t="n"/>
      <c r="E418" s="87" t="n"/>
      <c r="F418" s="87" t="n"/>
      <c r="G418" s="87" t="n"/>
      <c r="H418" s="87" t="n"/>
      <c r="I418" s="87" t="n"/>
      <c r="J418" s="87" t="n"/>
      <c r="K418" s="87" t="n"/>
      <c r="L418" s="87" t="n"/>
      <c r="M418" s="87" t="n"/>
      <c r="N418" s="87" t="n"/>
      <c r="O418" s="87" t="n"/>
      <c r="P418" s="87" t="n"/>
      <c r="Q418" s="87" t="n"/>
      <c r="R418" s="87" t="n"/>
      <c r="S418" s="87" t="n"/>
      <c r="T418" s="87" t="n"/>
      <c r="U418" s="87" t="n"/>
      <c r="V418" s="87" t="n"/>
      <c r="W418" s="87" t="n"/>
      <c r="X418" s="87" t="n"/>
      <c r="Y418" s="87" t="n"/>
      <c r="Z418" s="87" t="n"/>
    </row>
    <row r="419" ht="15.75" customHeight="1">
      <c r="A419" s="87" t="n"/>
      <c r="B419" s="87" t="n"/>
      <c r="C419" s="87" t="n"/>
      <c r="D419" s="87" t="n"/>
      <c r="E419" s="87" t="n"/>
      <c r="F419" s="87" t="n"/>
      <c r="G419" s="87" t="n"/>
      <c r="H419" s="87" t="n"/>
      <c r="I419" s="87" t="n"/>
      <c r="J419" s="87" t="n"/>
      <c r="K419" s="87" t="n"/>
      <c r="L419" s="87" t="n"/>
      <c r="M419" s="87" t="n"/>
      <c r="N419" s="87" t="n"/>
      <c r="O419" s="87" t="n"/>
      <c r="P419" s="87" t="n"/>
      <c r="Q419" s="87" t="n"/>
      <c r="R419" s="87" t="n"/>
      <c r="S419" s="87" t="n"/>
      <c r="T419" s="87" t="n"/>
      <c r="U419" s="87" t="n"/>
      <c r="V419" s="87" t="n"/>
      <c r="W419" s="87" t="n"/>
      <c r="X419" s="87" t="n"/>
      <c r="Y419" s="87" t="n"/>
      <c r="Z419" s="87" t="n"/>
    </row>
    <row r="420" ht="15.75" customHeight="1">
      <c r="A420" s="87" t="n"/>
      <c r="B420" s="87" t="n"/>
      <c r="C420" s="87" t="n"/>
      <c r="D420" s="87" t="n"/>
      <c r="E420" s="87" t="n"/>
      <c r="F420" s="87" t="n"/>
      <c r="G420" s="87" t="n"/>
      <c r="H420" s="87" t="n"/>
      <c r="I420" s="87" t="n"/>
      <c r="J420" s="87" t="n"/>
      <c r="K420" s="87" t="n"/>
      <c r="L420" s="87" t="n"/>
      <c r="M420" s="87" t="n"/>
      <c r="N420" s="87" t="n"/>
      <c r="O420" s="87" t="n"/>
      <c r="P420" s="87" t="n"/>
      <c r="Q420" s="87" t="n"/>
      <c r="R420" s="87" t="n"/>
      <c r="S420" s="87" t="n"/>
      <c r="T420" s="87" t="n"/>
      <c r="U420" s="87" t="n"/>
      <c r="V420" s="87" t="n"/>
      <c r="W420" s="87" t="n"/>
      <c r="X420" s="87" t="n"/>
      <c r="Y420" s="87" t="n"/>
      <c r="Z420" s="87" t="n"/>
    </row>
    <row r="421" ht="15.75" customHeight="1">
      <c r="A421" s="87" t="n"/>
      <c r="B421" s="87" t="n"/>
      <c r="C421" s="87" t="n"/>
      <c r="D421" s="87" t="n"/>
      <c r="E421" s="87" t="n"/>
      <c r="F421" s="87" t="n"/>
      <c r="G421" s="87" t="n"/>
      <c r="H421" s="87" t="n"/>
      <c r="I421" s="87" t="n"/>
      <c r="J421" s="87" t="n"/>
      <c r="K421" s="87" t="n"/>
      <c r="L421" s="87" t="n"/>
      <c r="M421" s="87" t="n"/>
      <c r="N421" s="87" t="n"/>
      <c r="O421" s="87" t="n"/>
      <c r="P421" s="87" t="n"/>
      <c r="Q421" s="87" t="n"/>
      <c r="R421" s="87" t="n"/>
      <c r="S421" s="87" t="n"/>
      <c r="T421" s="87" t="n"/>
      <c r="U421" s="87" t="n"/>
      <c r="V421" s="87" t="n"/>
      <c r="W421" s="87" t="n"/>
      <c r="X421" s="87" t="n"/>
      <c r="Y421" s="87" t="n"/>
      <c r="Z421" s="87" t="n"/>
    </row>
    <row r="422" ht="15.75" customHeight="1">
      <c r="A422" s="87" t="n"/>
      <c r="B422" s="87" t="n"/>
      <c r="C422" s="87" t="n"/>
      <c r="D422" s="87" t="n"/>
      <c r="E422" s="87" t="n"/>
      <c r="F422" s="87" t="n"/>
      <c r="G422" s="87" t="n"/>
      <c r="H422" s="87" t="n"/>
      <c r="I422" s="87" t="n"/>
      <c r="J422" s="87" t="n"/>
      <c r="K422" s="87" t="n"/>
      <c r="L422" s="87" t="n"/>
      <c r="M422" s="87" t="n"/>
      <c r="N422" s="87" t="n"/>
      <c r="O422" s="87" t="n"/>
      <c r="P422" s="87" t="n"/>
      <c r="Q422" s="87" t="n"/>
      <c r="R422" s="87" t="n"/>
      <c r="S422" s="87" t="n"/>
      <c r="T422" s="87" t="n"/>
      <c r="U422" s="87" t="n"/>
      <c r="V422" s="87" t="n"/>
      <c r="W422" s="87" t="n"/>
      <c r="X422" s="87" t="n"/>
      <c r="Y422" s="87" t="n"/>
      <c r="Z422" s="87" t="n"/>
    </row>
    <row r="423" ht="15.75" customHeight="1">
      <c r="A423" s="87" t="n"/>
      <c r="B423" s="87" t="n"/>
      <c r="C423" s="87" t="n"/>
      <c r="D423" s="87" t="n"/>
      <c r="E423" s="87" t="n"/>
      <c r="F423" s="87" t="n"/>
      <c r="G423" s="87" t="n"/>
      <c r="H423" s="87" t="n"/>
      <c r="I423" s="87" t="n"/>
      <c r="J423" s="87" t="n"/>
      <c r="K423" s="87" t="n"/>
      <c r="L423" s="87" t="n"/>
      <c r="M423" s="87" t="n"/>
      <c r="N423" s="87" t="n"/>
      <c r="O423" s="87" t="n"/>
      <c r="P423" s="87" t="n"/>
      <c r="Q423" s="87" t="n"/>
      <c r="R423" s="87" t="n"/>
      <c r="S423" s="87" t="n"/>
      <c r="T423" s="87" t="n"/>
      <c r="U423" s="87" t="n"/>
      <c r="V423" s="87" t="n"/>
      <c r="W423" s="87" t="n"/>
      <c r="X423" s="87" t="n"/>
      <c r="Y423" s="87" t="n"/>
      <c r="Z423" s="87" t="n"/>
    </row>
    <row r="424" ht="15.75" customHeight="1">
      <c r="A424" s="87" t="n"/>
      <c r="B424" s="87" t="n"/>
      <c r="C424" s="87" t="n"/>
      <c r="D424" s="87" t="n"/>
      <c r="E424" s="87" t="n"/>
      <c r="F424" s="87" t="n"/>
      <c r="G424" s="87" t="n"/>
      <c r="H424" s="87" t="n"/>
      <c r="I424" s="87" t="n"/>
      <c r="J424" s="87" t="n"/>
      <c r="K424" s="87" t="n"/>
      <c r="L424" s="87" t="n"/>
      <c r="M424" s="87" t="n"/>
      <c r="N424" s="87" t="n"/>
      <c r="O424" s="87" t="n"/>
      <c r="P424" s="87" t="n"/>
      <c r="Q424" s="87" t="n"/>
      <c r="R424" s="87" t="n"/>
      <c r="S424" s="87" t="n"/>
      <c r="T424" s="87" t="n"/>
      <c r="U424" s="87" t="n"/>
      <c r="V424" s="87" t="n"/>
      <c r="W424" s="87" t="n"/>
      <c r="X424" s="87" t="n"/>
      <c r="Y424" s="87" t="n"/>
      <c r="Z424" s="87" t="n"/>
    </row>
    <row r="425" ht="15.75" customHeight="1">
      <c r="A425" s="87" t="n"/>
      <c r="B425" s="87" t="n"/>
      <c r="C425" s="87" t="n"/>
      <c r="D425" s="87" t="n"/>
      <c r="E425" s="87" t="n"/>
      <c r="F425" s="87" t="n"/>
      <c r="G425" s="87" t="n"/>
      <c r="H425" s="87" t="n"/>
      <c r="I425" s="87" t="n"/>
      <c r="J425" s="87" t="n"/>
      <c r="K425" s="87" t="n"/>
      <c r="L425" s="87" t="n"/>
      <c r="M425" s="87" t="n"/>
      <c r="N425" s="87" t="n"/>
      <c r="O425" s="87" t="n"/>
      <c r="P425" s="87" t="n"/>
      <c r="Q425" s="87" t="n"/>
      <c r="R425" s="87" t="n"/>
      <c r="S425" s="87" t="n"/>
      <c r="T425" s="87" t="n"/>
      <c r="U425" s="87" t="n"/>
      <c r="V425" s="87" t="n"/>
      <c r="W425" s="87" t="n"/>
      <c r="X425" s="87" t="n"/>
      <c r="Y425" s="87" t="n"/>
      <c r="Z425" s="87" t="n"/>
    </row>
    <row r="426" ht="15.75" customHeight="1">
      <c r="A426" s="87" t="n"/>
      <c r="B426" s="87" t="n"/>
      <c r="C426" s="87" t="n"/>
      <c r="D426" s="87" t="n"/>
      <c r="E426" s="87" t="n"/>
      <c r="F426" s="87" t="n"/>
      <c r="G426" s="87" t="n"/>
      <c r="H426" s="87" t="n"/>
      <c r="I426" s="87" t="n"/>
      <c r="J426" s="87" t="n"/>
      <c r="K426" s="87" t="n"/>
      <c r="L426" s="87" t="n"/>
      <c r="M426" s="87" t="n"/>
      <c r="N426" s="87" t="n"/>
      <c r="O426" s="87" t="n"/>
      <c r="P426" s="87" t="n"/>
      <c r="Q426" s="87" t="n"/>
      <c r="R426" s="87" t="n"/>
      <c r="S426" s="87" t="n"/>
      <c r="T426" s="87" t="n"/>
      <c r="U426" s="87" t="n"/>
      <c r="V426" s="87" t="n"/>
      <c r="W426" s="87" t="n"/>
      <c r="X426" s="87" t="n"/>
      <c r="Y426" s="87" t="n"/>
      <c r="Z426" s="87" t="n"/>
    </row>
    <row r="427" ht="15.75" customHeight="1">
      <c r="A427" s="87" t="n"/>
      <c r="B427" s="87" t="n"/>
      <c r="C427" s="87" t="n"/>
      <c r="D427" s="87" t="n"/>
      <c r="E427" s="87" t="n"/>
      <c r="F427" s="87" t="n"/>
      <c r="G427" s="87" t="n"/>
      <c r="H427" s="87" t="n"/>
      <c r="I427" s="87" t="n"/>
      <c r="J427" s="87" t="n"/>
      <c r="K427" s="87" t="n"/>
      <c r="L427" s="87" t="n"/>
      <c r="M427" s="87" t="n"/>
      <c r="N427" s="87" t="n"/>
      <c r="O427" s="87" t="n"/>
      <c r="P427" s="87" t="n"/>
      <c r="Q427" s="87" t="n"/>
      <c r="R427" s="87" t="n"/>
      <c r="S427" s="87" t="n"/>
      <c r="T427" s="87" t="n"/>
      <c r="U427" s="87" t="n"/>
      <c r="V427" s="87" t="n"/>
      <c r="W427" s="87" t="n"/>
      <c r="X427" s="87" t="n"/>
      <c r="Y427" s="87" t="n"/>
      <c r="Z427" s="87" t="n"/>
    </row>
    <row r="428" ht="15.75" customHeight="1">
      <c r="A428" s="87" t="n"/>
      <c r="B428" s="87" t="n"/>
      <c r="C428" s="87" t="n"/>
      <c r="D428" s="87" t="n"/>
      <c r="E428" s="87" t="n"/>
      <c r="F428" s="87" t="n"/>
      <c r="G428" s="87" t="n"/>
      <c r="H428" s="87" t="n"/>
      <c r="I428" s="87" t="n"/>
      <c r="J428" s="87" t="n"/>
      <c r="K428" s="87" t="n"/>
      <c r="L428" s="87" t="n"/>
      <c r="M428" s="87" t="n"/>
      <c r="N428" s="87" t="n"/>
      <c r="O428" s="87" t="n"/>
      <c r="P428" s="87" t="n"/>
      <c r="Q428" s="87" t="n"/>
      <c r="R428" s="87" t="n"/>
      <c r="S428" s="87" t="n"/>
      <c r="T428" s="87" t="n"/>
      <c r="U428" s="87" t="n"/>
      <c r="V428" s="87" t="n"/>
      <c r="W428" s="87" t="n"/>
      <c r="X428" s="87" t="n"/>
      <c r="Y428" s="87" t="n"/>
      <c r="Z428" s="87" t="n"/>
    </row>
    <row r="429" ht="15.75" customHeight="1">
      <c r="A429" s="87" t="n"/>
      <c r="B429" s="87" t="n"/>
      <c r="C429" s="87" t="n"/>
      <c r="D429" s="87" t="n"/>
      <c r="E429" s="87" t="n"/>
      <c r="F429" s="87" t="n"/>
      <c r="G429" s="87" t="n"/>
      <c r="H429" s="87" t="n"/>
      <c r="I429" s="87" t="n"/>
      <c r="J429" s="87" t="n"/>
      <c r="K429" s="87" t="n"/>
      <c r="L429" s="87" t="n"/>
      <c r="M429" s="87" t="n"/>
      <c r="N429" s="87" t="n"/>
      <c r="O429" s="87" t="n"/>
      <c r="P429" s="87" t="n"/>
      <c r="Q429" s="87" t="n"/>
      <c r="R429" s="87" t="n"/>
      <c r="S429" s="87" t="n"/>
      <c r="T429" s="87" t="n"/>
      <c r="U429" s="87" t="n"/>
      <c r="V429" s="87" t="n"/>
      <c r="W429" s="87" t="n"/>
      <c r="X429" s="87" t="n"/>
      <c r="Y429" s="87" t="n"/>
      <c r="Z429" s="87" t="n"/>
    </row>
    <row r="430" ht="15.75" customHeight="1">
      <c r="A430" s="87" t="n"/>
      <c r="B430" s="87" t="n"/>
      <c r="C430" s="87" t="n"/>
      <c r="D430" s="87" t="n"/>
      <c r="E430" s="87" t="n"/>
      <c r="F430" s="87" t="n"/>
      <c r="G430" s="87" t="n"/>
      <c r="H430" s="87" t="n"/>
      <c r="I430" s="87" t="n"/>
      <c r="J430" s="87" t="n"/>
      <c r="K430" s="87" t="n"/>
      <c r="L430" s="87" t="n"/>
      <c r="M430" s="87" t="n"/>
      <c r="N430" s="87" t="n"/>
      <c r="O430" s="87" t="n"/>
      <c r="P430" s="87" t="n"/>
      <c r="Q430" s="87" t="n"/>
      <c r="R430" s="87" t="n"/>
      <c r="S430" s="87" t="n"/>
      <c r="T430" s="87" t="n"/>
      <c r="U430" s="87" t="n"/>
      <c r="V430" s="87" t="n"/>
      <c r="W430" s="87" t="n"/>
      <c r="X430" s="87" t="n"/>
      <c r="Y430" s="87" t="n"/>
      <c r="Z430" s="87" t="n"/>
    </row>
    <row r="431" ht="15.75" customHeight="1">
      <c r="A431" s="87" t="n"/>
      <c r="B431" s="87" t="n"/>
      <c r="C431" s="87" t="n"/>
      <c r="D431" s="87" t="n"/>
      <c r="E431" s="87" t="n"/>
      <c r="F431" s="87" t="n"/>
      <c r="G431" s="87" t="n"/>
      <c r="H431" s="87" t="n"/>
      <c r="I431" s="87" t="n"/>
      <c r="J431" s="87" t="n"/>
      <c r="K431" s="87" t="n"/>
      <c r="L431" s="87" t="n"/>
      <c r="M431" s="87" t="n"/>
      <c r="N431" s="87" t="n"/>
      <c r="O431" s="87" t="n"/>
      <c r="P431" s="87" t="n"/>
      <c r="Q431" s="87" t="n"/>
      <c r="R431" s="87" t="n"/>
      <c r="S431" s="87" t="n"/>
      <c r="T431" s="87" t="n"/>
      <c r="U431" s="87" t="n"/>
      <c r="V431" s="87" t="n"/>
      <c r="W431" s="87" t="n"/>
      <c r="X431" s="87" t="n"/>
      <c r="Y431" s="87" t="n"/>
      <c r="Z431" s="87" t="n"/>
    </row>
    <row r="432" ht="15.75" customHeight="1">
      <c r="A432" s="87" t="n"/>
      <c r="B432" s="87" t="n"/>
      <c r="C432" s="87" t="n"/>
      <c r="D432" s="87" t="n"/>
      <c r="E432" s="87" t="n"/>
      <c r="F432" s="87" t="n"/>
      <c r="G432" s="87" t="n"/>
      <c r="H432" s="87" t="n"/>
      <c r="I432" s="87" t="n"/>
      <c r="J432" s="87" t="n"/>
      <c r="K432" s="87" t="n"/>
      <c r="L432" s="87" t="n"/>
      <c r="M432" s="87" t="n"/>
      <c r="N432" s="87" t="n"/>
      <c r="O432" s="87" t="n"/>
      <c r="P432" s="87" t="n"/>
      <c r="Q432" s="87" t="n"/>
      <c r="R432" s="87" t="n"/>
      <c r="S432" s="87" t="n"/>
      <c r="T432" s="87" t="n"/>
      <c r="U432" s="87" t="n"/>
      <c r="V432" s="87" t="n"/>
      <c r="W432" s="87" t="n"/>
      <c r="X432" s="87" t="n"/>
      <c r="Y432" s="87" t="n"/>
      <c r="Z432" s="87" t="n"/>
    </row>
    <row r="433" ht="15.75" customHeight="1">
      <c r="A433" s="87" t="n"/>
      <c r="B433" s="87" t="n"/>
      <c r="C433" s="87" t="n"/>
      <c r="D433" s="87" t="n"/>
      <c r="E433" s="87" t="n"/>
      <c r="F433" s="87" t="n"/>
      <c r="G433" s="87" t="n"/>
      <c r="H433" s="87" t="n"/>
      <c r="I433" s="87" t="n"/>
      <c r="J433" s="87" t="n"/>
      <c r="K433" s="87" t="n"/>
      <c r="L433" s="87" t="n"/>
      <c r="M433" s="87" t="n"/>
      <c r="N433" s="87" t="n"/>
      <c r="O433" s="87" t="n"/>
      <c r="P433" s="87" t="n"/>
      <c r="Q433" s="87" t="n"/>
      <c r="R433" s="87" t="n"/>
      <c r="S433" s="87" t="n"/>
      <c r="T433" s="87" t="n"/>
      <c r="U433" s="87" t="n"/>
      <c r="V433" s="87" t="n"/>
      <c r="W433" s="87" t="n"/>
      <c r="X433" s="87" t="n"/>
      <c r="Y433" s="87" t="n"/>
      <c r="Z433" s="87" t="n"/>
    </row>
    <row r="434" ht="15.75" customHeight="1">
      <c r="A434" s="87" t="n"/>
      <c r="B434" s="87" t="n"/>
      <c r="C434" s="87" t="n"/>
      <c r="D434" s="87" t="n"/>
      <c r="E434" s="87" t="n"/>
      <c r="F434" s="87" t="n"/>
      <c r="G434" s="87" t="n"/>
      <c r="H434" s="87" t="n"/>
      <c r="I434" s="87" t="n"/>
      <c r="J434" s="87" t="n"/>
      <c r="K434" s="87" t="n"/>
      <c r="L434" s="87" t="n"/>
      <c r="M434" s="87" t="n"/>
      <c r="N434" s="87" t="n"/>
      <c r="O434" s="87" t="n"/>
      <c r="P434" s="87" t="n"/>
      <c r="Q434" s="87" t="n"/>
      <c r="R434" s="87" t="n"/>
      <c r="S434" s="87" t="n"/>
      <c r="T434" s="87" t="n"/>
      <c r="U434" s="87" t="n"/>
      <c r="V434" s="87" t="n"/>
      <c r="W434" s="87" t="n"/>
      <c r="X434" s="87" t="n"/>
      <c r="Y434" s="87" t="n"/>
      <c r="Z434" s="87" t="n"/>
    </row>
    <row r="435" ht="15.75" customHeight="1">
      <c r="A435" s="87" t="n"/>
      <c r="B435" s="87" t="n"/>
      <c r="C435" s="87" t="n"/>
      <c r="D435" s="87" t="n"/>
      <c r="E435" s="87" t="n"/>
      <c r="F435" s="87" t="n"/>
      <c r="G435" s="87" t="n"/>
      <c r="H435" s="87" t="n"/>
      <c r="I435" s="87" t="n"/>
      <c r="J435" s="87" t="n"/>
      <c r="K435" s="87" t="n"/>
      <c r="L435" s="87" t="n"/>
      <c r="M435" s="87" t="n"/>
      <c r="N435" s="87" t="n"/>
      <c r="O435" s="87" t="n"/>
      <c r="P435" s="87" t="n"/>
      <c r="Q435" s="87" t="n"/>
      <c r="R435" s="87" t="n"/>
      <c r="S435" s="87" t="n"/>
      <c r="T435" s="87" t="n"/>
      <c r="U435" s="87" t="n"/>
      <c r="V435" s="87" t="n"/>
      <c r="W435" s="87" t="n"/>
      <c r="X435" s="87" t="n"/>
      <c r="Y435" s="87" t="n"/>
      <c r="Z435" s="87" t="n"/>
    </row>
    <row r="436" ht="15.75" customHeight="1">
      <c r="A436" s="87" t="n"/>
      <c r="B436" s="87" t="n"/>
      <c r="C436" s="87" t="n"/>
      <c r="D436" s="87" t="n"/>
      <c r="E436" s="87" t="n"/>
      <c r="F436" s="87" t="n"/>
      <c r="G436" s="87" t="n"/>
      <c r="H436" s="87" t="n"/>
      <c r="I436" s="87" t="n"/>
      <c r="J436" s="87" t="n"/>
      <c r="K436" s="87" t="n"/>
      <c r="L436" s="87" t="n"/>
      <c r="M436" s="87" t="n"/>
      <c r="N436" s="87" t="n"/>
      <c r="O436" s="87" t="n"/>
      <c r="P436" s="87" t="n"/>
      <c r="Q436" s="87" t="n"/>
      <c r="R436" s="87" t="n"/>
      <c r="S436" s="87" t="n"/>
      <c r="T436" s="87" t="n"/>
      <c r="U436" s="87" t="n"/>
      <c r="V436" s="87" t="n"/>
      <c r="W436" s="87" t="n"/>
      <c r="X436" s="87" t="n"/>
      <c r="Y436" s="87" t="n"/>
      <c r="Z436" s="87" t="n"/>
    </row>
    <row r="437" ht="15.75" customHeight="1">
      <c r="A437" s="87" t="n"/>
      <c r="B437" s="87" t="n"/>
      <c r="C437" s="87" t="n"/>
      <c r="D437" s="87" t="n"/>
      <c r="E437" s="87" t="n"/>
      <c r="F437" s="87" t="n"/>
      <c r="G437" s="87" t="n"/>
      <c r="H437" s="87" t="n"/>
      <c r="I437" s="87" t="n"/>
      <c r="J437" s="87" t="n"/>
      <c r="K437" s="87" t="n"/>
      <c r="L437" s="87" t="n"/>
      <c r="M437" s="87" t="n"/>
      <c r="N437" s="87" t="n"/>
      <c r="O437" s="87" t="n"/>
      <c r="P437" s="87" t="n"/>
      <c r="Q437" s="87" t="n"/>
      <c r="R437" s="87" t="n"/>
      <c r="S437" s="87" t="n"/>
      <c r="T437" s="87" t="n"/>
      <c r="U437" s="87" t="n"/>
      <c r="V437" s="87" t="n"/>
      <c r="W437" s="87" t="n"/>
      <c r="X437" s="87" t="n"/>
      <c r="Y437" s="87" t="n"/>
      <c r="Z437" s="87" t="n"/>
    </row>
    <row r="438" ht="15.75" customHeight="1">
      <c r="A438" s="87" t="n"/>
      <c r="B438" s="87" t="n"/>
      <c r="C438" s="87" t="n"/>
      <c r="D438" s="87" t="n"/>
      <c r="E438" s="87" t="n"/>
      <c r="F438" s="87" t="n"/>
      <c r="G438" s="87" t="n"/>
      <c r="H438" s="87" t="n"/>
      <c r="I438" s="87" t="n"/>
      <c r="J438" s="87" t="n"/>
      <c r="K438" s="87" t="n"/>
      <c r="L438" s="87" t="n"/>
      <c r="M438" s="87" t="n"/>
      <c r="N438" s="87" t="n"/>
      <c r="O438" s="87" t="n"/>
      <c r="P438" s="87" t="n"/>
      <c r="Q438" s="87" t="n"/>
      <c r="R438" s="87" t="n"/>
      <c r="S438" s="87" t="n"/>
      <c r="T438" s="87" t="n"/>
      <c r="U438" s="87" t="n"/>
      <c r="V438" s="87" t="n"/>
      <c r="W438" s="87" t="n"/>
      <c r="X438" s="87" t="n"/>
      <c r="Y438" s="87" t="n"/>
      <c r="Z438" s="87" t="n"/>
    </row>
    <row r="439" ht="15.75" customHeight="1">
      <c r="A439" s="87" t="n"/>
      <c r="B439" s="87" t="n"/>
      <c r="C439" s="87" t="n"/>
      <c r="D439" s="87" t="n"/>
      <c r="E439" s="87" t="n"/>
      <c r="F439" s="87" t="n"/>
      <c r="G439" s="87" t="n"/>
      <c r="H439" s="87" t="n"/>
      <c r="I439" s="87" t="n"/>
      <c r="J439" s="87" t="n"/>
      <c r="K439" s="87" t="n"/>
      <c r="L439" s="87" t="n"/>
      <c r="M439" s="87" t="n"/>
      <c r="N439" s="87" t="n"/>
      <c r="O439" s="87" t="n"/>
      <c r="P439" s="87" t="n"/>
      <c r="Q439" s="87" t="n"/>
      <c r="R439" s="87" t="n"/>
      <c r="S439" s="87" t="n"/>
      <c r="T439" s="87" t="n"/>
      <c r="U439" s="87" t="n"/>
      <c r="V439" s="87" t="n"/>
      <c r="W439" s="87" t="n"/>
      <c r="X439" s="87" t="n"/>
      <c r="Y439" s="87" t="n"/>
      <c r="Z439" s="87" t="n"/>
    </row>
    <row r="440" ht="15.75" customHeight="1">
      <c r="A440" s="87" t="n"/>
      <c r="B440" s="87" t="n"/>
      <c r="C440" s="87" t="n"/>
      <c r="D440" s="87" t="n"/>
      <c r="E440" s="87" t="n"/>
      <c r="F440" s="87" t="n"/>
      <c r="G440" s="87" t="n"/>
      <c r="H440" s="87" t="n"/>
      <c r="I440" s="87" t="n"/>
      <c r="J440" s="87" t="n"/>
      <c r="K440" s="87" t="n"/>
      <c r="L440" s="87" t="n"/>
      <c r="M440" s="87" t="n"/>
      <c r="N440" s="87" t="n"/>
      <c r="O440" s="87" t="n"/>
      <c r="P440" s="87" t="n"/>
      <c r="Q440" s="87" t="n"/>
      <c r="R440" s="87" t="n"/>
      <c r="S440" s="87" t="n"/>
      <c r="T440" s="87" t="n"/>
      <c r="U440" s="87" t="n"/>
      <c r="V440" s="87" t="n"/>
      <c r="W440" s="87" t="n"/>
      <c r="X440" s="87" t="n"/>
      <c r="Y440" s="87" t="n"/>
      <c r="Z440" s="87" t="n"/>
    </row>
    <row r="441" ht="15.75" customHeight="1">
      <c r="A441" s="87" t="n"/>
      <c r="B441" s="87" t="n"/>
      <c r="C441" s="87" t="n"/>
      <c r="D441" s="87" t="n"/>
      <c r="E441" s="87" t="n"/>
      <c r="F441" s="87" t="n"/>
      <c r="G441" s="87" t="n"/>
      <c r="H441" s="87" t="n"/>
      <c r="I441" s="87" t="n"/>
      <c r="J441" s="87" t="n"/>
      <c r="K441" s="87" t="n"/>
      <c r="L441" s="87" t="n"/>
      <c r="M441" s="87" t="n"/>
      <c r="N441" s="87" t="n"/>
      <c r="O441" s="87" t="n"/>
      <c r="P441" s="87" t="n"/>
      <c r="Q441" s="87" t="n"/>
      <c r="R441" s="87" t="n"/>
      <c r="S441" s="87" t="n"/>
      <c r="T441" s="87" t="n"/>
      <c r="U441" s="87" t="n"/>
      <c r="V441" s="87" t="n"/>
      <c r="W441" s="87" t="n"/>
      <c r="X441" s="87" t="n"/>
      <c r="Y441" s="87" t="n"/>
      <c r="Z441" s="87" t="n"/>
    </row>
    <row r="442" ht="15.75" customHeight="1">
      <c r="A442" s="87" t="n"/>
      <c r="B442" s="87" t="n"/>
      <c r="C442" s="87" t="n"/>
      <c r="D442" s="87" t="n"/>
      <c r="E442" s="87" t="n"/>
      <c r="F442" s="87" t="n"/>
      <c r="G442" s="87" t="n"/>
      <c r="H442" s="87" t="n"/>
      <c r="I442" s="87" t="n"/>
      <c r="J442" s="87" t="n"/>
      <c r="K442" s="87" t="n"/>
      <c r="L442" s="87" t="n"/>
      <c r="M442" s="87" t="n"/>
      <c r="N442" s="87" t="n"/>
      <c r="O442" s="87" t="n"/>
      <c r="P442" s="87" t="n"/>
      <c r="Q442" s="87" t="n"/>
      <c r="R442" s="87" t="n"/>
      <c r="S442" s="87" t="n"/>
      <c r="T442" s="87" t="n"/>
      <c r="U442" s="87" t="n"/>
      <c r="V442" s="87" t="n"/>
      <c r="W442" s="87" t="n"/>
      <c r="X442" s="87" t="n"/>
      <c r="Y442" s="87" t="n"/>
      <c r="Z442" s="87" t="n"/>
    </row>
    <row r="443" ht="15.75" customHeight="1">
      <c r="A443" s="87" t="n"/>
      <c r="B443" s="87" t="n"/>
      <c r="C443" s="87" t="n"/>
      <c r="D443" s="87" t="n"/>
      <c r="E443" s="87" t="n"/>
      <c r="F443" s="87" t="n"/>
      <c r="G443" s="87" t="n"/>
      <c r="H443" s="87" t="n"/>
      <c r="I443" s="87" t="n"/>
      <c r="J443" s="87" t="n"/>
      <c r="K443" s="87" t="n"/>
      <c r="L443" s="87" t="n"/>
      <c r="M443" s="87" t="n"/>
      <c r="N443" s="87" t="n"/>
      <c r="O443" s="87" t="n"/>
      <c r="P443" s="87" t="n"/>
      <c r="Q443" s="87" t="n"/>
      <c r="R443" s="87" t="n"/>
      <c r="S443" s="87" t="n"/>
      <c r="T443" s="87" t="n"/>
      <c r="U443" s="87" t="n"/>
      <c r="V443" s="87" t="n"/>
      <c r="W443" s="87" t="n"/>
      <c r="X443" s="87" t="n"/>
      <c r="Y443" s="87" t="n"/>
      <c r="Z443" s="87" t="n"/>
    </row>
    <row r="444" ht="15.75" customHeight="1">
      <c r="A444" s="87" t="n"/>
      <c r="B444" s="87" t="n"/>
      <c r="C444" s="87" t="n"/>
      <c r="D444" s="87" t="n"/>
      <c r="E444" s="87" t="n"/>
      <c r="F444" s="87" t="n"/>
      <c r="G444" s="87" t="n"/>
      <c r="H444" s="87" t="n"/>
      <c r="I444" s="87" t="n"/>
      <c r="J444" s="87" t="n"/>
      <c r="K444" s="87" t="n"/>
      <c r="L444" s="87" t="n"/>
      <c r="M444" s="87" t="n"/>
      <c r="N444" s="87" t="n"/>
      <c r="O444" s="87" t="n"/>
      <c r="P444" s="87" t="n"/>
      <c r="Q444" s="87" t="n"/>
      <c r="R444" s="87" t="n"/>
      <c r="S444" s="87" t="n"/>
      <c r="T444" s="87" t="n"/>
      <c r="U444" s="87" t="n"/>
      <c r="V444" s="87" t="n"/>
      <c r="W444" s="87" t="n"/>
      <c r="X444" s="87" t="n"/>
      <c r="Y444" s="87" t="n"/>
      <c r="Z444" s="87" t="n"/>
    </row>
    <row r="445" ht="15.75" customHeight="1">
      <c r="A445" s="87" t="n"/>
      <c r="B445" s="87" t="n"/>
      <c r="C445" s="87" t="n"/>
      <c r="D445" s="87" t="n"/>
      <c r="E445" s="87" t="n"/>
      <c r="F445" s="87" t="n"/>
      <c r="G445" s="87" t="n"/>
      <c r="H445" s="87" t="n"/>
      <c r="I445" s="87" t="n"/>
      <c r="J445" s="87" t="n"/>
      <c r="K445" s="87" t="n"/>
      <c r="L445" s="87" t="n"/>
      <c r="M445" s="87" t="n"/>
      <c r="N445" s="87" t="n"/>
      <c r="O445" s="87" t="n"/>
      <c r="P445" s="87" t="n"/>
      <c r="Q445" s="87" t="n"/>
      <c r="R445" s="87" t="n"/>
      <c r="S445" s="87" t="n"/>
      <c r="T445" s="87" t="n"/>
      <c r="U445" s="87" t="n"/>
      <c r="V445" s="87" t="n"/>
      <c r="W445" s="87" t="n"/>
      <c r="X445" s="87" t="n"/>
      <c r="Y445" s="87" t="n"/>
      <c r="Z445" s="87" t="n"/>
    </row>
    <row r="446" ht="15.75" customHeight="1">
      <c r="A446" s="87" t="n"/>
      <c r="B446" s="87" t="n"/>
      <c r="C446" s="87" t="n"/>
      <c r="D446" s="87" t="n"/>
      <c r="E446" s="87" t="n"/>
      <c r="F446" s="87" t="n"/>
      <c r="G446" s="87" t="n"/>
      <c r="H446" s="87" t="n"/>
      <c r="I446" s="87" t="n"/>
      <c r="J446" s="87" t="n"/>
      <c r="K446" s="87" t="n"/>
      <c r="L446" s="87" t="n"/>
      <c r="M446" s="87" t="n"/>
      <c r="N446" s="87" t="n"/>
      <c r="O446" s="87" t="n"/>
      <c r="P446" s="87" t="n"/>
      <c r="Q446" s="87" t="n"/>
      <c r="R446" s="87" t="n"/>
      <c r="S446" s="87" t="n"/>
      <c r="T446" s="87" t="n"/>
      <c r="U446" s="87" t="n"/>
      <c r="V446" s="87" t="n"/>
      <c r="W446" s="87" t="n"/>
      <c r="X446" s="87" t="n"/>
      <c r="Y446" s="87" t="n"/>
      <c r="Z446" s="87" t="n"/>
    </row>
    <row r="447" ht="15.75" customHeight="1">
      <c r="A447" s="87" t="n"/>
      <c r="B447" s="87" t="n"/>
      <c r="C447" s="87" t="n"/>
      <c r="D447" s="87" t="n"/>
      <c r="E447" s="87" t="n"/>
      <c r="F447" s="87" t="n"/>
      <c r="G447" s="87" t="n"/>
      <c r="H447" s="87" t="n"/>
      <c r="I447" s="87" t="n"/>
      <c r="J447" s="87" t="n"/>
      <c r="K447" s="87" t="n"/>
      <c r="L447" s="87" t="n"/>
      <c r="M447" s="87" t="n"/>
      <c r="N447" s="87" t="n"/>
      <c r="O447" s="87" t="n"/>
      <c r="P447" s="87" t="n"/>
      <c r="Q447" s="87" t="n"/>
      <c r="R447" s="87" t="n"/>
      <c r="S447" s="87" t="n"/>
      <c r="T447" s="87" t="n"/>
      <c r="U447" s="87" t="n"/>
      <c r="V447" s="87" t="n"/>
      <c r="W447" s="87" t="n"/>
      <c r="X447" s="87" t="n"/>
      <c r="Y447" s="87" t="n"/>
      <c r="Z447" s="87" t="n"/>
    </row>
    <row r="448" ht="15.75" customHeight="1">
      <c r="A448" s="87" t="n"/>
      <c r="B448" s="87" t="n"/>
      <c r="C448" s="87" t="n"/>
      <c r="D448" s="87" t="n"/>
      <c r="E448" s="87" t="n"/>
      <c r="F448" s="87" t="n"/>
      <c r="G448" s="87" t="n"/>
      <c r="H448" s="87" t="n"/>
      <c r="I448" s="87" t="n"/>
      <c r="J448" s="87" t="n"/>
      <c r="K448" s="87" t="n"/>
      <c r="L448" s="87" t="n"/>
      <c r="M448" s="87" t="n"/>
      <c r="N448" s="87" t="n"/>
      <c r="O448" s="87" t="n"/>
      <c r="P448" s="87" t="n"/>
      <c r="Q448" s="87" t="n"/>
      <c r="R448" s="87" t="n"/>
      <c r="S448" s="87" t="n"/>
      <c r="T448" s="87" t="n"/>
      <c r="U448" s="87" t="n"/>
      <c r="V448" s="87" t="n"/>
      <c r="W448" s="87" t="n"/>
      <c r="X448" s="87" t="n"/>
      <c r="Y448" s="87" t="n"/>
      <c r="Z448" s="87" t="n"/>
    </row>
    <row r="449" ht="15.75" customHeight="1">
      <c r="A449" s="87" t="n"/>
      <c r="B449" s="87" t="n"/>
      <c r="C449" s="87" t="n"/>
      <c r="D449" s="87" t="n"/>
      <c r="E449" s="87" t="n"/>
      <c r="F449" s="87" t="n"/>
      <c r="G449" s="87" t="n"/>
      <c r="H449" s="87" t="n"/>
      <c r="I449" s="87" t="n"/>
      <c r="J449" s="87" t="n"/>
      <c r="K449" s="87" t="n"/>
      <c r="L449" s="87" t="n"/>
      <c r="M449" s="87" t="n"/>
      <c r="N449" s="87" t="n"/>
      <c r="O449" s="87" t="n"/>
      <c r="P449" s="87" t="n"/>
      <c r="Q449" s="87" t="n"/>
      <c r="R449" s="87" t="n"/>
      <c r="S449" s="87" t="n"/>
      <c r="T449" s="87" t="n"/>
      <c r="U449" s="87" t="n"/>
      <c r="V449" s="87" t="n"/>
      <c r="W449" s="87" t="n"/>
      <c r="X449" s="87" t="n"/>
      <c r="Y449" s="87" t="n"/>
      <c r="Z449" s="87" t="n"/>
    </row>
    <row r="450" ht="15.75" customHeight="1">
      <c r="A450" s="87" t="n"/>
      <c r="B450" s="87" t="n"/>
      <c r="C450" s="87" t="n"/>
      <c r="D450" s="87" t="n"/>
      <c r="E450" s="87" t="n"/>
      <c r="F450" s="87" t="n"/>
      <c r="G450" s="87" t="n"/>
      <c r="H450" s="87" t="n"/>
      <c r="I450" s="87" t="n"/>
      <c r="J450" s="87" t="n"/>
      <c r="K450" s="87" t="n"/>
      <c r="L450" s="87" t="n"/>
      <c r="M450" s="87" t="n"/>
      <c r="N450" s="87" t="n"/>
      <c r="O450" s="87" t="n"/>
      <c r="P450" s="87" t="n"/>
      <c r="Q450" s="87" t="n"/>
      <c r="R450" s="87" t="n"/>
      <c r="S450" s="87" t="n"/>
      <c r="T450" s="87" t="n"/>
      <c r="U450" s="87" t="n"/>
      <c r="V450" s="87" t="n"/>
      <c r="W450" s="87" t="n"/>
      <c r="X450" s="87" t="n"/>
      <c r="Y450" s="87" t="n"/>
      <c r="Z450" s="87" t="n"/>
    </row>
    <row r="451" ht="15.75" customHeight="1">
      <c r="A451" s="87" t="n"/>
      <c r="B451" s="87" t="n"/>
      <c r="C451" s="87" t="n"/>
      <c r="D451" s="87" t="n"/>
      <c r="E451" s="87" t="n"/>
      <c r="F451" s="87" t="n"/>
      <c r="G451" s="87" t="n"/>
      <c r="H451" s="87" t="n"/>
      <c r="I451" s="87" t="n"/>
      <c r="J451" s="87" t="n"/>
      <c r="K451" s="87" t="n"/>
      <c r="L451" s="87" t="n"/>
      <c r="M451" s="87" t="n"/>
      <c r="N451" s="87" t="n"/>
      <c r="O451" s="87" t="n"/>
      <c r="P451" s="87" t="n"/>
      <c r="Q451" s="87" t="n"/>
      <c r="R451" s="87" t="n"/>
      <c r="S451" s="87" t="n"/>
      <c r="T451" s="87" t="n"/>
      <c r="U451" s="87" t="n"/>
      <c r="V451" s="87" t="n"/>
      <c r="W451" s="87" t="n"/>
      <c r="X451" s="87" t="n"/>
      <c r="Y451" s="87" t="n"/>
      <c r="Z451" s="87" t="n"/>
    </row>
    <row r="452" ht="15.75" customHeight="1">
      <c r="A452" s="87" t="n"/>
      <c r="B452" s="87" t="n"/>
      <c r="C452" s="87" t="n"/>
      <c r="D452" s="87" t="n"/>
      <c r="E452" s="87" t="n"/>
      <c r="F452" s="87" t="n"/>
      <c r="G452" s="87" t="n"/>
      <c r="H452" s="87" t="n"/>
      <c r="I452" s="87" t="n"/>
      <c r="J452" s="87" t="n"/>
      <c r="K452" s="87" t="n"/>
      <c r="L452" s="87" t="n"/>
      <c r="M452" s="87" t="n"/>
      <c r="N452" s="87" t="n"/>
      <c r="O452" s="87" t="n"/>
      <c r="P452" s="87" t="n"/>
      <c r="Q452" s="87" t="n"/>
      <c r="R452" s="87" t="n"/>
      <c r="S452" s="87" t="n"/>
      <c r="T452" s="87" t="n"/>
      <c r="U452" s="87" t="n"/>
      <c r="V452" s="87" t="n"/>
      <c r="W452" s="87" t="n"/>
      <c r="X452" s="87" t="n"/>
      <c r="Y452" s="87" t="n"/>
      <c r="Z452" s="87" t="n"/>
    </row>
    <row r="453" ht="15.75" customHeight="1">
      <c r="A453" s="87" t="n"/>
      <c r="B453" s="87" t="n"/>
      <c r="C453" s="87" t="n"/>
      <c r="D453" s="87" t="n"/>
      <c r="E453" s="87" t="n"/>
      <c r="F453" s="87" t="n"/>
      <c r="G453" s="87" t="n"/>
      <c r="H453" s="87" t="n"/>
      <c r="I453" s="87" t="n"/>
      <c r="J453" s="87" t="n"/>
      <c r="K453" s="87" t="n"/>
      <c r="L453" s="87" t="n"/>
      <c r="M453" s="87" t="n"/>
      <c r="N453" s="87" t="n"/>
      <c r="O453" s="87" t="n"/>
      <c r="P453" s="87" t="n"/>
      <c r="Q453" s="87" t="n"/>
      <c r="R453" s="87" t="n"/>
      <c r="S453" s="87" t="n"/>
      <c r="T453" s="87" t="n"/>
      <c r="U453" s="87" t="n"/>
      <c r="V453" s="87" t="n"/>
      <c r="W453" s="87" t="n"/>
      <c r="X453" s="87" t="n"/>
      <c r="Y453" s="87" t="n"/>
      <c r="Z453" s="87" t="n"/>
    </row>
    <row r="454" ht="15.75" customHeight="1">
      <c r="A454" s="87" t="n"/>
      <c r="B454" s="87" t="n"/>
      <c r="C454" s="87" t="n"/>
      <c r="D454" s="87" t="n"/>
      <c r="E454" s="87" t="n"/>
      <c r="F454" s="87" t="n"/>
      <c r="G454" s="87" t="n"/>
      <c r="H454" s="87" t="n"/>
      <c r="I454" s="87" t="n"/>
      <c r="J454" s="87" t="n"/>
      <c r="K454" s="87" t="n"/>
      <c r="L454" s="87" t="n"/>
      <c r="M454" s="87" t="n"/>
      <c r="N454" s="87" t="n"/>
      <c r="O454" s="87" t="n"/>
      <c r="P454" s="87" t="n"/>
      <c r="Q454" s="87" t="n"/>
      <c r="R454" s="87" t="n"/>
      <c r="S454" s="87" t="n"/>
      <c r="T454" s="87" t="n"/>
      <c r="U454" s="87" t="n"/>
      <c r="V454" s="87" t="n"/>
      <c r="W454" s="87" t="n"/>
      <c r="X454" s="87" t="n"/>
      <c r="Y454" s="87" t="n"/>
      <c r="Z454" s="87" t="n"/>
    </row>
    <row r="455" ht="15.75" customHeight="1">
      <c r="A455" s="87" t="n"/>
      <c r="B455" s="87" t="n"/>
      <c r="C455" s="87" t="n"/>
      <c r="D455" s="87" t="n"/>
      <c r="E455" s="87" t="n"/>
      <c r="F455" s="87" t="n"/>
      <c r="G455" s="87" t="n"/>
      <c r="H455" s="87" t="n"/>
      <c r="I455" s="87" t="n"/>
      <c r="J455" s="87" t="n"/>
      <c r="K455" s="87" t="n"/>
      <c r="L455" s="87" t="n"/>
      <c r="M455" s="87" t="n"/>
      <c r="N455" s="87" t="n"/>
      <c r="O455" s="87" t="n"/>
      <c r="P455" s="87" t="n"/>
      <c r="Q455" s="87" t="n"/>
      <c r="R455" s="87" t="n"/>
      <c r="S455" s="87" t="n"/>
      <c r="T455" s="87" t="n"/>
      <c r="U455" s="87" t="n"/>
      <c r="V455" s="87" t="n"/>
      <c r="W455" s="87" t="n"/>
      <c r="X455" s="87" t="n"/>
      <c r="Y455" s="87" t="n"/>
      <c r="Z455" s="87" t="n"/>
    </row>
    <row r="456" ht="15.75" customHeight="1">
      <c r="A456" s="87" t="n"/>
      <c r="B456" s="87" t="n"/>
      <c r="C456" s="87" t="n"/>
      <c r="D456" s="87" t="n"/>
      <c r="E456" s="87" t="n"/>
      <c r="F456" s="87" t="n"/>
      <c r="G456" s="87" t="n"/>
      <c r="H456" s="87" t="n"/>
      <c r="I456" s="87" t="n"/>
      <c r="J456" s="87" t="n"/>
      <c r="K456" s="87" t="n"/>
      <c r="L456" s="87" t="n"/>
      <c r="M456" s="87" t="n"/>
      <c r="N456" s="87" t="n"/>
      <c r="O456" s="87" t="n"/>
      <c r="P456" s="87" t="n"/>
      <c r="Q456" s="87" t="n"/>
      <c r="R456" s="87" t="n"/>
      <c r="S456" s="87" t="n"/>
      <c r="T456" s="87" t="n"/>
      <c r="U456" s="87" t="n"/>
      <c r="V456" s="87" t="n"/>
      <c r="W456" s="87" t="n"/>
      <c r="X456" s="87" t="n"/>
      <c r="Y456" s="87" t="n"/>
      <c r="Z456" s="87" t="n"/>
    </row>
    <row r="457" ht="15.75" customHeight="1">
      <c r="A457" s="87" t="n"/>
      <c r="B457" s="87" t="n"/>
      <c r="C457" s="87" t="n"/>
      <c r="D457" s="87" t="n"/>
      <c r="E457" s="87" t="n"/>
      <c r="F457" s="87" t="n"/>
      <c r="G457" s="87" t="n"/>
      <c r="H457" s="87" t="n"/>
      <c r="I457" s="87" t="n"/>
      <c r="J457" s="87" t="n"/>
      <c r="K457" s="87" t="n"/>
      <c r="L457" s="87" t="n"/>
      <c r="M457" s="87" t="n"/>
      <c r="N457" s="87" t="n"/>
      <c r="O457" s="87" t="n"/>
      <c r="P457" s="87" t="n"/>
      <c r="Q457" s="87" t="n"/>
      <c r="R457" s="87" t="n"/>
      <c r="S457" s="87" t="n"/>
      <c r="T457" s="87" t="n"/>
      <c r="U457" s="87" t="n"/>
      <c r="V457" s="87" t="n"/>
      <c r="W457" s="87" t="n"/>
      <c r="X457" s="87" t="n"/>
      <c r="Y457" s="87" t="n"/>
      <c r="Z457" s="87" t="n"/>
    </row>
    <row r="458" ht="15.75" customHeight="1">
      <c r="A458" s="87" t="n"/>
      <c r="B458" s="87" t="n"/>
      <c r="C458" s="87" t="n"/>
      <c r="D458" s="87" t="n"/>
      <c r="E458" s="87" t="n"/>
      <c r="F458" s="87" t="n"/>
      <c r="G458" s="87" t="n"/>
      <c r="H458" s="87" t="n"/>
      <c r="I458" s="87" t="n"/>
      <c r="J458" s="87" t="n"/>
      <c r="K458" s="87" t="n"/>
      <c r="L458" s="87" t="n"/>
      <c r="M458" s="87" t="n"/>
      <c r="N458" s="87" t="n"/>
      <c r="O458" s="87" t="n"/>
      <c r="P458" s="87" t="n"/>
      <c r="Q458" s="87" t="n"/>
      <c r="R458" s="87" t="n"/>
      <c r="S458" s="87" t="n"/>
      <c r="T458" s="87" t="n"/>
      <c r="U458" s="87" t="n"/>
      <c r="V458" s="87" t="n"/>
      <c r="W458" s="87" t="n"/>
      <c r="X458" s="87" t="n"/>
      <c r="Y458" s="87" t="n"/>
      <c r="Z458" s="87" t="n"/>
    </row>
    <row r="459" ht="15.75" customHeight="1">
      <c r="A459" s="87" t="n"/>
      <c r="B459" s="87" t="n"/>
      <c r="C459" s="87" t="n"/>
      <c r="D459" s="87" t="n"/>
      <c r="E459" s="87" t="n"/>
      <c r="F459" s="87" t="n"/>
      <c r="G459" s="87" t="n"/>
      <c r="H459" s="87" t="n"/>
      <c r="I459" s="87" t="n"/>
      <c r="J459" s="87" t="n"/>
      <c r="K459" s="87" t="n"/>
      <c r="L459" s="87" t="n"/>
      <c r="M459" s="87" t="n"/>
      <c r="N459" s="87" t="n"/>
      <c r="O459" s="87" t="n"/>
      <c r="P459" s="87" t="n"/>
      <c r="Q459" s="87" t="n"/>
      <c r="R459" s="87" t="n"/>
      <c r="S459" s="87" t="n"/>
      <c r="T459" s="87" t="n"/>
      <c r="U459" s="87" t="n"/>
      <c r="V459" s="87" t="n"/>
      <c r="W459" s="87" t="n"/>
      <c r="X459" s="87" t="n"/>
      <c r="Y459" s="87" t="n"/>
      <c r="Z459" s="87" t="n"/>
    </row>
    <row r="460" ht="15.75" customHeight="1">
      <c r="A460" s="87" t="n"/>
      <c r="B460" s="87" t="n"/>
      <c r="C460" s="87" t="n"/>
      <c r="D460" s="87" t="n"/>
      <c r="E460" s="87" t="n"/>
      <c r="F460" s="87" t="n"/>
      <c r="G460" s="87" t="n"/>
      <c r="H460" s="87" t="n"/>
      <c r="I460" s="87" t="n"/>
      <c r="J460" s="87" t="n"/>
      <c r="K460" s="87" t="n"/>
      <c r="L460" s="87" t="n"/>
      <c r="M460" s="87" t="n"/>
      <c r="N460" s="87" t="n"/>
      <c r="O460" s="87" t="n"/>
      <c r="P460" s="87" t="n"/>
      <c r="Q460" s="87" t="n"/>
      <c r="R460" s="87" t="n"/>
      <c r="S460" s="87" t="n"/>
      <c r="T460" s="87" t="n"/>
      <c r="U460" s="87" t="n"/>
      <c r="V460" s="87" t="n"/>
      <c r="W460" s="87" t="n"/>
      <c r="X460" s="87" t="n"/>
      <c r="Y460" s="87" t="n"/>
      <c r="Z460" s="87" t="n"/>
    </row>
    <row r="461" ht="15.75" customHeight="1">
      <c r="A461" s="87" t="n"/>
      <c r="B461" s="87" t="n"/>
      <c r="C461" s="87" t="n"/>
      <c r="D461" s="87" t="n"/>
      <c r="E461" s="87" t="n"/>
      <c r="F461" s="87" t="n"/>
      <c r="G461" s="87" t="n"/>
      <c r="H461" s="87" t="n"/>
      <c r="I461" s="87" t="n"/>
      <c r="J461" s="87" t="n"/>
      <c r="K461" s="87" t="n"/>
      <c r="L461" s="87" t="n"/>
      <c r="M461" s="87" t="n"/>
      <c r="N461" s="87" t="n"/>
      <c r="O461" s="87" t="n"/>
      <c r="P461" s="87" t="n"/>
      <c r="Q461" s="87" t="n"/>
      <c r="R461" s="87" t="n"/>
      <c r="S461" s="87" t="n"/>
      <c r="T461" s="87" t="n"/>
      <c r="U461" s="87" t="n"/>
      <c r="V461" s="87" t="n"/>
      <c r="W461" s="87" t="n"/>
      <c r="X461" s="87" t="n"/>
      <c r="Y461" s="87" t="n"/>
      <c r="Z461" s="87" t="n"/>
    </row>
    <row r="462" ht="15.75" customHeight="1">
      <c r="A462" s="87" t="n"/>
      <c r="B462" s="87" t="n"/>
      <c r="C462" s="87" t="n"/>
      <c r="D462" s="87" t="n"/>
      <c r="E462" s="87" t="n"/>
      <c r="F462" s="87" t="n"/>
      <c r="G462" s="87" t="n"/>
      <c r="H462" s="87" t="n"/>
      <c r="I462" s="87" t="n"/>
      <c r="J462" s="87" t="n"/>
      <c r="K462" s="87" t="n"/>
      <c r="L462" s="87" t="n"/>
      <c r="M462" s="87" t="n"/>
      <c r="N462" s="87" t="n"/>
      <c r="O462" s="87" t="n"/>
      <c r="P462" s="87" t="n"/>
      <c r="Q462" s="87" t="n"/>
      <c r="R462" s="87" t="n"/>
      <c r="S462" s="87" t="n"/>
      <c r="T462" s="87" t="n"/>
      <c r="U462" s="87" t="n"/>
      <c r="V462" s="87" t="n"/>
      <c r="W462" s="87" t="n"/>
      <c r="X462" s="87" t="n"/>
      <c r="Y462" s="87" t="n"/>
      <c r="Z462" s="87" t="n"/>
    </row>
    <row r="463" ht="15.75" customHeight="1">
      <c r="A463" s="87" t="n"/>
      <c r="B463" s="87" t="n"/>
      <c r="C463" s="87" t="n"/>
      <c r="D463" s="87" t="n"/>
      <c r="E463" s="87" t="n"/>
      <c r="F463" s="87" t="n"/>
      <c r="G463" s="87" t="n"/>
      <c r="H463" s="87" t="n"/>
      <c r="I463" s="87" t="n"/>
      <c r="J463" s="87" t="n"/>
      <c r="K463" s="87" t="n"/>
      <c r="L463" s="87" t="n"/>
      <c r="M463" s="87" t="n"/>
      <c r="N463" s="87" t="n"/>
      <c r="O463" s="87" t="n"/>
      <c r="P463" s="87" t="n"/>
      <c r="Q463" s="87" t="n"/>
      <c r="R463" s="87" t="n"/>
      <c r="S463" s="87" t="n"/>
      <c r="T463" s="87" t="n"/>
      <c r="U463" s="87" t="n"/>
      <c r="V463" s="87" t="n"/>
      <c r="W463" s="87" t="n"/>
      <c r="X463" s="87" t="n"/>
      <c r="Y463" s="87" t="n"/>
      <c r="Z463" s="87" t="n"/>
    </row>
    <row r="464" ht="15.75" customHeight="1">
      <c r="A464" s="87" t="n"/>
      <c r="B464" s="87" t="n"/>
      <c r="C464" s="87" t="n"/>
      <c r="D464" s="87" t="n"/>
      <c r="E464" s="87" t="n"/>
      <c r="F464" s="87" t="n"/>
      <c r="G464" s="87" t="n"/>
      <c r="H464" s="87" t="n"/>
      <c r="I464" s="87" t="n"/>
      <c r="J464" s="87" t="n"/>
      <c r="K464" s="87" t="n"/>
      <c r="L464" s="87" t="n"/>
      <c r="M464" s="87" t="n"/>
      <c r="N464" s="87" t="n"/>
      <c r="O464" s="87" t="n"/>
      <c r="P464" s="87" t="n"/>
      <c r="Q464" s="87" t="n"/>
      <c r="R464" s="87" t="n"/>
      <c r="S464" s="87" t="n"/>
      <c r="T464" s="87" t="n"/>
      <c r="U464" s="87" t="n"/>
      <c r="V464" s="87" t="n"/>
      <c r="W464" s="87" t="n"/>
      <c r="X464" s="87" t="n"/>
      <c r="Y464" s="87" t="n"/>
      <c r="Z464" s="87" t="n"/>
    </row>
    <row r="465" ht="15.75" customHeight="1">
      <c r="A465" s="87" t="n"/>
      <c r="B465" s="87" t="n"/>
      <c r="C465" s="87" t="n"/>
      <c r="D465" s="87" t="n"/>
      <c r="E465" s="87" t="n"/>
      <c r="F465" s="87" t="n"/>
      <c r="G465" s="87" t="n"/>
      <c r="H465" s="87" t="n"/>
      <c r="I465" s="87" t="n"/>
      <c r="J465" s="87" t="n"/>
      <c r="K465" s="87" t="n"/>
      <c r="L465" s="87" t="n"/>
      <c r="M465" s="87" t="n"/>
      <c r="N465" s="87" t="n"/>
      <c r="O465" s="87" t="n"/>
      <c r="P465" s="87" t="n"/>
      <c r="Q465" s="87" t="n"/>
      <c r="R465" s="87" t="n"/>
      <c r="S465" s="87" t="n"/>
      <c r="T465" s="87" t="n"/>
      <c r="U465" s="87" t="n"/>
      <c r="V465" s="87" t="n"/>
      <c r="W465" s="87" t="n"/>
      <c r="X465" s="87" t="n"/>
      <c r="Y465" s="87" t="n"/>
      <c r="Z465" s="87" t="n"/>
    </row>
    <row r="466" ht="15.75" customHeight="1">
      <c r="A466" s="87" t="n"/>
      <c r="B466" s="87" t="n"/>
      <c r="C466" s="87" t="n"/>
      <c r="D466" s="87" t="n"/>
      <c r="E466" s="87" t="n"/>
      <c r="F466" s="87" t="n"/>
      <c r="G466" s="87" t="n"/>
      <c r="H466" s="87" t="n"/>
      <c r="I466" s="87" t="n"/>
      <c r="J466" s="87" t="n"/>
      <c r="K466" s="87" t="n"/>
      <c r="L466" s="87" t="n"/>
      <c r="M466" s="87" t="n"/>
      <c r="N466" s="87" t="n"/>
      <c r="O466" s="87" t="n"/>
      <c r="P466" s="87" t="n"/>
      <c r="Q466" s="87" t="n"/>
      <c r="R466" s="87" t="n"/>
      <c r="S466" s="87" t="n"/>
      <c r="T466" s="87" t="n"/>
      <c r="U466" s="87" t="n"/>
      <c r="V466" s="87" t="n"/>
      <c r="W466" s="87" t="n"/>
      <c r="X466" s="87" t="n"/>
      <c r="Y466" s="87" t="n"/>
      <c r="Z466" s="87" t="n"/>
    </row>
    <row r="467" ht="15.75" customHeight="1">
      <c r="A467" s="87" t="n"/>
      <c r="B467" s="87" t="n"/>
      <c r="C467" s="87" t="n"/>
      <c r="D467" s="87" t="n"/>
      <c r="E467" s="87" t="n"/>
      <c r="F467" s="87" t="n"/>
      <c r="G467" s="87" t="n"/>
      <c r="H467" s="87" t="n"/>
      <c r="I467" s="87" t="n"/>
      <c r="J467" s="87" t="n"/>
      <c r="K467" s="87" t="n"/>
      <c r="L467" s="87" t="n"/>
      <c r="M467" s="87" t="n"/>
      <c r="N467" s="87" t="n"/>
      <c r="O467" s="87" t="n"/>
      <c r="P467" s="87" t="n"/>
      <c r="Q467" s="87" t="n"/>
      <c r="R467" s="87" t="n"/>
      <c r="S467" s="87" t="n"/>
      <c r="T467" s="87" t="n"/>
      <c r="U467" s="87" t="n"/>
      <c r="V467" s="87" t="n"/>
      <c r="W467" s="87" t="n"/>
      <c r="X467" s="87" t="n"/>
      <c r="Y467" s="87" t="n"/>
      <c r="Z467" s="87" t="n"/>
    </row>
    <row r="468" ht="15.75" customHeight="1">
      <c r="A468" s="87" t="n"/>
      <c r="B468" s="87" t="n"/>
      <c r="C468" s="87" t="n"/>
      <c r="D468" s="87" t="n"/>
      <c r="E468" s="87" t="n"/>
      <c r="F468" s="87" t="n"/>
      <c r="G468" s="87" t="n"/>
      <c r="H468" s="87" t="n"/>
      <c r="I468" s="87" t="n"/>
      <c r="J468" s="87" t="n"/>
      <c r="K468" s="87" t="n"/>
      <c r="L468" s="87" t="n"/>
      <c r="M468" s="87" t="n"/>
      <c r="N468" s="87" t="n"/>
      <c r="O468" s="87" t="n"/>
      <c r="P468" s="87" t="n"/>
      <c r="Q468" s="87" t="n"/>
      <c r="R468" s="87" t="n"/>
      <c r="S468" s="87" t="n"/>
      <c r="T468" s="87" t="n"/>
      <c r="U468" s="87" t="n"/>
      <c r="V468" s="87" t="n"/>
      <c r="W468" s="87" t="n"/>
      <c r="X468" s="87" t="n"/>
      <c r="Y468" s="87" t="n"/>
      <c r="Z468" s="87" t="n"/>
    </row>
    <row r="469" ht="15.75" customHeight="1">
      <c r="A469" s="87" t="n"/>
      <c r="B469" s="87" t="n"/>
      <c r="C469" s="87" t="n"/>
      <c r="D469" s="87" t="n"/>
      <c r="E469" s="87" t="n"/>
      <c r="F469" s="87" t="n"/>
      <c r="G469" s="87" t="n"/>
      <c r="H469" s="87" t="n"/>
      <c r="I469" s="87" t="n"/>
      <c r="J469" s="87" t="n"/>
      <c r="K469" s="87" t="n"/>
      <c r="L469" s="87" t="n"/>
      <c r="M469" s="87" t="n"/>
      <c r="N469" s="87" t="n"/>
      <c r="O469" s="87" t="n"/>
      <c r="P469" s="87" t="n"/>
      <c r="Q469" s="87" t="n"/>
      <c r="R469" s="87" t="n"/>
      <c r="S469" s="87" t="n"/>
      <c r="T469" s="87" t="n"/>
      <c r="U469" s="87" t="n"/>
      <c r="V469" s="87" t="n"/>
      <c r="W469" s="87" t="n"/>
      <c r="X469" s="87" t="n"/>
      <c r="Y469" s="87" t="n"/>
      <c r="Z469" s="87" t="n"/>
    </row>
    <row r="470" ht="15.75" customHeight="1">
      <c r="A470" s="87" t="n"/>
      <c r="B470" s="87" t="n"/>
      <c r="C470" s="87" t="n"/>
      <c r="D470" s="87" t="n"/>
      <c r="E470" s="87" t="n"/>
      <c r="F470" s="87" t="n"/>
      <c r="G470" s="87" t="n"/>
      <c r="H470" s="87" t="n"/>
      <c r="I470" s="87" t="n"/>
      <c r="J470" s="87" t="n"/>
      <c r="K470" s="87" t="n"/>
      <c r="L470" s="87" t="n"/>
      <c r="M470" s="87" t="n"/>
      <c r="N470" s="87" t="n"/>
      <c r="O470" s="87" t="n"/>
      <c r="P470" s="87" t="n"/>
      <c r="Q470" s="87" t="n"/>
      <c r="R470" s="87" t="n"/>
      <c r="S470" s="87" t="n"/>
      <c r="T470" s="87" t="n"/>
      <c r="U470" s="87" t="n"/>
      <c r="V470" s="87" t="n"/>
      <c r="W470" s="87" t="n"/>
      <c r="X470" s="87" t="n"/>
      <c r="Y470" s="87" t="n"/>
      <c r="Z470" s="87" t="n"/>
    </row>
    <row r="471" ht="15.75" customHeight="1">
      <c r="A471" s="87" t="n"/>
      <c r="B471" s="87" t="n"/>
      <c r="C471" s="87" t="n"/>
      <c r="D471" s="87" t="n"/>
      <c r="E471" s="87" t="n"/>
      <c r="F471" s="87" t="n"/>
      <c r="G471" s="87" t="n"/>
      <c r="H471" s="87" t="n"/>
      <c r="I471" s="87" t="n"/>
      <c r="J471" s="87" t="n"/>
      <c r="K471" s="87" t="n"/>
      <c r="L471" s="87" t="n"/>
      <c r="M471" s="87" t="n"/>
      <c r="N471" s="87" t="n"/>
      <c r="O471" s="87" t="n"/>
      <c r="P471" s="87" t="n"/>
      <c r="Q471" s="87" t="n"/>
      <c r="R471" s="87" t="n"/>
      <c r="S471" s="87" t="n"/>
      <c r="T471" s="87" t="n"/>
      <c r="U471" s="87" t="n"/>
      <c r="V471" s="87" t="n"/>
      <c r="W471" s="87" t="n"/>
      <c r="X471" s="87" t="n"/>
      <c r="Y471" s="87" t="n"/>
      <c r="Z471" s="87" t="n"/>
    </row>
    <row r="472" ht="15.75" customHeight="1">
      <c r="A472" s="87" t="n"/>
      <c r="B472" s="87" t="n"/>
      <c r="C472" s="87" t="n"/>
      <c r="D472" s="87" t="n"/>
      <c r="E472" s="87" t="n"/>
      <c r="F472" s="87" t="n"/>
      <c r="G472" s="87" t="n"/>
      <c r="H472" s="87" t="n"/>
      <c r="I472" s="87" t="n"/>
      <c r="J472" s="87" t="n"/>
      <c r="K472" s="87" t="n"/>
      <c r="L472" s="87" t="n"/>
      <c r="M472" s="87" t="n"/>
      <c r="N472" s="87" t="n"/>
      <c r="O472" s="87" t="n"/>
      <c r="P472" s="87" t="n"/>
      <c r="Q472" s="87" t="n"/>
      <c r="R472" s="87" t="n"/>
      <c r="S472" s="87" t="n"/>
      <c r="T472" s="87" t="n"/>
      <c r="U472" s="87" t="n"/>
      <c r="V472" s="87" t="n"/>
      <c r="W472" s="87" t="n"/>
      <c r="X472" s="87" t="n"/>
      <c r="Y472" s="87" t="n"/>
      <c r="Z472" s="87" t="n"/>
    </row>
    <row r="473" ht="15.75" customHeight="1">
      <c r="A473" s="87" t="n"/>
      <c r="B473" s="87" t="n"/>
      <c r="C473" s="87" t="n"/>
      <c r="D473" s="87" t="n"/>
      <c r="E473" s="87" t="n"/>
      <c r="F473" s="87" t="n"/>
      <c r="G473" s="87" t="n"/>
      <c r="H473" s="87" t="n"/>
      <c r="I473" s="87" t="n"/>
      <c r="J473" s="87" t="n"/>
      <c r="K473" s="87" t="n"/>
      <c r="L473" s="87" t="n"/>
      <c r="M473" s="87" t="n"/>
      <c r="N473" s="87" t="n"/>
      <c r="O473" s="87" t="n"/>
      <c r="P473" s="87" t="n"/>
      <c r="Q473" s="87" t="n"/>
      <c r="R473" s="87" t="n"/>
      <c r="S473" s="87" t="n"/>
      <c r="T473" s="87" t="n"/>
      <c r="U473" s="87" t="n"/>
      <c r="V473" s="87" t="n"/>
      <c r="W473" s="87" t="n"/>
      <c r="X473" s="87" t="n"/>
      <c r="Y473" s="87" t="n"/>
      <c r="Z473" s="87" t="n"/>
    </row>
    <row r="474" ht="15.75" customHeight="1">
      <c r="A474" s="87" t="n"/>
      <c r="B474" s="87" t="n"/>
      <c r="C474" s="87" t="n"/>
      <c r="D474" s="87" t="n"/>
      <c r="E474" s="87" t="n"/>
      <c r="F474" s="87" t="n"/>
      <c r="G474" s="87" t="n"/>
      <c r="H474" s="87" t="n"/>
      <c r="I474" s="87" t="n"/>
      <c r="J474" s="87" t="n"/>
      <c r="K474" s="87" t="n"/>
      <c r="L474" s="87" t="n"/>
      <c r="M474" s="87" t="n"/>
      <c r="N474" s="87" t="n"/>
      <c r="O474" s="87" t="n"/>
      <c r="P474" s="87" t="n"/>
      <c r="Q474" s="87" t="n"/>
      <c r="R474" s="87" t="n"/>
      <c r="S474" s="87" t="n"/>
      <c r="T474" s="87" t="n"/>
      <c r="U474" s="87" t="n"/>
      <c r="V474" s="87" t="n"/>
      <c r="W474" s="87" t="n"/>
      <c r="X474" s="87" t="n"/>
      <c r="Y474" s="87" t="n"/>
      <c r="Z474" s="87" t="n"/>
    </row>
    <row r="475" ht="15.75" customHeight="1">
      <c r="A475" s="87" t="n"/>
      <c r="B475" s="87" t="n"/>
      <c r="C475" s="87" t="n"/>
      <c r="D475" s="87" t="n"/>
      <c r="E475" s="87" t="n"/>
      <c r="F475" s="87" t="n"/>
      <c r="G475" s="87" t="n"/>
      <c r="H475" s="87" t="n"/>
      <c r="I475" s="87" t="n"/>
      <c r="J475" s="87" t="n"/>
      <c r="K475" s="87" t="n"/>
      <c r="L475" s="87" t="n"/>
      <c r="M475" s="87" t="n"/>
      <c r="N475" s="87" t="n"/>
      <c r="O475" s="87" t="n"/>
      <c r="P475" s="87" t="n"/>
      <c r="Q475" s="87" t="n"/>
      <c r="R475" s="87" t="n"/>
      <c r="S475" s="87" t="n"/>
      <c r="T475" s="87" t="n"/>
      <c r="U475" s="87" t="n"/>
      <c r="V475" s="87" t="n"/>
      <c r="W475" s="87" t="n"/>
      <c r="X475" s="87" t="n"/>
      <c r="Y475" s="87" t="n"/>
      <c r="Z475" s="87" t="n"/>
    </row>
    <row r="476" ht="15.75" customHeight="1">
      <c r="A476" s="87" t="n"/>
      <c r="B476" s="87" t="n"/>
      <c r="C476" s="87" t="n"/>
      <c r="D476" s="87" t="n"/>
      <c r="E476" s="87" t="n"/>
      <c r="F476" s="87" t="n"/>
      <c r="G476" s="87" t="n"/>
      <c r="H476" s="87" t="n"/>
      <c r="I476" s="87" t="n"/>
      <c r="J476" s="87" t="n"/>
      <c r="K476" s="87" t="n"/>
      <c r="L476" s="87" t="n"/>
      <c r="M476" s="87" t="n"/>
      <c r="N476" s="87" t="n"/>
      <c r="O476" s="87" t="n"/>
      <c r="P476" s="87" t="n"/>
      <c r="Q476" s="87" t="n"/>
      <c r="R476" s="87" t="n"/>
      <c r="S476" s="87" t="n"/>
      <c r="T476" s="87" t="n"/>
      <c r="U476" s="87" t="n"/>
      <c r="V476" s="87" t="n"/>
      <c r="W476" s="87" t="n"/>
      <c r="X476" s="87" t="n"/>
      <c r="Y476" s="87" t="n"/>
      <c r="Z476" s="87" t="n"/>
    </row>
    <row r="477" ht="15.75" customHeight="1">
      <c r="A477" s="87" t="n"/>
      <c r="B477" s="87" t="n"/>
      <c r="C477" s="87" t="n"/>
      <c r="D477" s="87" t="n"/>
      <c r="E477" s="87" t="n"/>
      <c r="F477" s="87" t="n"/>
      <c r="G477" s="87" t="n"/>
      <c r="H477" s="87" t="n"/>
      <c r="I477" s="87" t="n"/>
      <c r="J477" s="87" t="n"/>
      <c r="K477" s="87" t="n"/>
      <c r="L477" s="87" t="n"/>
      <c r="M477" s="87" t="n"/>
      <c r="N477" s="87" t="n"/>
      <c r="O477" s="87" t="n"/>
      <c r="P477" s="87" t="n"/>
      <c r="Q477" s="87" t="n"/>
      <c r="R477" s="87" t="n"/>
      <c r="S477" s="87" t="n"/>
      <c r="T477" s="87" t="n"/>
      <c r="U477" s="87" t="n"/>
      <c r="V477" s="87" t="n"/>
      <c r="W477" s="87" t="n"/>
      <c r="X477" s="87" t="n"/>
      <c r="Y477" s="87" t="n"/>
      <c r="Z477" s="87" t="n"/>
    </row>
    <row r="478" ht="15.75" customHeight="1">
      <c r="A478" s="87" t="n"/>
      <c r="B478" s="87" t="n"/>
      <c r="C478" s="87" t="n"/>
      <c r="D478" s="87" t="n"/>
      <c r="E478" s="87" t="n"/>
      <c r="F478" s="87" t="n"/>
      <c r="G478" s="87" t="n"/>
      <c r="H478" s="87" t="n"/>
      <c r="I478" s="87" t="n"/>
      <c r="J478" s="87" t="n"/>
      <c r="K478" s="87" t="n"/>
      <c r="L478" s="87" t="n"/>
      <c r="M478" s="87" t="n"/>
      <c r="N478" s="87" t="n"/>
      <c r="O478" s="87" t="n"/>
      <c r="P478" s="87" t="n"/>
      <c r="Q478" s="87" t="n"/>
      <c r="R478" s="87" t="n"/>
      <c r="S478" s="87" t="n"/>
      <c r="T478" s="87" t="n"/>
      <c r="U478" s="87" t="n"/>
      <c r="V478" s="87" t="n"/>
      <c r="W478" s="87" t="n"/>
      <c r="X478" s="87" t="n"/>
      <c r="Y478" s="87" t="n"/>
      <c r="Z478" s="87" t="n"/>
    </row>
    <row r="479" ht="15.75" customHeight="1">
      <c r="A479" s="87" t="n"/>
      <c r="B479" s="87" t="n"/>
      <c r="C479" s="87" t="n"/>
      <c r="D479" s="87" t="n"/>
      <c r="E479" s="87" t="n"/>
      <c r="F479" s="87" t="n"/>
      <c r="G479" s="87" t="n"/>
      <c r="H479" s="87" t="n"/>
      <c r="I479" s="87" t="n"/>
      <c r="J479" s="87" t="n"/>
      <c r="K479" s="87" t="n"/>
      <c r="L479" s="87" t="n"/>
      <c r="M479" s="87" t="n"/>
      <c r="N479" s="87" t="n"/>
      <c r="O479" s="87" t="n"/>
      <c r="P479" s="87" t="n"/>
      <c r="Q479" s="87" t="n"/>
      <c r="R479" s="87" t="n"/>
      <c r="S479" s="87" t="n"/>
      <c r="T479" s="87" t="n"/>
      <c r="U479" s="87" t="n"/>
      <c r="V479" s="87" t="n"/>
      <c r="W479" s="87" t="n"/>
      <c r="X479" s="87" t="n"/>
      <c r="Y479" s="87" t="n"/>
      <c r="Z479" s="87" t="n"/>
    </row>
    <row r="480" ht="15.75" customHeight="1">
      <c r="A480" s="87" t="n"/>
      <c r="B480" s="87" t="n"/>
      <c r="C480" s="87" t="n"/>
      <c r="D480" s="87" t="n"/>
      <c r="E480" s="87" t="n"/>
      <c r="F480" s="87" t="n"/>
      <c r="G480" s="87" t="n"/>
      <c r="H480" s="87" t="n"/>
      <c r="I480" s="87" t="n"/>
      <c r="J480" s="87" t="n"/>
      <c r="K480" s="87" t="n"/>
      <c r="L480" s="87" t="n"/>
      <c r="M480" s="87" t="n"/>
      <c r="N480" s="87" t="n"/>
      <c r="O480" s="87" t="n"/>
      <c r="P480" s="87" t="n"/>
      <c r="Q480" s="87" t="n"/>
      <c r="R480" s="87" t="n"/>
      <c r="S480" s="87" t="n"/>
      <c r="T480" s="87" t="n"/>
      <c r="U480" s="87" t="n"/>
      <c r="V480" s="87" t="n"/>
      <c r="W480" s="87" t="n"/>
      <c r="X480" s="87" t="n"/>
      <c r="Y480" s="87" t="n"/>
      <c r="Z480" s="87" t="n"/>
    </row>
    <row r="481" ht="15.75" customHeight="1">
      <c r="A481" s="87" t="n"/>
      <c r="B481" s="87" t="n"/>
      <c r="C481" s="87" t="n"/>
      <c r="D481" s="87" t="n"/>
      <c r="E481" s="87" t="n"/>
      <c r="F481" s="87" t="n"/>
      <c r="G481" s="87" t="n"/>
      <c r="H481" s="87" t="n"/>
      <c r="I481" s="87" t="n"/>
      <c r="J481" s="87" t="n"/>
      <c r="K481" s="87" t="n"/>
      <c r="L481" s="87" t="n"/>
      <c r="M481" s="87" t="n"/>
      <c r="N481" s="87" t="n"/>
      <c r="O481" s="87" t="n"/>
      <c r="P481" s="87" t="n"/>
      <c r="Q481" s="87" t="n"/>
      <c r="R481" s="87" t="n"/>
      <c r="S481" s="87" t="n"/>
      <c r="T481" s="87" t="n"/>
      <c r="U481" s="87" t="n"/>
      <c r="V481" s="87" t="n"/>
      <c r="W481" s="87" t="n"/>
      <c r="X481" s="87" t="n"/>
      <c r="Y481" s="87" t="n"/>
      <c r="Z481" s="87" t="n"/>
    </row>
    <row r="482" ht="15.75" customHeight="1">
      <c r="A482" s="87" t="n"/>
      <c r="B482" s="87" t="n"/>
      <c r="C482" s="87" t="n"/>
      <c r="D482" s="87" t="n"/>
      <c r="E482" s="87" t="n"/>
      <c r="F482" s="87" t="n"/>
      <c r="G482" s="87" t="n"/>
      <c r="H482" s="87" t="n"/>
      <c r="I482" s="87" t="n"/>
      <c r="J482" s="87" t="n"/>
      <c r="K482" s="87" t="n"/>
      <c r="L482" s="87" t="n"/>
      <c r="M482" s="87" t="n"/>
      <c r="N482" s="87" t="n"/>
      <c r="O482" s="87" t="n"/>
      <c r="P482" s="87" t="n"/>
      <c r="Q482" s="87" t="n"/>
      <c r="R482" s="87" t="n"/>
      <c r="S482" s="87" t="n"/>
      <c r="T482" s="87" t="n"/>
      <c r="U482" s="87" t="n"/>
      <c r="V482" s="87" t="n"/>
      <c r="W482" s="87" t="n"/>
      <c r="X482" s="87" t="n"/>
      <c r="Y482" s="87" t="n"/>
      <c r="Z482" s="87" t="n"/>
    </row>
    <row r="483" ht="15.75" customHeight="1">
      <c r="A483" s="87" t="n"/>
      <c r="B483" s="87" t="n"/>
      <c r="C483" s="87" t="n"/>
      <c r="D483" s="87" t="n"/>
      <c r="E483" s="87" t="n"/>
      <c r="F483" s="87" t="n"/>
      <c r="G483" s="87" t="n"/>
      <c r="H483" s="87" t="n"/>
      <c r="I483" s="87" t="n"/>
      <c r="J483" s="87" t="n"/>
      <c r="K483" s="87" t="n"/>
      <c r="L483" s="87" t="n"/>
      <c r="M483" s="87" t="n"/>
      <c r="N483" s="87" t="n"/>
      <c r="O483" s="87" t="n"/>
      <c r="P483" s="87" t="n"/>
      <c r="Q483" s="87" t="n"/>
      <c r="R483" s="87" t="n"/>
      <c r="S483" s="87" t="n"/>
      <c r="T483" s="87" t="n"/>
      <c r="U483" s="87" t="n"/>
      <c r="V483" s="87" t="n"/>
      <c r="W483" s="87" t="n"/>
      <c r="X483" s="87" t="n"/>
      <c r="Y483" s="87" t="n"/>
      <c r="Z483" s="87" t="n"/>
    </row>
    <row r="484" ht="15.75" customHeight="1">
      <c r="A484" s="87" t="n"/>
      <c r="B484" s="87" t="n"/>
      <c r="C484" s="87" t="n"/>
      <c r="D484" s="87" t="n"/>
      <c r="E484" s="87" t="n"/>
      <c r="F484" s="87" t="n"/>
      <c r="G484" s="87" t="n"/>
      <c r="H484" s="87" t="n"/>
      <c r="I484" s="87" t="n"/>
      <c r="J484" s="87" t="n"/>
      <c r="K484" s="87" t="n"/>
      <c r="L484" s="87" t="n"/>
      <c r="M484" s="87" t="n"/>
      <c r="N484" s="87" t="n"/>
      <c r="O484" s="87" t="n"/>
      <c r="P484" s="87" t="n"/>
      <c r="Q484" s="87" t="n"/>
      <c r="R484" s="87" t="n"/>
      <c r="S484" s="87" t="n"/>
      <c r="T484" s="87" t="n"/>
      <c r="U484" s="87" t="n"/>
      <c r="V484" s="87" t="n"/>
      <c r="W484" s="87" t="n"/>
      <c r="X484" s="87" t="n"/>
      <c r="Y484" s="87" t="n"/>
      <c r="Z484" s="87" t="n"/>
    </row>
    <row r="485" ht="15.75" customHeight="1">
      <c r="A485" s="87" t="n"/>
      <c r="B485" s="87" t="n"/>
      <c r="C485" s="87" t="n"/>
      <c r="D485" s="87" t="n"/>
      <c r="E485" s="87" t="n"/>
      <c r="F485" s="87" t="n"/>
      <c r="G485" s="87" t="n"/>
      <c r="H485" s="87" t="n"/>
      <c r="I485" s="87" t="n"/>
      <c r="J485" s="87" t="n"/>
      <c r="K485" s="87" t="n"/>
      <c r="L485" s="87" t="n"/>
      <c r="M485" s="87" t="n"/>
      <c r="N485" s="87" t="n"/>
      <c r="O485" s="87" t="n"/>
      <c r="P485" s="87" t="n"/>
      <c r="Q485" s="87" t="n"/>
      <c r="R485" s="87" t="n"/>
      <c r="S485" s="87" t="n"/>
      <c r="T485" s="87" t="n"/>
      <c r="U485" s="87" t="n"/>
      <c r="V485" s="87" t="n"/>
      <c r="W485" s="87" t="n"/>
      <c r="X485" s="87" t="n"/>
      <c r="Y485" s="87" t="n"/>
      <c r="Z485" s="87" t="n"/>
    </row>
    <row r="486" ht="15.75" customHeight="1">
      <c r="A486" s="87" t="n"/>
      <c r="B486" s="87" t="n"/>
      <c r="C486" s="87" t="n"/>
      <c r="D486" s="87" t="n"/>
      <c r="E486" s="87" t="n"/>
      <c r="F486" s="87" t="n"/>
      <c r="G486" s="87" t="n"/>
      <c r="H486" s="87" t="n"/>
      <c r="I486" s="87" t="n"/>
      <c r="J486" s="87" t="n"/>
      <c r="K486" s="87" t="n"/>
      <c r="L486" s="87" t="n"/>
      <c r="M486" s="87" t="n"/>
      <c r="N486" s="87" t="n"/>
      <c r="O486" s="87" t="n"/>
      <c r="P486" s="87" t="n"/>
      <c r="Q486" s="87" t="n"/>
      <c r="R486" s="87" t="n"/>
      <c r="S486" s="87" t="n"/>
      <c r="T486" s="87" t="n"/>
      <c r="U486" s="87" t="n"/>
      <c r="V486" s="87" t="n"/>
      <c r="W486" s="87" t="n"/>
      <c r="X486" s="87" t="n"/>
      <c r="Y486" s="87" t="n"/>
      <c r="Z486" s="87" t="n"/>
    </row>
    <row r="487" ht="15.75" customHeight="1">
      <c r="A487" s="87" t="n"/>
      <c r="B487" s="87" t="n"/>
      <c r="C487" s="87" t="n"/>
      <c r="D487" s="87" t="n"/>
      <c r="E487" s="87" t="n"/>
      <c r="F487" s="87" t="n"/>
      <c r="G487" s="87" t="n"/>
      <c r="H487" s="87" t="n"/>
      <c r="I487" s="87" t="n"/>
      <c r="J487" s="87" t="n"/>
      <c r="K487" s="87" t="n"/>
      <c r="L487" s="87" t="n"/>
      <c r="M487" s="87" t="n"/>
      <c r="N487" s="87" t="n"/>
      <c r="O487" s="87" t="n"/>
      <c r="P487" s="87" t="n"/>
      <c r="Q487" s="87" t="n"/>
      <c r="R487" s="87" t="n"/>
      <c r="S487" s="87" t="n"/>
      <c r="T487" s="87" t="n"/>
      <c r="U487" s="87" t="n"/>
      <c r="V487" s="87" t="n"/>
      <c r="W487" s="87" t="n"/>
      <c r="X487" s="87" t="n"/>
      <c r="Y487" s="87" t="n"/>
      <c r="Z487" s="87" t="n"/>
    </row>
    <row r="488" ht="15.75" customHeight="1">
      <c r="A488" s="87" t="n"/>
      <c r="B488" s="87" t="n"/>
      <c r="C488" s="87" t="n"/>
      <c r="D488" s="87" t="n"/>
      <c r="E488" s="87" t="n"/>
      <c r="F488" s="87" t="n"/>
      <c r="G488" s="87" t="n"/>
      <c r="H488" s="87" t="n"/>
      <c r="I488" s="87" t="n"/>
      <c r="J488" s="87" t="n"/>
      <c r="K488" s="87" t="n"/>
      <c r="L488" s="87" t="n"/>
      <c r="M488" s="87" t="n"/>
      <c r="N488" s="87" t="n"/>
      <c r="O488" s="87" t="n"/>
      <c r="P488" s="87" t="n"/>
      <c r="Q488" s="87" t="n"/>
      <c r="R488" s="87" t="n"/>
      <c r="S488" s="87" t="n"/>
      <c r="T488" s="87" t="n"/>
      <c r="U488" s="87" t="n"/>
      <c r="V488" s="87" t="n"/>
      <c r="W488" s="87" t="n"/>
      <c r="X488" s="87" t="n"/>
      <c r="Y488" s="87" t="n"/>
      <c r="Z488" s="87" t="n"/>
    </row>
    <row r="489" ht="15.75" customHeight="1">
      <c r="A489" s="87" t="n"/>
      <c r="B489" s="87" t="n"/>
      <c r="C489" s="87" t="n"/>
      <c r="D489" s="87" t="n"/>
      <c r="E489" s="87" t="n"/>
      <c r="F489" s="87" t="n"/>
      <c r="G489" s="87" t="n"/>
      <c r="H489" s="87" t="n"/>
      <c r="I489" s="87" t="n"/>
      <c r="J489" s="87" t="n"/>
      <c r="K489" s="87" t="n"/>
      <c r="L489" s="87" t="n"/>
      <c r="M489" s="87" t="n"/>
      <c r="N489" s="87" t="n"/>
      <c r="O489" s="87" t="n"/>
      <c r="P489" s="87" t="n"/>
      <c r="Q489" s="87" t="n"/>
      <c r="R489" s="87" t="n"/>
      <c r="S489" s="87" t="n"/>
      <c r="T489" s="87" t="n"/>
      <c r="U489" s="87" t="n"/>
      <c r="V489" s="87" t="n"/>
      <c r="W489" s="87" t="n"/>
      <c r="X489" s="87" t="n"/>
      <c r="Y489" s="87" t="n"/>
      <c r="Z489" s="87" t="n"/>
    </row>
    <row r="490" ht="15.75" customHeight="1">
      <c r="A490" s="87" t="n"/>
      <c r="B490" s="87" t="n"/>
      <c r="C490" s="87" t="n"/>
      <c r="D490" s="87" t="n"/>
      <c r="E490" s="87" t="n"/>
      <c r="F490" s="87" t="n"/>
      <c r="G490" s="87" t="n"/>
      <c r="H490" s="87" t="n"/>
      <c r="I490" s="87" t="n"/>
      <c r="J490" s="87" t="n"/>
      <c r="K490" s="87" t="n"/>
      <c r="L490" s="87" t="n"/>
      <c r="M490" s="87" t="n"/>
      <c r="N490" s="87" t="n"/>
      <c r="O490" s="87" t="n"/>
      <c r="P490" s="87" t="n"/>
      <c r="Q490" s="87" t="n"/>
      <c r="R490" s="87" t="n"/>
      <c r="S490" s="87" t="n"/>
      <c r="T490" s="87" t="n"/>
      <c r="U490" s="87" t="n"/>
      <c r="V490" s="87" t="n"/>
      <c r="W490" s="87" t="n"/>
      <c r="X490" s="87" t="n"/>
      <c r="Y490" s="87" t="n"/>
      <c r="Z490" s="87" t="n"/>
    </row>
    <row r="491" ht="15.75" customHeight="1">
      <c r="A491" s="87" t="n"/>
      <c r="B491" s="87" t="n"/>
      <c r="C491" s="87" t="n"/>
      <c r="D491" s="87" t="n"/>
      <c r="E491" s="87" t="n"/>
      <c r="F491" s="87" t="n"/>
      <c r="G491" s="87" t="n"/>
      <c r="H491" s="87" t="n"/>
      <c r="I491" s="87" t="n"/>
      <c r="J491" s="87" t="n"/>
      <c r="K491" s="87" t="n"/>
      <c r="L491" s="87" t="n"/>
      <c r="M491" s="87" t="n"/>
      <c r="N491" s="87" t="n"/>
      <c r="O491" s="87" t="n"/>
      <c r="P491" s="87" t="n"/>
      <c r="Q491" s="87" t="n"/>
      <c r="R491" s="87" t="n"/>
      <c r="S491" s="87" t="n"/>
      <c r="T491" s="87" t="n"/>
      <c r="U491" s="87" t="n"/>
      <c r="V491" s="87" t="n"/>
      <c r="W491" s="87" t="n"/>
      <c r="X491" s="87" t="n"/>
      <c r="Y491" s="87" t="n"/>
      <c r="Z491" s="87" t="n"/>
    </row>
    <row r="492" ht="15.75" customHeight="1">
      <c r="A492" s="87" t="n"/>
      <c r="B492" s="87" t="n"/>
      <c r="C492" s="87" t="n"/>
      <c r="D492" s="87" t="n"/>
      <c r="E492" s="87" t="n"/>
      <c r="F492" s="87" t="n"/>
      <c r="G492" s="87" t="n"/>
      <c r="H492" s="87" t="n"/>
      <c r="I492" s="87" t="n"/>
      <c r="J492" s="87" t="n"/>
      <c r="K492" s="87" t="n"/>
      <c r="L492" s="87" t="n"/>
      <c r="M492" s="87" t="n"/>
      <c r="N492" s="87" t="n"/>
      <c r="O492" s="87" t="n"/>
      <c r="P492" s="87" t="n"/>
      <c r="Q492" s="87" t="n"/>
      <c r="R492" s="87" t="n"/>
      <c r="S492" s="87" t="n"/>
      <c r="T492" s="87" t="n"/>
      <c r="U492" s="87" t="n"/>
      <c r="V492" s="87" t="n"/>
      <c r="W492" s="87" t="n"/>
      <c r="X492" s="87" t="n"/>
      <c r="Y492" s="87" t="n"/>
      <c r="Z492" s="87" t="n"/>
    </row>
    <row r="493" ht="15.75" customHeight="1">
      <c r="A493" s="87" t="n"/>
      <c r="B493" s="87" t="n"/>
      <c r="C493" s="87" t="n"/>
      <c r="D493" s="87" t="n"/>
      <c r="E493" s="87" t="n"/>
      <c r="F493" s="87" t="n"/>
      <c r="G493" s="87" t="n"/>
      <c r="H493" s="87" t="n"/>
      <c r="I493" s="87" t="n"/>
      <c r="J493" s="87" t="n"/>
      <c r="K493" s="87" t="n"/>
      <c r="L493" s="87" t="n"/>
      <c r="M493" s="87" t="n"/>
      <c r="N493" s="87" t="n"/>
      <c r="O493" s="87" t="n"/>
      <c r="P493" s="87" t="n"/>
      <c r="Q493" s="87" t="n"/>
      <c r="R493" s="87" t="n"/>
      <c r="S493" s="87" t="n"/>
      <c r="T493" s="87" t="n"/>
      <c r="U493" s="87" t="n"/>
      <c r="V493" s="87" t="n"/>
      <c r="W493" s="87" t="n"/>
      <c r="X493" s="87" t="n"/>
      <c r="Y493" s="87" t="n"/>
      <c r="Z493" s="87" t="n"/>
    </row>
    <row r="494" ht="15.75" customHeight="1">
      <c r="A494" s="87" t="n"/>
      <c r="B494" s="87" t="n"/>
      <c r="C494" s="87" t="n"/>
      <c r="D494" s="87" t="n"/>
      <c r="E494" s="87" t="n"/>
      <c r="F494" s="87" t="n"/>
      <c r="G494" s="87" t="n"/>
      <c r="H494" s="87" t="n"/>
      <c r="I494" s="87" t="n"/>
      <c r="J494" s="87" t="n"/>
      <c r="K494" s="87" t="n"/>
      <c r="L494" s="87" t="n"/>
      <c r="M494" s="87" t="n"/>
      <c r="N494" s="87" t="n"/>
      <c r="O494" s="87" t="n"/>
      <c r="P494" s="87" t="n"/>
      <c r="Q494" s="87" t="n"/>
      <c r="R494" s="87" t="n"/>
      <c r="S494" s="87" t="n"/>
      <c r="T494" s="87" t="n"/>
      <c r="U494" s="87" t="n"/>
      <c r="V494" s="87" t="n"/>
      <c r="W494" s="87" t="n"/>
      <c r="X494" s="87" t="n"/>
      <c r="Y494" s="87" t="n"/>
      <c r="Z494" s="87" t="n"/>
    </row>
    <row r="495" ht="15.75" customHeight="1">
      <c r="A495" s="87" t="n"/>
      <c r="B495" s="87" t="n"/>
      <c r="C495" s="87" t="n"/>
      <c r="D495" s="87" t="n"/>
      <c r="E495" s="87" t="n"/>
      <c r="F495" s="87" t="n"/>
      <c r="G495" s="87" t="n"/>
      <c r="H495" s="87" t="n"/>
      <c r="I495" s="87" t="n"/>
      <c r="J495" s="87" t="n"/>
      <c r="K495" s="87" t="n"/>
      <c r="L495" s="87" t="n"/>
      <c r="M495" s="87" t="n"/>
      <c r="N495" s="87" t="n"/>
      <c r="O495" s="87" t="n"/>
      <c r="P495" s="87" t="n"/>
      <c r="Q495" s="87" t="n"/>
      <c r="R495" s="87" t="n"/>
      <c r="S495" s="87" t="n"/>
      <c r="T495" s="87" t="n"/>
      <c r="U495" s="87" t="n"/>
      <c r="V495" s="87" t="n"/>
      <c r="W495" s="87" t="n"/>
      <c r="X495" s="87" t="n"/>
      <c r="Y495" s="87" t="n"/>
      <c r="Z495" s="87" t="n"/>
    </row>
    <row r="496" ht="15.75" customHeight="1">
      <c r="A496" s="87" t="n"/>
      <c r="B496" s="87" t="n"/>
      <c r="C496" s="87" t="n"/>
      <c r="D496" s="87" t="n"/>
      <c r="E496" s="87" t="n"/>
      <c r="F496" s="87" t="n"/>
      <c r="G496" s="87" t="n"/>
      <c r="H496" s="87" t="n"/>
      <c r="I496" s="87" t="n"/>
      <c r="J496" s="87" t="n"/>
      <c r="K496" s="87" t="n"/>
      <c r="L496" s="87" t="n"/>
      <c r="M496" s="87" t="n"/>
      <c r="N496" s="87" t="n"/>
      <c r="O496" s="87" t="n"/>
      <c r="P496" s="87" t="n"/>
      <c r="Q496" s="87" t="n"/>
      <c r="R496" s="87" t="n"/>
      <c r="S496" s="87" t="n"/>
      <c r="T496" s="87" t="n"/>
      <c r="U496" s="87" t="n"/>
      <c r="V496" s="87" t="n"/>
      <c r="W496" s="87" t="n"/>
      <c r="X496" s="87" t="n"/>
      <c r="Y496" s="87" t="n"/>
      <c r="Z496" s="87" t="n"/>
    </row>
    <row r="497" ht="15.75" customHeight="1">
      <c r="A497" s="87" t="n"/>
      <c r="B497" s="87" t="n"/>
      <c r="C497" s="87" t="n"/>
      <c r="D497" s="87" t="n"/>
      <c r="E497" s="87" t="n"/>
      <c r="F497" s="87" t="n"/>
      <c r="G497" s="87" t="n"/>
      <c r="H497" s="87" t="n"/>
      <c r="I497" s="87" t="n"/>
      <c r="J497" s="87" t="n"/>
      <c r="K497" s="87" t="n"/>
      <c r="L497" s="87" t="n"/>
      <c r="M497" s="87" t="n"/>
      <c r="N497" s="87" t="n"/>
      <c r="O497" s="87" t="n"/>
      <c r="P497" s="87" t="n"/>
      <c r="Q497" s="87" t="n"/>
      <c r="R497" s="87" t="n"/>
      <c r="S497" s="87" t="n"/>
      <c r="T497" s="87" t="n"/>
      <c r="U497" s="87" t="n"/>
      <c r="V497" s="87" t="n"/>
      <c r="W497" s="87" t="n"/>
      <c r="X497" s="87" t="n"/>
      <c r="Y497" s="87" t="n"/>
      <c r="Z497" s="87" t="n"/>
    </row>
    <row r="498" ht="15.75" customHeight="1">
      <c r="A498" s="87" t="n"/>
      <c r="B498" s="87" t="n"/>
      <c r="C498" s="87" t="n"/>
      <c r="D498" s="87" t="n"/>
      <c r="E498" s="87" t="n"/>
      <c r="F498" s="87" t="n"/>
      <c r="G498" s="87" t="n"/>
      <c r="H498" s="87" t="n"/>
      <c r="I498" s="87" t="n"/>
      <c r="J498" s="87" t="n"/>
      <c r="K498" s="87" t="n"/>
      <c r="L498" s="87" t="n"/>
      <c r="M498" s="87" t="n"/>
      <c r="N498" s="87" t="n"/>
      <c r="O498" s="87" t="n"/>
      <c r="P498" s="87" t="n"/>
      <c r="Q498" s="87" t="n"/>
      <c r="R498" s="87" t="n"/>
      <c r="S498" s="87" t="n"/>
      <c r="T498" s="87" t="n"/>
      <c r="U498" s="87" t="n"/>
      <c r="V498" s="87" t="n"/>
      <c r="W498" s="87" t="n"/>
      <c r="X498" s="87" t="n"/>
      <c r="Y498" s="87" t="n"/>
      <c r="Z498" s="87" t="n"/>
    </row>
    <row r="499" ht="15.75" customHeight="1">
      <c r="A499" s="87" t="n"/>
      <c r="B499" s="87" t="n"/>
      <c r="C499" s="87" t="n"/>
      <c r="D499" s="87" t="n"/>
      <c r="E499" s="87" t="n"/>
      <c r="F499" s="87" t="n"/>
      <c r="G499" s="87" t="n"/>
      <c r="H499" s="87" t="n"/>
      <c r="I499" s="87" t="n"/>
      <c r="J499" s="87" t="n"/>
      <c r="K499" s="87" t="n"/>
      <c r="L499" s="87" t="n"/>
      <c r="M499" s="87" t="n"/>
      <c r="N499" s="87" t="n"/>
      <c r="O499" s="87" t="n"/>
      <c r="P499" s="87" t="n"/>
      <c r="Q499" s="87" t="n"/>
      <c r="R499" s="87" t="n"/>
      <c r="S499" s="87" t="n"/>
      <c r="T499" s="87" t="n"/>
      <c r="U499" s="87" t="n"/>
      <c r="V499" s="87" t="n"/>
      <c r="W499" s="87" t="n"/>
      <c r="X499" s="87" t="n"/>
      <c r="Y499" s="87" t="n"/>
      <c r="Z499" s="87" t="n"/>
    </row>
    <row r="500" ht="15.75" customHeight="1">
      <c r="A500" s="87" t="n"/>
      <c r="B500" s="87" t="n"/>
      <c r="C500" s="87" t="n"/>
      <c r="D500" s="87" t="n"/>
      <c r="E500" s="87" t="n"/>
      <c r="F500" s="87" t="n"/>
      <c r="G500" s="87" t="n"/>
      <c r="H500" s="87" t="n"/>
      <c r="I500" s="87" t="n"/>
      <c r="J500" s="87" t="n"/>
      <c r="K500" s="87" t="n"/>
      <c r="L500" s="87" t="n"/>
      <c r="M500" s="87" t="n"/>
      <c r="N500" s="87" t="n"/>
      <c r="O500" s="87" t="n"/>
      <c r="P500" s="87" t="n"/>
      <c r="Q500" s="87" t="n"/>
      <c r="R500" s="87" t="n"/>
      <c r="S500" s="87" t="n"/>
      <c r="T500" s="87" t="n"/>
      <c r="U500" s="87" t="n"/>
      <c r="V500" s="87" t="n"/>
      <c r="W500" s="87" t="n"/>
      <c r="X500" s="87" t="n"/>
      <c r="Y500" s="87" t="n"/>
      <c r="Z500" s="87" t="n"/>
    </row>
    <row r="501" ht="15.75" customHeight="1">
      <c r="A501" s="87" t="n"/>
      <c r="B501" s="87" t="n"/>
      <c r="C501" s="87" t="n"/>
      <c r="D501" s="87" t="n"/>
      <c r="E501" s="87" t="n"/>
      <c r="F501" s="87" t="n"/>
      <c r="G501" s="87" t="n"/>
      <c r="H501" s="87" t="n"/>
      <c r="I501" s="87" t="n"/>
      <c r="J501" s="87" t="n"/>
      <c r="K501" s="87" t="n"/>
      <c r="L501" s="87" t="n"/>
      <c r="M501" s="87" t="n"/>
      <c r="N501" s="87" t="n"/>
      <c r="O501" s="87" t="n"/>
      <c r="P501" s="87" t="n"/>
      <c r="Q501" s="87" t="n"/>
      <c r="R501" s="87" t="n"/>
      <c r="S501" s="87" t="n"/>
      <c r="T501" s="87" t="n"/>
      <c r="U501" s="87" t="n"/>
      <c r="V501" s="87" t="n"/>
      <c r="W501" s="87" t="n"/>
      <c r="X501" s="87" t="n"/>
      <c r="Y501" s="87" t="n"/>
      <c r="Z501" s="87" t="n"/>
    </row>
    <row r="502" ht="15.75" customHeight="1">
      <c r="A502" s="87" t="n"/>
      <c r="B502" s="87" t="n"/>
      <c r="C502" s="87" t="n"/>
      <c r="D502" s="87" t="n"/>
      <c r="E502" s="87" t="n"/>
      <c r="F502" s="87" t="n"/>
      <c r="G502" s="87" t="n"/>
      <c r="H502" s="87" t="n"/>
      <c r="I502" s="87" t="n"/>
      <c r="J502" s="87" t="n"/>
      <c r="K502" s="87" t="n"/>
      <c r="L502" s="87" t="n"/>
      <c r="M502" s="87" t="n"/>
      <c r="N502" s="87" t="n"/>
      <c r="O502" s="87" t="n"/>
      <c r="P502" s="87" t="n"/>
      <c r="Q502" s="87" t="n"/>
      <c r="R502" s="87" t="n"/>
      <c r="S502" s="87" t="n"/>
      <c r="T502" s="87" t="n"/>
      <c r="U502" s="87" t="n"/>
      <c r="V502" s="87" t="n"/>
      <c r="W502" s="87" t="n"/>
      <c r="X502" s="87" t="n"/>
      <c r="Y502" s="87" t="n"/>
      <c r="Z502" s="87" t="n"/>
    </row>
    <row r="503" ht="15.75" customHeight="1">
      <c r="A503" s="87" t="n"/>
      <c r="B503" s="87" t="n"/>
      <c r="C503" s="87" t="n"/>
      <c r="D503" s="87" t="n"/>
      <c r="E503" s="87" t="n"/>
      <c r="F503" s="87" t="n"/>
      <c r="G503" s="87" t="n"/>
      <c r="H503" s="87" t="n"/>
      <c r="I503" s="87" t="n"/>
      <c r="J503" s="87" t="n"/>
      <c r="K503" s="87" t="n"/>
      <c r="L503" s="87" t="n"/>
      <c r="M503" s="87" t="n"/>
      <c r="N503" s="87" t="n"/>
      <c r="O503" s="87" t="n"/>
      <c r="P503" s="87" t="n"/>
      <c r="Q503" s="87" t="n"/>
      <c r="R503" s="87" t="n"/>
      <c r="S503" s="87" t="n"/>
      <c r="T503" s="87" t="n"/>
      <c r="U503" s="87" t="n"/>
      <c r="V503" s="87" t="n"/>
      <c r="W503" s="87" t="n"/>
      <c r="X503" s="87" t="n"/>
      <c r="Y503" s="87" t="n"/>
      <c r="Z503" s="87" t="n"/>
    </row>
    <row r="504" ht="15.75" customHeight="1">
      <c r="A504" s="87" t="n"/>
      <c r="B504" s="87" t="n"/>
      <c r="C504" s="87" t="n"/>
      <c r="D504" s="87" t="n"/>
      <c r="E504" s="87" t="n"/>
      <c r="F504" s="87" t="n"/>
      <c r="G504" s="87" t="n"/>
      <c r="H504" s="87" t="n"/>
      <c r="I504" s="87" t="n"/>
      <c r="J504" s="87" t="n"/>
      <c r="K504" s="87" t="n"/>
      <c r="L504" s="87" t="n"/>
      <c r="M504" s="87" t="n"/>
      <c r="N504" s="87" t="n"/>
      <c r="O504" s="87" t="n"/>
      <c r="P504" s="87" t="n"/>
      <c r="Q504" s="87" t="n"/>
      <c r="R504" s="87" t="n"/>
      <c r="S504" s="87" t="n"/>
      <c r="T504" s="87" t="n"/>
      <c r="U504" s="87" t="n"/>
      <c r="V504" s="87" t="n"/>
      <c r="W504" s="87" t="n"/>
      <c r="X504" s="87" t="n"/>
      <c r="Y504" s="87" t="n"/>
      <c r="Z504" s="87" t="n"/>
    </row>
    <row r="505" ht="15.75" customHeight="1">
      <c r="A505" s="87" t="n"/>
      <c r="B505" s="87" t="n"/>
      <c r="C505" s="87" t="n"/>
      <c r="D505" s="87" t="n"/>
      <c r="E505" s="87" t="n"/>
      <c r="F505" s="87" t="n"/>
      <c r="G505" s="87" t="n"/>
      <c r="H505" s="87" t="n"/>
      <c r="I505" s="87" t="n"/>
      <c r="J505" s="87" t="n"/>
      <c r="K505" s="87" t="n"/>
      <c r="L505" s="87" t="n"/>
      <c r="M505" s="87" t="n"/>
      <c r="N505" s="87" t="n"/>
      <c r="O505" s="87" t="n"/>
      <c r="P505" s="87" t="n"/>
      <c r="Q505" s="87" t="n"/>
      <c r="R505" s="87" t="n"/>
      <c r="S505" s="87" t="n"/>
      <c r="T505" s="87" t="n"/>
      <c r="U505" s="87" t="n"/>
      <c r="V505" s="87" t="n"/>
      <c r="W505" s="87" t="n"/>
      <c r="X505" s="87" t="n"/>
      <c r="Y505" s="87" t="n"/>
      <c r="Z505" s="87" t="n"/>
    </row>
    <row r="506" ht="15.75" customHeight="1">
      <c r="A506" s="87" t="n"/>
      <c r="B506" s="87" t="n"/>
      <c r="C506" s="87" t="n"/>
      <c r="D506" s="87" t="n"/>
      <c r="E506" s="87" t="n"/>
      <c r="F506" s="87" t="n"/>
      <c r="G506" s="87" t="n"/>
      <c r="H506" s="87" t="n"/>
      <c r="I506" s="87" t="n"/>
      <c r="J506" s="87" t="n"/>
      <c r="K506" s="87" t="n"/>
      <c r="L506" s="87" t="n"/>
      <c r="M506" s="87" t="n"/>
      <c r="N506" s="87" t="n"/>
      <c r="O506" s="87" t="n"/>
      <c r="P506" s="87" t="n"/>
      <c r="Q506" s="87" t="n"/>
      <c r="R506" s="87" t="n"/>
      <c r="S506" s="87" t="n"/>
      <c r="T506" s="87" t="n"/>
      <c r="U506" s="87" t="n"/>
      <c r="V506" s="87" t="n"/>
      <c r="W506" s="87" t="n"/>
      <c r="X506" s="87" t="n"/>
      <c r="Y506" s="87" t="n"/>
      <c r="Z506" s="87" t="n"/>
    </row>
    <row r="507" ht="15.75" customHeight="1">
      <c r="A507" s="87" t="n"/>
      <c r="B507" s="87" t="n"/>
      <c r="C507" s="87" t="n"/>
      <c r="D507" s="87" t="n"/>
      <c r="E507" s="87" t="n"/>
      <c r="F507" s="87" t="n"/>
      <c r="G507" s="87" t="n"/>
      <c r="H507" s="87" t="n"/>
      <c r="I507" s="87" t="n"/>
      <c r="J507" s="87" t="n"/>
      <c r="K507" s="87" t="n"/>
      <c r="L507" s="87" t="n"/>
      <c r="M507" s="87" t="n"/>
      <c r="N507" s="87" t="n"/>
      <c r="O507" s="87" t="n"/>
      <c r="P507" s="87" t="n"/>
      <c r="Q507" s="87" t="n"/>
      <c r="R507" s="87" t="n"/>
      <c r="S507" s="87" t="n"/>
      <c r="T507" s="87" t="n"/>
      <c r="U507" s="87" t="n"/>
      <c r="V507" s="87" t="n"/>
      <c r="W507" s="87" t="n"/>
      <c r="X507" s="87" t="n"/>
      <c r="Y507" s="87" t="n"/>
      <c r="Z507" s="87" t="n"/>
    </row>
    <row r="508" ht="15.75" customHeight="1">
      <c r="A508" s="87" t="n"/>
      <c r="B508" s="87" t="n"/>
      <c r="C508" s="87" t="n"/>
      <c r="D508" s="87" t="n"/>
      <c r="E508" s="87" t="n"/>
      <c r="F508" s="87" t="n"/>
      <c r="G508" s="87" t="n"/>
      <c r="H508" s="87" t="n"/>
      <c r="I508" s="87" t="n"/>
      <c r="J508" s="87" t="n"/>
      <c r="K508" s="87" t="n"/>
      <c r="L508" s="87" t="n"/>
      <c r="M508" s="87" t="n"/>
      <c r="N508" s="87" t="n"/>
      <c r="O508" s="87" t="n"/>
      <c r="P508" s="87" t="n"/>
      <c r="Q508" s="87" t="n"/>
      <c r="R508" s="87" t="n"/>
      <c r="S508" s="87" t="n"/>
      <c r="T508" s="87" t="n"/>
      <c r="U508" s="87" t="n"/>
      <c r="V508" s="87" t="n"/>
      <c r="W508" s="87" t="n"/>
      <c r="X508" s="87" t="n"/>
      <c r="Y508" s="87" t="n"/>
      <c r="Z508" s="87" t="n"/>
    </row>
    <row r="509" ht="15.75" customHeight="1">
      <c r="A509" s="87" t="n"/>
      <c r="B509" s="87" t="n"/>
      <c r="C509" s="87" t="n"/>
      <c r="D509" s="87" t="n"/>
      <c r="E509" s="87" t="n"/>
      <c r="F509" s="87" t="n"/>
      <c r="G509" s="87" t="n"/>
      <c r="H509" s="87" t="n"/>
      <c r="I509" s="87" t="n"/>
      <c r="J509" s="87" t="n"/>
      <c r="K509" s="87" t="n"/>
      <c r="L509" s="87" t="n"/>
      <c r="M509" s="87" t="n"/>
      <c r="N509" s="87" t="n"/>
      <c r="O509" s="87" t="n"/>
      <c r="P509" s="87" t="n"/>
      <c r="Q509" s="87" t="n"/>
      <c r="R509" s="87" t="n"/>
      <c r="S509" s="87" t="n"/>
      <c r="T509" s="87" t="n"/>
      <c r="U509" s="87" t="n"/>
      <c r="V509" s="87" t="n"/>
      <c r="W509" s="87" t="n"/>
      <c r="X509" s="87" t="n"/>
      <c r="Y509" s="87" t="n"/>
      <c r="Z509" s="87" t="n"/>
    </row>
    <row r="510" ht="15.75" customHeight="1">
      <c r="A510" s="87" t="n"/>
      <c r="B510" s="87" t="n"/>
      <c r="C510" s="87" t="n"/>
      <c r="D510" s="87" t="n"/>
      <c r="E510" s="87" t="n"/>
      <c r="F510" s="87" t="n"/>
      <c r="G510" s="87" t="n"/>
      <c r="H510" s="87" t="n"/>
      <c r="I510" s="87" t="n"/>
      <c r="J510" s="87" t="n"/>
      <c r="K510" s="87" t="n"/>
      <c r="L510" s="87" t="n"/>
      <c r="M510" s="87" t="n"/>
      <c r="N510" s="87" t="n"/>
      <c r="O510" s="87" t="n"/>
      <c r="P510" s="87" t="n"/>
      <c r="Q510" s="87" t="n"/>
      <c r="R510" s="87" t="n"/>
      <c r="S510" s="87" t="n"/>
      <c r="T510" s="87" t="n"/>
      <c r="U510" s="87" t="n"/>
      <c r="V510" s="87" t="n"/>
      <c r="W510" s="87" t="n"/>
      <c r="X510" s="87" t="n"/>
      <c r="Y510" s="87" t="n"/>
      <c r="Z510" s="87" t="n"/>
    </row>
    <row r="511" ht="15.75" customHeight="1">
      <c r="A511" s="87" t="n"/>
      <c r="B511" s="87" t="n"/>
      <c r="C511" s="87" t="n"/>
      <c r="D511" s="87" t="n"/>
      <c r="E511" s="87" t="n"/>
      <c r="F511" s="87" t="n"/>
      <c r="G511" s="87" t="n"/>
      <c r="H511" s="87" t="n"/>
      <c r="I511" s="87" t="n"/>
      <c r="J511" s="87" t="n"/>
      <c r="K511" s="87" t="n"/>
      <c r="L511" s="87" t="n"/>
      <c r="M511" s="87" t="n"/>
      <c r="N511" s="87" t="n"/>
      <c r="O511" s="87" t="n"/>
      <c r="P511" s="87" t="n"/>
      <c r="Q511" s="87" t="n"/>
      <c r="R511" s="87" t="n"/>
      <c r="S511" s="87" t="n"/>
      <c r="T511" s="87" t="n"/>
      <c r="U511" s="87" t="n"/>
      <c r="V511" s="87" t="n"/>
      <c r="W511" s="87" t="n"/>
      <c r="X511" s="87" t="n"/>
      <c r="Y511" s="87" t="n"/>
      <c r="Z511" s="87" t="n"/>
    </row>
    <row r="512" ht="15.75" customHeight="1">
      <c r="A512" s="87" t="n"/>
      <c r="B512" s="87" t="n"/>
      <c r="C512" s="87" t="n"/>
      <c r="D512" s="87" t="n"/>
      <c r="E512" s="87" t="n"/>
      <c r="F512" s="87" t="n"/>
      <c r="G512" s="87" t="n"/>
      <c r="H512" s="87" t="n"/>
      <c r="I512" s="87" t="n"/>
      <c r="J512" s="87" t="n"/>
      <c r="K512" s="87" t="n"/>
      <c r="L512" s="87" t="n"/>
      <c r="M512" s="87" t="n"/>
      <c r="N512" s="87" t="n"/>
      <c r="O512" s="87" t="n"/>
      <c r="P512" s="87" t="n"/>
      <c r="Q512" s="87" t="n"/>
      <c r="R512" s="87" t="n"/>
      <c r="S512" s="87" t="n"/>
      <c r="T512" s="87" t="n"/>
      <c r="U512" s="87" t="n"/>
      <c r="V512" s="87" t="n"/>
      <c r="W512" s="87" t="n"/>
      <c r="X512" s="87" t="n"/>
      <c r="Y512" s="87" t="n"/>
      <c r="Z512" s="87" t="n"/>
    </row>
    <row r="513" ht="15.75" customHeight="1">
      <c r="A513" s="87" t="n"/>
      <c r="B513" s="87" t="n"/>
      <c r="C513" s="87" t="n"/>
      <c r="D513" s="87" t="n"/>
      <c r="E513" s="87" t="n"/>
      <c r="F513" s="87" t="n"/>
      <c r="G513" s="87" t="n"/>
      <c r="H513" s="87" t="n"/>
      <c r="I513" s="87" t="n"/>
      <c r="J513" s="87" t="n"/>
      <c r="K513" s="87" t="n"/>
      <c r="L513" s="87" t="n"/>
      <c r="M513" s="87" t="n"/>
      <c r="N513" s="87" t="n"/>
      <c r="O513" s="87" t="n"/>
      <c r="P513" s="87" t="n"/>
      <c r="Q513" s="87" t="n"/>
      <c r="R513" s="87" t="n"/>
      <c r="S513" s="87" t="n"/>
      <c r="T513" s="87" t="n"/>
      <c r="U513" s="87" t="n"/>
      <c r="V513" s="87" t="n"/>
      <c r="W513" s="87" t="n"/>
      <c r="X513" s="87" t="n"/>
      <c r="Y513" s="87" t="n"/>
      <c r="Z513" s="87" t="n"/>
    </row>
    <row r="514" ht="15.75" customHeight="1">
      <c r="A514" s="87" t="n"/>
      <c r="B514" s="87" t="n"/>
      <c r="C514" s="87" t="n"/>
      <c r="D514" s="87" t="n"/>
      <c r="E514" s="87" t="n"/>
      <c r="F514" s="87" t="n"/>
      <c r="G514" s="87" t="n"/>
      <c r="H514" s="87" t="n"/>
      <c r="I514" s="87" t="n"/>
      <c r="J514" s="87" t="n"/>
      <c r="K514" s="87" t="n"/>
      <c r="L514" s="87" t="n"/>
      <c r="M514" s="87" t="n"/>
      <c r="N514" s="87" t="n"/>
      <c r="O514" s="87" t="n"/>
      <c r="P514" s="87" t="n"/>
      <c r="Q514" s="87" t="n"/>
      <c r="R514" s="87" t="n"/>
      <c r="S514" s="87" t="n"/>
      <c r="T514" s="87" t="n"/>
      <c r="U514" s="87" t="n"/>
      <c r="V514" s="87" t="n"/>
      <c r="W514" s="87" t="n"/>
      <c r="X514" s="87" t="n"/>
      <c r="Y514" s="87" t="n"/>
      <c r="Z514" s="87" t="n"/>
    </row>
    <row r="515" ht="15.75" customHeight="1">
      <c r="A515" s="87" t="n"/>
      <c r="B515" s="87" t="n"/>
      <c r="C515" s="87" t="n"/>
      <c r="D515" s="87" t="n"/>
      <c r="E515" s="87" t="n"/>
      <c r="F515" s="87" t="n"/>
      <c r="G515" s="87" t="n"/>
      <c r="H515" s="87" t="n"/>
      <c r="I515" s="87" t="n"/>
      <c r="J515" s="87" t="n"/>
      <c r="K515" s="87" t="n"/>
      <c r="L515" s="87" t="n"/>
      <c r="M515" s="87" t="n"/>
      <c r="N515" s="87" t="n"/>
      <c r="O515" s="87" t="n"/>
      <c r="P515" s="87" t="n"/>
      <c r="Q515" s="87" t="n"/>
      <c r="R515" s="87" t="n"/>
      <c r="S515" s="87" t="n"/>
      <c r="T515" s="87" t="n"/>
      <c r="U515" s="87" t="n"/>
      <c r="V515" s="87" t="n"/>
      <c r="W515" s="87" t="n"/>
      <c r="X515" s="87" t="n"/>
      <c r="Y515" s="87" t="n"/>
      <c r="Z515" s="87" t="n"/>
    </row>
    <row r="516" ht="15.75" customHeight="1">
      <c r="A516" s="87" t="n"/>
      <c r="B516" s="87" t="n"/>
      <c r="C516" s="87" t="n"/>
      <c r="D516" s="87" t="n"/>
      <c r="E516" s="87" t="n"/>
      <c r="F516" s="87" t="n"/>
      <c r="G516" s="87" t="n"/>
      <c r="H516" s="87" t="n"/>
      <c r="I516" s="87" t="n"/>
      <c r="J516" s="87" t="n"/>
      <c r="K516" s="87" t="n"/>
      <c r="L516" s="87" t="n"/>
      <c r="M516" s="87" t="n"/>
      <c r="N516" s="87" t="n"/>
      <c r="O516" s="87" t="n"/>
      <c r="P516" s="87" t="n"/>
      <c r="Q516" s="87" t="n"/>
      <c r="R516" s="87" t="n"/>
      <c r="S516" s="87" t="n"/>
      <c r="T516" s="87" t="n"/>
      <c r="U516" s="87" t="n"/>
      <c r="V516" s="87" t="n"/>
      <c r="W516" s="87" t="n"/>
      <c r="X516" s="87" t="n"/>
      <c r="Y516" s="87" t="n"/>
      <c r="Z516" s="87" t="n"/>
    </row>
    <row r="517" ht="15.75" customHeight="1">
      <c r="A517" s="87" t="n"/>
      <c r="B517" s="87" t="n"/>
      <c r="C517" s="87" t="n"/>
      <c r="D517" s="87" t="n"/>
      <c r="E517" s="87" t="n"/>
      <c r="F517" s="87" t="n"/>
      <c r="G517" s="87" t="n"/>
      <c r="H517" s="87" t="n"/>
      <c r="I517" s="87" t="n"/>
      <c r="J517" s="87" t="n"/>
      <c r="K517" s="87" t="n"/>
      <c r="L517" s="87" t="n"/>
      <c r="M517" s="87" t="n"/>
      <c r="N517" s="87" t="n"/>
      <c r="O517" s="87" t="n"/>
      <c r="P517" s="87" t="n"/>
      <c r="Q517" s="87" t="n"/>
      <c r="R517" s="87" t="n"/>
      <c r="S517" s="87" t="n"/>
      <c r="T517" s="87" t="n"/>
      <c r="U517" s="87" t="n"/>
      <c r="V517" s="87" t="n"/>
      <c r="W517" s="87" t="n"/>
      <c r="X517" s="87" t="n"/>
      <c r="Y517" s="87" t="n"/>
      <c r="Z517" s="87" t="n"/>
    </row>
    <row r="518" ht="15.75" customHeight="1">
      <c r="A518" s="87" t="n"/>
      <c r="B518" s="87" t="n"/>
      <c r="C518" s="87" t="n"/>
      <c r="D518" s="87" t="n"/>
      <c r="E518" s="87" t="n"/>
      <c r="F518" s="87" t="n"/>
      <c r="G518" s="87" t="n"/>
      <c r="H518" s="87" t="n"/>
      <c r="I518" s="87" t="n"/>
      <c r="J518" s="87" t="n"/>
      <c r="K518" s="87" t="n"/>
      <c r="L518" s="87" t="n"/>
      <c r="M518" s="87" t="n"/>
      <c r="N518" s="87" t="n"/>
      <c r="O518" s="87" t="n"/>
      <c r="P518" s="87" t="n"/>
      <c r="Q518" s="87" t="n"/>
      <c r="R518" s="87" t="n"/>
      <c r="S518" s="87" t="n"/>
      <c r="T518" s="87" t="n"/>
      <c r="U518" s="87" t="n"/>
      <c r="V518" s="87" t="n"/>
      <c r="W518" s="87" t="n"/>
      <c r="X518" s="87" t="n"/>
      <c r="Y518" s="87" t="n"/>
      <c r="Z518" s="87" t="n"/>
    </row>
    <row r="519" ht="15.75" customHeight="1">
      <c r="A519" s="87" t="n"/>
      <c r="B519" s="87" t="n"/>
      <c r="C519" s="87" t="n"/>
      <c r="D519" s="87" t="n"/>
      <c r="E519" s="87" t="n"/>
      <c r="F519" s="87" t="n"/>
      <c r="G519" s="87" t="n"/>
      <c r="H519" s="87" t="n"/>
      <c r="I519" s="87" t="n"/>
      <c r="J519" s="87" t="n"/>
      <c r="K519" s="87" t="n"/>
      <c r="L519" s="87" t="n"/>
      <c r="M519" s="87" t="n"/>
      <c r="N519" s="87" t="n"/>
      <c r="O519" s="87" t="n"/>
      <c r="P519" s="87" t="n"/>
      <c r="Q519" s="87" t="n"/>
      <c r="R519" s="87" t="n"/>
      <c r="S519" s="87" t="n"/>
      <c r="T519" s="87" t="n"/>
      <c r="U519" s="87" t="n"/>
      <c r="V519" s="87" t="n"/>
      <c r="W519" s="87" t="n"/>
      <c r="X519" s="87" t="n"/>
      <c r="Y519" s="87" t="n"/>
      <c r="Z519" s="87" t="n"/>
    </row>
    <row r="520" ht="15.75" customHeight="1">
      <c r="A520" s="87" t="n"/>
      <c r="B520" s="87" t="n"/>
      <c r="C520" s="87" t="n"/>
      <c r="D520" s="87" t="n"/>
      <c r="E520" s="87" t="n"/>
      <c r="F520" s="87" t="n"/>
      <c r="G520" s="87" t="n"/>
      <c r="H520" s="87" t="n"/>
      <c r="I520" s="87" t="n"/>
      <c r="J520" s="87" t="n"/>
      <c r="K520" s="87" t="n"/>
      <c r="L520" s="87" t="n"/>
      <c r="M520" s="87" t="n"/>
      <c r="N520" s="87" t="n"/>
      <c r="O520" s="87" t="n"/>
      <c r="P520" s="87" t="n"/>
      <c r="Q520" s="87" t="n"/>
      <c r="R520" s="87" t="n"/>
      <c r="S520" s="87" t="n"/>
      <c r="T520" s="87" t="n"/>
      <c r="U520" s="87" t="n"/>
      <c r="V520" s="87" t="n"/>
      <c r="W520" s="87" t="n"/>
      <c r="X520" s="87" t="n"/>
      <c r="Y520" s="87" t="n"/>
      <c r="Z520" s="87" t="n"/>
    </row>
    <row r="521" ht="15.75" customHeight="1">
      <c r="A521" s="87" t="n"/>
      <c r="B521" s="87" t="n"/>
      <c r="C521" s="87" t="n"/>
      <c r="D521" s="87" t="n"/>
      <c r="E521" s="87" t="n"/>
      <c r="F521" s="87" t="n"/>
      <c r="G521" s="87" t="n"/>
      <c r="H521" s="87" t="n"/>
      <c r="I521" s="87" t="n"/>
      <c r="J521" s="87" t="n"/>
      <c r="K521" s="87" t="n"/>
      <c r="L521" s="87" t="n"/>
      <c r="M521" s="87" t="n"/>
      <c r="N521" s="87" t="n"/>
      <c r="O521" s="87" t="n"/>
      <c r="P521" s="87" t="n"/>
      <c r="Q521" s="87" t="n"/>
      <c r="R521" s="87" t="n"/>
      <c r="S521" s="87" t="n"/>
      <c r="T521" s="87" t="n"/>
      <c r="U521" s="87" t="n"/>
      <c r="V521" s="87" t="n"/>
      <c r="W521" s="87" t="n"/>
      <c r="X521" s="87" t="n"/>
      <c r="Y521" s="87" t="n"/>
      <c r="Z521" s="87" t="n"/>
    </row>
    <row r="522" ht="15.75" customHeight="1">
      <c r="A522" s="87" t="n"/>
      <c r="B522" s="87" t="n"/>
      <c r="C522" s="87" t="n"/>
      <c r="D522" s="87" t="n"/>
      <c r="E522" s="87" t="n"/>
      <c r="F522" s="87" t="n"/>
      <c r="G522" s="87" t="n"/>
      <c r="H522" s="87" t="n"/>
      <c r="I522" s="87" t="n"/>
      <c r="J522" s="87" t="n"/>
      <c r="K522" s="87" t="n"/>
      <c r="L522" s="87" t="n"/>
      <c r="M522" s="87" t="n"/>
      <c r="N522" s="87" t="n"/>
      <c r="O522" s="87" t="n"/>
      <c r="P522" s="87" t="n"/>
      <c r="Q522" s="87" t="n"/>
      <c r="R522" s="87" t="n"/>
      <c r="S522" s="87" t="n"/>
      <c r="T522" s="87" t="n"/>
      <c r="U522" s="87" t="n"/>
      <c r="V522" s="87" t="n"/>
      <c r="W522" s="87" t="n"/>
      <c r="X522" s="87" t="n"/>
      <c r="Y522" s="87" t="n"/>
      <c r="Z522" s="87" t="n"/>
    </row>
    <row r="523" ht="15.75" customHeight="1">
      <c r="A523" s="87" t="n"/>
      <c r="B523" s="87" t="n"/>
      <c r="C523" s="87" t="n"/>
      <c r="D523" s="87" t="n"/>
      <c r="E523" s="87" t="n"/>
      <c r="F523" s="87" t="n"/>
      <c r="G523" s="87" t="n"/>
      <c r="H523" s="87" t="n"/>
      <c r="I523" s="87" t="n"/>
      <c r="J523" s="87" t="n"/>
      <c r="K523" s="87" t="n"/>
      <c r="L523" s="87" t="n"/>
      <c r="M523" s="87" t="n"/>
      <c r="N523" s="87" t="n"/>
      <c r="O523" s="87" t="n"/>
      <c r="P523" s="87" t="n"/>
      <c r="Q523" s="87" t="n"/>
      <c r="R523" s="87" t="n"/>
      <c r="S523" s="87" t="n"/>
      <c r="T523" s="87" t="n"/>
      <c r="U523" s="87" t="n"/>
      <c r="V523" s="87" t="n"/>
      <c r="W523" s="87" t="n"/>
      <c r="X523" s="87" t="n"/>
      <c r="Y523" s="87" t="n"/>
      <c r="Z523" s="87" t="n"/>
    </row>
    <row r="524" ht="15.75" customHeight="1">
      <c r="A524" s="87" t="n"/>
      <c r="B524" s="87" t="n"/>
      <c r="C524" s="87" t="n"/>
      <c r="D524" s="87" t="n"/>
      <c r="E524" s="87" t="n"/>
      <c r="F524" s="87" t="n"/>
      <c r="G524" s="87" t="n"/>
      <c r="H524" s="87" t="n"/>
      <c r="I524" s="87" t="n"/>
      <c r="J524" s="87" t="n"/>
      <c r="K524" s="87" t="n"/>
      <c r="L524" s="87" t="n"/>
      <c r="M524" s="87" t="n"/>
      <c r="N524" s="87" t="n"/>
      <c r="O524" s="87" t="n"/>
      <c r="P524" s="87" t="n"/>
      <c r="Q524" s="87" t="n"/>
      <c r="R524" s="87" t="n"/>
      <c r="S524" s="87" t="n"/>
      <c r="T524" s="87" t="n"/>
      <c r="U524" s="87" t="n"/>
      <c r="V524" s="87" t="n"/>
      <c r="W524" s="87" t="n"/>
      <c r="X524" s="87" t="n"/>
      <c r="Y524" s="87" t="n"/>
      <c r="Z524" s="87" t="n"/>
    </row>
    <row r="525" ht="15.75" customHeight="1">
      <c r="A525" s="87" t="n"/>
      <c r="B525" s="87" t="n"/>
      <c r="C525" s="87" t="n"/>
      <c r="D525" s="87" t="n"/>
      <c r="E525" s="87" t="n"/>
      <c r="F525" s="87" t="n"/>
      <c r="G525" s="87" t="n"/>
      <c r="H525" s="87" t="n"/>
      <c r="I525" s="87" t="n"/>
      <c r="J525" s="87" t="n"/>
      <c r="K525" s="87" t="n"/>
      <c r="L525" s="87" t="n"/>
      <c r="M525" s="87" t="n"/>
      <c r="N525" s="87" t="n"/>
      <c r="O525" s="87" t="n"/>
      <c r="P525" s="87" t="n"/>
      <c r="Q525" s="87" t="n"/>
      <c r="R525" s="87" t="n"/>
      <c r="S525" s="87" t="n"/>
      <c r="T525" s="87" t="n"/>
      <c r="U525" s="87" t="n"/>
      <c r="V525" s="87" t="n"/>
      <c r="W525" s="87" t="n"/>
      <c r="X525" s="87" t="n"/>
      <c r="Y525" s="87" t="n"/>
      <c r="Z525" s="87" t="n"/>
    </row>
    <row r="526" ht="15.75" customHeight="1">
      <c r="A526" s="87" t="n"/>
      <c r="B526" s="87" t="n"/>
      <c r="C526" s="87" t="n"/>
      <c r="D526" s="87" t="n"/>
      <c r="E526" s="87" t="n"/>
      <c r="F526" s="87" t="n"/>
      <c r="G526" s="87" t="n"/>
      <c r="H526" s="87" t="n"/>
      <c r="I526" s="87" t="n"/>
      <c r="J526" s="87" t="n"/>
      <c r="K526" s="87" t="n"/>
      <c r="L526" s="87" t="n"/>
      <c r="M526" s="87" t="n"/>
      <c r="N526" s="87" t="n"/>
      <c r="O526" s="87" t="n"/>
      <c r="P526" s="87" t="n"/>
      <c r="Q526" s="87" t="n"/>
      <c r="R526" s="87" t="n"/>
      <c r="S526" s="87" t="n"/>
      <c r="T526" s="87" t="n"/>
      <c r="U526" s="87" t="n"/>
      <c r="V526" s="87" t="n"/>
      <c r="W526" s="87" t="n"/>
      <c r="X526" s="87" t="n"/>
      <c r="Y526" s="87" t="n"/>
      <c r="Z526" s="87" t="n"/>
    </row>
    <row r="527" ht="15.75" customHeight="1">
      <c r="A527" s="87" t="n"/>
      <c r="B527" s="87" t="n"/>
      <c r="C527" s="87" t="n"/>
      <c r="D527" s="87" t="n"/>
      <c r="E527" s="87" t="n"/>
      <c r="F527" s="87" t="n"/>
      <c r="G527" s="87" t="n"/>
      <c r="H527" s="87" t="n"/>
      <c r="I527" s="87" t="n"/>
      <c r="J527" s="87" t="n"/>
      <c r="K527" s="87" t="n"/>
      <c r="L527" s="87" t="n"/>
      <c r="M527" s="87" t="n"/>
      <c r="N527" s="87" t="n"/>
      <c r="O527" s="87" t="n"/>
      <c r="P527" s="87" t="n"/>
      <c r="Q527" s="87" t="n"/>
      <c r="R527" s="87" t="n"/>
      <c r="S527" s="87" t="n"/>
      <c r="T527" s="87" t="n"/>
      <c r="U527" s="87" t="n"/>
      <c r="V527" s="87" t="n"/>
      <c r="W527" s="87" t="n"/>
      <c r="X527" s="87" t="n"/>
      <c r="Y527" s="87" t="n"/>
      <c r="Z527" s="87" t="n"/>
    </row>
    <row r="528" ht="15.75" customHeight="1">
      <c r="A528" s="87" t="n"/>
      <c r="B528" s="87" t="n"/>
      <c r="C528" s="87" t="n"/>
      <c r="D528" s="87" t="n"/>
      <c r="E528" s="87" t="n"/>
      <c r="F528" s="87" t="n"/>
      <c r="G528" s="87" t="n"/>
      <c r="H528" s="87" t="n"/>
      <c r="I528" s="87" t="n"/>
      <c r="J528" s="87" t="n"/>
      <c r="K528" s="87" t="n"/>
      <c r="L528" s="87" t="n"/>
      <c r="M528" s="87" t="n"/>
      <c r="N528" s="87" t="n"/>
      <c r="O528" s="87" t="n"/>
      <c r="P528" s="87" t="n"/>
      <c r="Q528" s="87" t="n"/>
      <c r="R528" s="87" t="n"/>
      <c r="S528" s="87" t="n"/>
      <c r="T528" s="87" t="n"/>
      <c r="U528" s="87" t="n"/>
      <c r="V528" s="87" t="n"/>
      <c r="W528" s="87" t="n"/>
      <c r="X528" s="87" t="n"/>
      <c r="Y528" s="87" t="n"/>
      <c r="Z528" s="87" t="n"/>
    </row>
    <row r="529" ht="15.75" customHeight="1">
      <c r="A529" s="87" t="n"/>
      <c r="B529" s="87" t="n"/>
      <c r="C529" s="87" t="n"/>
      <c r="D529" s="87" t="n"/>
      <c r="E529" s="87" t="n"/>
      <c r="F529" s="87" t="n"/>
      <c r="G529" s="87" t="n"/>
      <c r="H529" s="87" t="n"/>
      <c r="I529" s="87" t="n"/>
      <c r="J529" s="87" t="n"/>
      <c r="K529" s="87" t="n"/>
      <c r="L529" s="87" t="n"/>
      <c r="M529" s="87" t="n"/>
      <c r="N529" s="87" t="n"/>
      <c r="O529" s="87" t="n"/>
      <c r="P529" s="87" t="n"/>
      <c r="Q529" s="87" t="n"/>
      <c r="R529" s="87" t="n"/>
      <c r="S529" s="87" t="n"/>
      <c r="T529" s="87" t="n"/>
      <c r="U529" s="87" t="n"/>
      <c r="V529" s="87" t="n"/>
      <c r="W529" s="87" t="n"/>
      <c r="X529" s="87" t="n"/>
      <c r="Y529" s="87" t="n"/>
      <c r="Z529" s="87" t="n"/>
    </row>
    <row r="530" ht="15.75" customHeight="1">
      <c r="A530" s="87" t="n"/>
      <c r="B530" s="87" t="n"/>
      <c r="C530" s="87" t="n"/>
      <c r="D530" s="87" t="n"/>
      <c r="E530" s="87" t="n"/>
      <c r="F530" s="87" t="n"/>
      <c r="G530" s="87" t="n"/>
      <c r="H530" s="87" t="n"/>
      <c r="I530" s="87" t="n"/>
      <c r="J530" s="87" t="n"/>
      <c r="K530" s="87" t="n"/>
      <c r="L530" s="87" t="n"/>
      <c r="M530" s="87" t="n"/>
      <c r="N530" s="87" t="n"/>
      <c r="O530" s="87" t="n"/>
      <c r="P530" s="87" t="n"/>
      <c r="Q530" s="87" t="n"/>
      <c r="R530" s="87" t="n"/>
      <c r="S530" s="87" t="n"/>
      <c r="T530" s="87" t="n"/>
      <c r="U530" s="87" t="n"/>
      <c r="V530" s="87" t="n"/>
      <c r="W530" s="87" t="n"/>
      <c r="X530" s="87" t="n"/>
      <c r="Y530" s="87" t="n"/>
      <c r="Z530" s="87" t="n"/>
    </row>
    <row r="531" ht="15.75" customHeight="1">
      <c r="A531" s="87" t="n"/>
      <c r="B531" s="87" t="n"/>
      <c r="C531" s="87" t="n"/>
      <c r="D531" s="87" t="n"/>
      <c r="E531" s="87" t="n"/>
      <c r="F531" s="87" t="n"/>
      <c r="G531" s="87" t="n"/>
      <c r="H531" s="87" t="n"/>
      <c r="I531" s="87" t="n"/>
      <c r="J531" s="87" t="n"/>
      <c r="K531" s="87" t="n"/>
      <c r="L531" s="87" t="n"/>
      <c r="M531" s="87" t="n"/>
      <c r="N531" s="87" t="n"/>
      <c r="O531" s="87" t="n"/>
      <c r="P531" s="87" t="n"/>
      <c r="Q531" s="87" t="n"/>
      <c r="R531" s="87" t="n"/>
      <c r="S531" s="87" t="n"/>
      <c r="T531" s="87" t="n"/>
      <c r="U531" s="87" t="n"/>
      <c r="V531" s="87" t="n"/>
      <c r="W531" s="87" t="n"/>
      <c r="X531" s="87" t="n"/>
      <c r="Y531" s="87" t="n"/>
      <c r="Z531" s="87" t="n"/>
    </row>
    <row r="532" ht="15.75" customHeight="1">
      <c r="A532" s="87" t="n"/>
      <c r="B532" s="87" t="n"/>
      <c r="C532" s="87" t="n"/>
      <c r="D532" s="87" t="n"/>
      <c r="E532" s="87" t="n"/>
      <c r="F532" s="87" t="n"/>
      <c r="G532" s="87" t="n"/>
      <c r="H532" s="87" t="n"/>
      <c r="I532" s="87" t="n"/>
      <c r="J532" s="87" t="n"/>
      <c r="K532" s="87" t="n"/>
      <c r="L532" s="87" t="n"/>
      <c r="M532" s="87" t="n"/>
      <c r="N532" s="87" t="n"/>
      <c r="O532" s="87" t="n"/>
      <c r="P532" s="87" t="n"/>
      <c r="Q532" s="87" t="n"/>
      <c r="R532" s="87" t="n"/>
      <c r="S532" s="87" t="n"/>
      <c r="T532" s="87" t="n"/>
      <c r="U532" s="87" t="n"/>
      <c r="V532" s="87" t="n"/>
      <c r="W532" s="87" t="n"/>
      <c r="X532" s="87" t="n"/>
      <c r="Y532" s="87" t="n"/>
      <c r="Z532" s="87" t="n"/>
    </row>
    <row r="533" ht="15.75" customHeight="1">
      <c r="A533" s="87" t="n"/>
      <c r="B533" s="87" t="n"/>
      <c r="C533" s="87" t="n"/>
      <c r="D533" s="87" t="n"/>
      <c r="E533" s="87" t="n"/>
      <c r="F533" s="87" t="n"/>
      <c r="G533" s="87" t="n"/>
      <c r="H533" s="87" t="n"/>
      <c r="I533" s="87" t="n"/>
      <c r="J533" s="87" t="n"/>
      <c r="K533" s="87" t="n"/>
      <c r="L533" s="87" t="n"/>
      <c r="M533" s="87" t="n"/>
      <c r="N533" s="87" t="n"/>
      <c r="O533" s="87" t="n"/>
      <c r="P533" s="87" t="n"/>
      <c r="Q533" s="87" t="n"/>
      <c r="R533" s="87" t="n"/>
      <c r="S533" s="87" t="n"/>
      <c r="T533" s="87" t="n"/>
      <c r="U533" s="87" t="n"/>
      <c r="V533" s="87" t="n"/>
      <c r="W533" s="87" t="n"/>
      <c r="X533" s="87" t="n"/>
      <c r="Y533" s="87" t="n"/>
      <c r="Z533" s="87" t="n"/>
    </row>
    <row r="534" ht="15.75" customHeight="1">
      <c r="A534" s="87" t="n"/>
      <c r="B534" s="87" t="n"/>
      <c r="C534" s="87" t="n"/>
      <c r="D534" s="87" t="n"/>
      <c r="E534" s="87" t="n"/>
      <c r="F534" s="87" t="n"/>
      <c r="G534" s="87" t="n"/>
      <c r="H534" s="87" t="n"/>
      <c r="I534" s="87" t="n"/>
      <c r="J534" s="87" t="n"/>
      <c r="K534" s="87" t="n"/>
      <c r="L534" s="87" t="n"/>
      <c r="M534" s="87" t="n"/>
      <c r="N534" s="87" t="n"/>
      <c r="O534" s="87" t="n"/>
      <c r="P534" s="87" t="n"/>
      <c r="Q534" s="87" t="n"/>
      <c r="R534" s="87" t="n"/>
      <c r="S534" s="87" t="n"/>
      <c r="T534" s="87" t="n"/>
      <c r="U534" s="87" t="n"/>
      <c r="V534" s="87" t="n"/>
      <c r="W534" s="87" t="n"/>
      <c r="X534" s="87" t="n"/>
      <c r="Y534" s="87" t="n"/>
      <c r="Z534" s="87" t="n"/>
    </row>
    <row r="535" ht="15.75" customHeight="1">
      <c r="A535" s="87" t="n"/>
      <c r="B535" s="87" t="n"/>
      <c r="C535" s="87" t="n"/>
      <c r="D535" s="87" t="n"/>
      <c r="E535" s="87" t="n"/>
      <c r="F535" s="87" t="n"/>
      <c r="G535" s="87" t="n"/>
      <c r="H535" s="87" t="n"/>
      <c r="I535" s="87" t="n"/>
      <c r="J535" s="87" t="n"/>
      <c r="K535" s="87" t="n"/>
      <c r="L535" s="87" t="n"/>
      <c r="M535" s="87" t="n"/>
      <c r="N535" s="87" t="n"/>
      <c r="O535" s="87" t="n"/>
      <c r="P535" s="87" t="n"/>
      <c r="Q535" s="87" t="n"/>
      <c r="R535" s="87" t="n"/>
      <c r="S535" s="87" t="n"/>
      <c r="T535" s="87" t="n"/>
      <c r="U535" s="87" t="n"/>
      <c r="V535" s="87" t="n"/>
      <c r="W535" s="87" t="n"/>
      <c r="X535" s="87" t="n"/>
      <c r="Y535" s="87" t="n"/>
      <c r="Z535" s="87" t="n"/>
    </row>
    <row r="536" ht="15.75" customHeight="1">
      <c r="A536" s="87" t="n"/>
      <c r="B536" s="87" t="n"/>
      <c r="C536" s="87" t="n"/>
      <c r="D536" s="87" t="n"/>
      <c r="E536" s="87" t="n"/>
      <c r="F536" s="87" t="n"/>
      <c r="G536" s="87" t="n"/>
      <c r="H536" s="87" t="n"/>
      <c r="I536" s="87" t="n"/>
      <c r="J536" s="87" t="n"/>
      <c r="K536" s="87" t="n"/>
      <c r="L536" s="87" t="n"/>
      <c r="M536" s="87" t="n"/>
      <c r="N536" s="87" t="n"/>
      <c r="O536" s="87" t="n"/>
      <c r="P536" s="87" t="n"/>
      <c r="Q536" s="87" t="n"/>
      <c r="R536" s="87" t="n"/>
      <c r="S536" s="87" t="n"/>
      <c r="T536" s="87" t="n"/>
      <c r="U536" s="87" t="n"/>
      <c r="V536" s="87" t="n"/>
      <c r="W536" s="87" t="n"/>
      <c r="X536" s="87" t="n"/>
      <c r="Y536" s="87" t="n"/>
      <c r="Z536" s="87" t="n"/>
    </row>
    <row r="537" ht="15.75" customHeight="1">
      <c r="A537" s="87" t="n"/>
      <c r="B537" s="87" t="n"/>
      <c r="C537" s="87" t="n"/>
      <c r="D537" s="87" t="n"/>
      <c r="E537" s="87" t="n"/>
      <c r="F537" s="87" t="n"/>
      <c r="G537" s="87" t="n"/>
      <c r="H537" s="87" t="n"/>
      <c r="I537" s="87" t="n"/>
      <c r="J537" s="87" t="n"/>
      <c r="K537" s="87" t="n"/>
      <c r="L537" s="87" t="n"/>
      <c r="M537" s="87" t="n"/>
      <c r="N537" s="87" t="n"/>
      <c r="O537" s="87" t="n"/>
      <c r="P537" s="87" t="n"/>
      <c r="Q537" s="87" t="n"/>
      <c r="R537" s="87" t="n"/>
      <c r="S537" s="87" t="n"/>
      <c r="T537" s="87" t="n"/>
      <c r="U537" s="87" t="n"/>
      <c r="V537" s="87" t="n"/>
      <c r="W537" s="87" t="n"/>
      <c r="X537" s="87" t="n"/>
      <c r="Y537" s="87" t="n"/>
      <c r="Z537" s="87" t="n"/>
    </row>
    <row r="538" ht="15.75" customHeight="1">
      <c r="A538" s="87" t="n"/>
      <c r="B538" s="87" t="n"/>
      <c r="C538" s="87" t="n"/>
      <c r="D538" s="87" t="n"/>
      <c r="E538" s="87" t="n"/>
      <c r="F538" s="87" t="n"/>
      <c r="G538" s="87" t="n"/>
      <c r="H538" s="87" t="n"/>
      <c r="I538" s="87" t="n"/>
      <c r="J538" s="87" t="n"/>
      <c r="K538" s="87" t="n"/>
      <c r="L538" s="87" t="n"/>
      <c r="M538" s="87" t="n"/>
      <c r="N538" s="87" t="n"/>
      <c r="O538" s="87" t="n"/>
      <c r="P538" s="87" t="n"/>
      <c r="Q538" s="87" t="n"/>
      <c r="R538" s="87" t="n"/>
      <c r="S538" s="87" t="n"/>
      <c r="T538" s="87" t="n"/>
      <c r="U538" s="87" t="n"/>
      <c r="V538" s="87" t="n"/>
      <c r="W538" s="87" t="n"/>
      <c r="X538" s="87" t="n"/>
      <c r="Y538" s="87" t="n"/>
      <c r="Z538" s="87" t="n"/>
    </row>
    <row r="539" ht="15.75" customHeight="1">
      <c r="A539" s="87" t="n"/>
      <c r="B539" s="87" t="n"/>
      <c r="C539" s="87" t="n"/>
      <c r="D539" s="87" t="n"/>
      <c r="E539" s="87" t="n"/>
      <c r="F539" s="87" t="n"/>
      <c r="G539" s="87" t="n"/>
      <c r="H539" s="87" t="n"/>
      <c r="I539" s="87" t="n"/>
      <c r="J539" s="87" t="n"/>
      <c r="K539" s="87" t="n"/>
      <c r="L539" s="87" t="n"/>
      <c r="M539" s="87" t="n"/>
      <c r="N539" s="87" t="n"/>
      <c r="O539" s="87" t="n"/>
      <c r="P539" s="87" t="n"/>
      <c r="Q539" s="87" t="n"/>
      <c r="R539" s="87" t="n"/>
      <c r="S539" s="87" t="n"/>
      <c r="T539" s="87" t="n"/>
      <c r="U539" s="87" t="n"/>
      <c r="V539" s="87" t="n"/>
      <c r="W539" s="87" t="n"/>
      <c r="X539" s="87" t="n"/>
      <c r="Y539" s="87" t="n"/>
      <c r="Z539" s="87" t="n"/>
    </row>
    <row r="540" ht="15.75" customHeight="1">
      <c r="A540" s="87" t="n"/>
      <c r="B540" s="87" t="n"/>
      <c r="C540" s="87" t="n"/>
      <c r="D540" s="87" t="n"/>
      <c r="E540" s="87" t="n"/>
      <c r="F540" s="87" t="n"/>
      <c r="G540" s="87" t="n"/>
      <c r="H540" s="87" t="n"/>
      <c r="I540" s="87" t="n"/>
      <c r="J540" s="87" t="n"/>
      <c r="K540" s="87" t="n"/>
      <c r="L540" s="87" t="n"/>
      <c r="M540" s="87" t="n"/>
      <c r="N540" s="87" t="n"/>
      <c r="O540" s="87" t="n"/>
      <c r="P540" s="87" t="n"/>
      <c r="Q540" s="87" t="n"/>
      <c r="R540" s="87" t="n"/>
      <c r="S540" s="87" t="n"/>
      <c r="T540" s="87" t="n"/>
      <c r="U540" s="87" t="n"/>
      <c r="V540" s="87" t="n"/>
      <c r="W540" s="87" t="n"/>
      <c r="X540" s="87" t="n"/>
      <c r="Y540" s="87" t="n"/>
      <c r="Z540" s="87" t="n"/>
    </row>
    <row r="541" ht="15.75" customHeight="1">
      <c r="A541" s="87" t="n"/>
      <c r="B541" s="87" t="n"/>
      <c r="C541" s="87" t="n"/>
      <c r="D541" s="87" t="n"/>
      <c r="E541" s="87" t="n"/>
      <c r="F541" s="87" t="n"/>
      <c r="G541" s="87" t="n"/>
      <c r="H541" s="87" t="n"/>
      <c r="I541" s="87" t="n"/>
      <c r="J541" s="87" t="n"/>
      <c r="K541" s="87" t="n"/>
      <c r="L541" s="87" t="n"/>
      <c r="M541" s="87" t="n"/>
      <c r="N541" s="87" t="n"/>
      <c r="O541" s="87" t="n"/>
      <c r="P541" s="87" t="n"/>
      <c r="Q541" s="87" t="n"/>
      <c r="R541" s="87" t="n"/>
      <c r="S541" s="87" t="n"/>
      <c r="T541" s="87" t="n"/>
      <c r="U541" s="87" t="n"/>
      <c r="V541" s="87" t="n"/>
      <c r="W541" s="87" t="n"/>
      <c r="X541" s="87" t="n"/>
      <c r="Y541" s="87" t="n"/>
      <c r="Z541" s="87" t="n"/>
    </row>
    <row r="542" ht="15.75" customHeight="1">
      <c r="A542" s="87" t="n"/>
      <c r="B542" s="87" t="n"/>
      <c r="C542" s="87" t="n"/>
      <c r="D542" s="87" t="n"/>
      <c r="E542" s="87" t="n"/>
      <c r="F542" s="87" t="n"/>
      <c r="G542" s="87" t="n"/>
      <c r="H542" s="87" t="n"/>
      <c r="I542" s="87" t="n"/>
      <c r="J542" s="87" t="n"/>
      <c r="K542" s="87" t="n"/>
      <c r="L542" s="87" t="n"/>
      <c r="M542" s="87" t="n"/>
      <c r="N542" s="87" t="n"/>
      <c r="O542" s="87" t="n"/>
      <c r="P542" s="87" t="n"/>
      <c r="Q542" s="87" t="n"/>
      <c r="R542" s="87" t="n"/>
      <c r="S542" s="87" t="n"/>
      <c r="T542" s="87" t="n"/>
      <c r="U542" s="87" t="n"/>
      <c r="V542" s="87" t="n"/>
      <c r="W542" s="87" t="n"/>
      <c r="X542" s="87" t="n"/>
      <c r="Y542" s="87" t="n"/>
      <c r="Z542" s="87" t="n"/>
    </row>
    <row r="543" ht="15.75" customHeight="1">
      <c r="A543" s="87" t="n"/>
      <c r="B543" s="87" t="n"/>
      <c r="C543" s="87" t="n"/>
      <c r="D543" s="87" t="n"/>
      <c r="E543" s="87" t="n"/>
      <c r="F543" s="87" t="n"/>
      <c r="G543" s="87" t="n"/>
      <c r="H543" s="87" t="n"/>
      <c r="I543" s="87" t="n"/>
      <c r="J543" s="87" t="n"/>
      <c r="K543" s="87" t="n"/>
      <c r="L543" s="87" t="n"/>
      <c r="M543" s="87" t="n"/>
      <c r="N543" s="87" t="n"/>
      <c r="O543" s="87" t="n"/>
      <c r="P543" s="87" t="n"/>
      <c r="Q543" s="87" t="n"/>
      <c r="R543" s="87" t="n"/>
      <c r="S543" s="87" t="n"/>
      <c r="T543" s="87" t="n"/>
      <c r="U543" s="87" t="n"/>
      <c r="V543" s="87" t="n"/>
      <c r="W543" s="87" t="n"/>
      <c r="X543" s="87" t="n"/>
      <c r="Y543" s="87" t="n"/>
      <c r="Z543" s="87" t="n"/>
    </row>
    <row r="544" ht="15.75" customHeight="1">
      <c r="A544" s="87" t="n"/>
      <c r="B544" s="87" t="n"/>
      <c r="C544" s="87" t="n"/>
      <c r="D544" s="87" t="n"/>
      <c r="E544" s="87" t="n"/>
      <c r="F544" s="87" t="n"/>
      <c r="G544" s="87" t="n"/>
      <c r="H544" s="87" t="n"/>
      <c r="I544" s="87" t="n"/>
      <c r="J544" s="87" t="n"/>
      <c r="K544" s="87" t="n"/>
      <c r="L544" s="87" t="n"/>
      <c r="M544" s="87" t="n"/>
      <c r="N544" s="87" t="n"/>
      <c r="O544" s="87" t="n"/>
      <c r="P544" s="87" t="n"/>
      <c r="Q544" s="87" t="n"/>
      <c r="R544" s="87" t="n"/>
      <c r="S544" s="87" t="n"/>
      <c r="T544" s="87" t="n"/>
      <c r="U544" s="87" t="n"/>
      <c r="V544" s="87" t="n"/>
      <c r="W544" s="87" t="n"/>
      <c r="X544" s="87" t="n"/>
      <c r="Y544" s="87" t="n"/>
      <c r="Z544" s="87" t="n"/>
    </row>
    <row r="545" ht="15.75" customHeight="1">
      <c r="A545" s="87" t="n"/>
      <c r="B545" s="87" t="n"/>
      <c r="C545" s="87" t="n"/>
      <c r="D545" s="87" t="n"/>
      <c r="E545" s="87" t="n"/>
      <c r="F545" s="87" t="n"/>
      <c r="G545" s="87" t="n"/>
      <c r="H545" s="87" t="n"/>
      <c r="I545" s="87" t="n"/>
      <c r="J545" s="87" t="n"/>
      <c r="K545" s="87" t="n"/>
      <c r="L545" s="87" t="n"/>
      <c r="M545" s="87" t="n"/>
      <c r="N545" s="87" t="n"/>
      <c r="O545" s="87" t="n"/>
      <c r="P545" s="87" t="n"/>
      <c r="Q545" s="87" t="n"/>
      <c r="R545" s="87" t="n"/>
      <c r="S545" s="87" t="n"/>
      <c r="T545" s="87" t="n"/>
      <c r="U545" s="87" t="n"/>
      <c r="V545" s="87" t="n"/>
      <c r="W545" s="87" t="n"/>
      <c r="X545" s="87" t="n"/>
      <c r="Y545" s="87" t="n"/>
      <c r="Z545" s="87" t="n"/>
    </row>
    <row r="546" ht="15.75" customHeight="1">
      <c r="A546" s="87" t="n"/>
      <c r="B546" s="87" t="n"/>
      <c r="C546" s="87" t="n"/>
      <c r="D546" s="87" t="n"/>
      <c r="E546" s="87" t="n"/>
      <c r="F546" s="87" t="n"/>
      <c r="G546" s="87" t="n"/>
      <c r="H546" s="87" t="n"/>
      <c r="I546" s="87" t="n"/>
      <c r="J546" s="87" t="n"/>
      <c r="K546" s="87" t="n"/>
      <c r="L546" s="87" t="n"/>
      <c r="M546" s="87" t="n"/>
      <c r="N546" s="87" t="n"/>
      <c r="O546" s="87" t="n"/>
      <c r="P546" s="87" t="n"/>
      <c r="Q546" s="87" t="n"/>
      <c r="R546" s="87" t="n"/>
      <c r="S546" s="87" t="n"/>
      <c r="T546" s="87" t="n"/>
      <c r="U546" s="87" t="n"/>
      <c r="V546" s="87" t="n"/>
      <c r="W546" s="87" t="n"/>
      <c r="X546" s="87" t="n"/>
      <c r="Y546" s="87" t="n"/>
      <c r="Z546" s="87" t="n"/>
    </row>
    <row r="547" ht="15.75" customHeight="1">
      <c r="A547" s="87" t="n"/>
      <c r="B547" s="87" t="n"/>
      <c r="C547" s="87" t="n"/>
      <c r="D547" s="87" t="n"/>
      <c r="E547" s="87" t="n"/>
      <c r="F547" s="87" t="n"/>
      <c r="G547" s="87" t="n"/>
      <c r="H547" s="87" t="n"/>
      <c r="I547" s="87" t="n"/>
      <c r="J547" s="87" t="n"/>
      <c r="K547" s="87" t="n"/>
      <c r="L547" s="87" t="n"/>
      <c r="M547" s="87" t="n"/>
      <c r="N547" s="87" t="n"/>
      <c r="O547" s="87" t="n"/>
      <c r="P547" s="87" t="n"/>
      <c r="Q547" s="87" t="n"/>
      <c r="R547" s="87" t="n"/>
      <c r="S547" s="87" t="n"/>
      <c r="T547" s="87" t="n"/>
      <c r="U547" s="87" t="n"/>
      <c r="V547" s="87" t="n"/>
      <c r="W547" s="87" t="n"/>
      <c r="X547" s="87" t="n"/>
      <c r="Y547" s="87" t="n"/>
      <c r="Z547" s="87" t="n"/>
    </row>
    <row r="548" ht="15.75" customHeight="1">
      <c r="A548" s="87" t="n"/>
      <c r="B548" s="87" t="n"/>
      <c r="C548" s="87" t="n"/>
      <c r="D548" s="87" t="n"/>
      <c r="E548" s="87" t="n"/>
      <c r="F548" s="87" t="n"/>
      <c r="G548" s="87" t="n"/>
      <c r="H548" s="87" t="n"/>
      <c r="I548" s="87" t="n"/>
      <c r="J548" s="87" t="n"/>
      <c r="K548" s="87" t="n"/>
      <c r="L548" s="87" t="n"/>
      <c r="M548" s="87" t="n"/>
      <c r="N548" s="87" t="n"/>
      <c r="O548" s="87" t="n"/>
      <c r="P548" s="87" t="n"/>
      <c r="Q548" s="87" t="n"/>
      <c r="R548" s="87" t="n"/>
      <c r="S548" s="87" t="n"/>
      <c r="T548" s="87" t="n"/>
      <c r="U548" s="87" t="n"/>
      <c r="V548" s="87" t="n"/>
      <c r="W548" s="87" t="n"/>
      <c r="X548" s="87" t="n"/>
      <c r="Y548" s="87" t="n"/>
      <c r="Z548" s="87" t="n"/>
    </row>
    <row r="549" ht="15.75" customHeight="1">
      <c r="A549" s="87" t="n"/>
      <c r="B549" s="87" t="n"/>
      <c r="C549" s="87" t="n"/>
      <c r="D549" s="87" t="n"/>
      <c r="E549" s="87" t="n"/>
      <c r="F549" s="87" t="n"/>
      <c r="G549" s="87" t="n"/>
      <c r="H549" s="87" t="n"/>
      <c r="I549" s="87" t="n"/>
      <c r="J549" s="87" t="n"/>
      <c r="K549" s="87" t="n"/>
      <c r="L549" s="87" t="n"/>
      <c r="M549" s="87" t="n"/>
      <c r="N549" s="87" t="n"/>
      <c r="O549" s="87" t="n"/>
      <c r="P549" s="87" t="n"/>
      <c r="Q549" s="87" t="n"/>
      <c r="R549" s="87" t="n"/>
      <c r="S549" s="87" t="n"/>
      <c r="T549" s="87" t="n"/>
      <c r="U549" s="87" t="n"/>
      <c r="V549" s="87" t="n"/>
      <c r="W549" s="87" t="n"/>
      <c r="X549" s="87" t="n"/>
      <c r="Y549" s="87" t="n"/>
      <c r="Z549" s="87" t="n"/>
    </row>
    <row r="550" ht="15.75" customHeight="1">
      <c r="A550" s="87" t="n"/>
      <c r="B550" s="87" t="n"/>
      <c r="C550" s="87" t="n"/>
      <c r="D550" s="87" t="n"/>
      <c r="E550" s="87" t="n"/>
      <c r="F550" s="87" t="n"/>
      <c r="G550" s="87" t="n"/>
      <c r="H550" s="87" t="n"/>
      <c r="I550" s="87" t="n"/>
      <c r="J550" s="87" t="n"/>
      <c r="K550" s="87" t="n"/>
      <c r="L550" s="87" t="n"/>
      <c r="M550" s="87" t="n"/>
      <c r="N550" s="87" t="n"/>
      <c r="O550" s="87" t="n"/>
      <c r="P550" s="87" t="n"/>
      <c r="Q550" s="87" t="n"/>
      <c r="R550" s="87" t="n"/>
      <c r="S550" s="87" t="n"/>
      <c r="T550" s="87" t="n"/>
      <c r="U550" s="87" t="n"/>
      <c r="V550" s="87" t="n"/>
      <c r="W550" s="87" t="n"/>
      <c r="X550" s="87" t="n"/>
      <c r="Y550" s="87" t="n"/>
      <c r="Z550" s="87" t="n"/>
    </row>
    <row r="551" ht="15.75" customHeight="1">
      <c r="A551" s="87" t="n"/>
      <c r="B551" s="87" t="n"/>
      <c r="C551" s="87" t="n"/>
      <c r="D551" s="87" t="n"/>
      <c r="E551" s="87" t="n"/>
      <c r="F551" s="87" t="n"/>
      <c r="G551" s="87" t="n"/>
      <c r="H551" s="87" t="n"/>
      <c r="I551" s="87" t="n"/>
      <c r="J551" s="87" t="n"/>
      <c r="K551" s="87" t="n"/>
      <c r="L551" s="87" t="n"/>
      <c r="M551" s="87" t="n"/>
      <c r="N551" s="87" t="n"/>
      <c r="O551" s="87" t="n"/>
      <c r="P551" s="87" t="n"/>
      <c r="Q551" s="87" t="n"/>
      <c r="R551" s="87" t="n"/>
      <c r="S551" s="87" t="n"/>
      <c r="T551" s="87" t="n"/>
      <c r="U551" s="87" t="n"/>
      <c r="V551" s="87" t="n"/>
      <c r="W551" s="87" t="n"/>
      <c r="X551" s="87" t="n"/>
      <c r="Y551" s="87" t="n"/>
      <c r="Z551" s="87" t="n"/>
    </row>
    <row r="552" ht="15.75" customHeight="1">
      <c r="A552" s="87" t="n"/>
      <c r="B552" s="87" t="n"/>
      <c r="C552" s="87" t="n"/>
      <c r="D552" s="87" t="n"/>
      <c r="E552" s="87" t="n"/>
      <c r="F552" s="87" t="n"/>
      <c r="G552" s="87" t="n"/>
      <c r="H552" s="87" t="n"/>
      <c r="I552" s="87" t="n"/>
      <c r="J552" s="87" t="n"/>
      <c r="K552" s="87" t="n"/>
      <c r="L552" s="87" t="n"/>
      <c r="M552" s="87" t="n"/>
      <c r="N552" s="87" t="n"/>
      <c r="O552" s="87" t="n"/>
      <c r="P552" s="87" t="n"/>
      <c r="Q552" s="87" t="n"/>
      <c r="R552" s="87" t="n"/>
      <c r="S552" s="87" t="n"/>
      <c r="T552" s="87" t="n"/>
      <c r="U552" s="87" t="n"/>
      <c r="V552" s="87" t="n"/>
      <c r="W552" s="87" t="n"/>
      <c r="X552" s="87" t="n"/>
      <c r="Y552" s="87" t="n"/>
      <c r="Z552" s="87" t="n"/>
    </row>
    <row r="553" ht="15.75" customHeight="1">
      <c r="A553" s="87" t="n"/>
      <c r="B553" s="87" t="n"/>
      <c r="C553" s="87" t="n"/>
      <c r="D553" s="87" t="n"/>
      <c r="E553" s="87" t="n"/>
      <c r="F553" s="87" t="n"/>
      <c r="G553" s="87" t="n"/>
      <c r="H553" s="87" t="n"/>
      <c r="I553" s="87" t="n"/>
      <c r="J553" s="87" t="n"/>
      <c r="K553" s="87" t="n"/>
      <c r="L553" s="87" t="n"/>
      <c r="M553" s="87" t="n"/>
      <c r="N553" s="87" t="n"/>
      <c r="O553" s="87" t="n"/>
      <c r="P553" s="87" t="n"/>
      <c r="Q553" s="87" t="n"/>
      <c r="R553" s="87" t="n"/>
      <c r="S553" s="87" t="n"/>
      <c r="T553" s="87" t="n"/>
      <c r="U553" s="87" t="n"/>
      <c r="V553" s="87" t="n"/>
      <c r="W553" s="87" t="n"/>
      <c r="X553" s="87" t="n"/>
      <c r="Y553" s="87" t="n"/>
      <c r="Z553" s="87" t="n"/>
    </row>
    <row r="554" ht="15.75" customHeight="1">
      <c r="A554" s="87" t="n"/>
      <c r="B554" s="87" t="n"/>
      <c r="C554" s="87" t="n"/>
      <c r="D554" s="87" t="n"/>
      <c r="E554" s="87" t="n"/>
      <c r="F554" s="87" t="n"/>
      <c r="G554" s="87" t="n"/>
      <c r="H554" s="87" t="n"/>
      <c r="I554" s="87" t="n"/>
      <c r="J554" s="87" t="n"/>
      <c r="K554" s="87" t="n"/>
      <c r="L554" s="87" t="n"/>
      <c r="M554" s="87" t="n"/>
      <c r="N554" s="87" t="n"/>
      <c r="O554" s="87" t="n"/>
      <c r="P554" s="87" t="n"/>
      <c r="Q554" s="87" t="n"/>
      <c r="R554" s="87" t="n"/>
      <c r="S554" s="87" t="n"/>
      <c r="T554" s="87" t="n"/>
      <c r="U554" s="87" t="n"/>
      <c r="V554" s="87" t="n"/>
      <c r="W554" s="87" t="n"/>
      <c r="X554" s="87" t="n"/>
      <c r="Y554" s="87" t="n"/>
      <c r="Z554" s="87" t="n"/>
    </row>
    <row r="555" ht="15.75" customHeight="1">
      <c r="A555" s="87" t="n"/>
      <c r="B555" s="87" t="n"/>
      <c r="C555" s="87" t="n"/>
      <c r="D555" s="87" t="n"/>
      <c r="E555" s="87" t="n"/>
      <c r="F555" s="87" t="n"/>
      <c r="G555" s="87" t="n"/>
      <c r="H555" s="87" t="n"/>
      <c r="I555" s="87" t="n"/>
      <c r="J555" s="87" t="n"/>
      <c r="K555" s="87" t="n"/>
      <c r="L555" s="87" t="n"/>
      <c r="M555" s="87" t="n"/>
      <c r="N555" s="87" t="n"/>
      <c r="O555" s="87" t="n"/>
      <c r="P555" s="87" t="n"/>
      <c r="Q555" s="87" t="n"/>
      <c r="R555" s="87" t="n"/>
      <c r="S555" s="87" t="n"/>
      <c r="T555" s="87" t="n"/>
      <c r="U555" s="87" t="n"/>
      <c r="V555" s="87" t="n"/>
      <c r="W555" s="87" t="n"/>
      <c r="X555" s="87" t="n"/>
      <c r="Y555" s="87" t="n"/>
      <c r="Z555" s="87" t="n"/>
    </row>
    <row r="556" ht="15.75" customHeight="1">
      <c r="A556" s="87" t="n"/>
      <c r="B556" s="87" t="n"/>
      <c r="C556" s="87" t="n"/>
      <c r="D556" s="87" t="n"/>
      <c r="E556" s="87" t="n"/>
      <c r="F556" s="87" t="n"/>
      <c r="G556" s="87" t="n"/>
      <c r="H556" s="87" t="n"/>
      <c r="I556" s="87" t="n"/>
      <c r="J556" s="87" t="n"/>
      <c r="K556" s="87" t="n"/>
      <c r="L556" s="87" t="n"/>
      <c r="M556" s="87" t="n"/>
      <c r="N556" s="87" t="n"/>
      <c r="O556" s="87" t="n"/>
      <c r="P556" s="87" t="n"/>
      <c r="Q556" s="87" t="n"/>
      <c r="R556" s="87" t="n"/>
      <c r="S556" s="87" t="n"/>
      <c r="T556" s="87" t="n"/>
      <c r="U556" s="87" t="n"/>
      <c r="V556" s="87" t="n"/>
      <c r="W556" s="87" t="n"/>
      <c r="X556" s="87" t="n"/>
      <c r="Y556" s="87" t="n"/>
      <c r="Z556" s="87" t="n"/>
    </row>
    <row r="557" ht="15.75" customHeight="1">
      <c r="A557" s="87" t="n"/>
      <c r="B557" s="87" t="n"/>
      <c r="C557" s="87" t="n"/>
      <c r="D557" s="87" t="n"/>
      <c r="E557" s="87" t="n"/>
      <c r="F557" s="87" t="n"/>
      <c r="G557" s="87" t="n"/>
      <c r="H557" s="87" t="n"/>
      <c r="I557" s="87" t="n"/>
      <c r="J557" s="87" t="n"/>
      <c r="K557" s="87" t="n"/>
      <c r="L557" s="87" t="n"/>
      <c r="M557" s="87" t="n"/>
      <c r="N557" s="87" t="n"/>
      <c r="O557" s="87" t="n"/>
      <c r="P557" s="87" t="n"/>
      <c r="Q557" s="87" t="n"/>
      <c r="R557" s="87" t="n"/>
      <c r="S557" s="87" t="n"/>
      <c r="T557" s="87" t="n"/>
      <c r="U557" s="87" t="n"/>
      <c r="V557" s="87" t="n"/>
      <c r="W557" s="87" t="n"/>
      <c r="X557" s="87" t="n"/>
      <c r="Y557" s="87" t="n"/>
      <c r="Z557" s="87" t="n"/>
    </row>
    <row r="558" ht="15.75" customHeight="1">
      <c r="A558" s="87" t="n"/>
      <c r="B558" s="87" t="n"/>
      <c r="C558" s="87" t="n"/>
      <c r="D558" s="87" t="n"/>
      <c r="E558" s="87" t="n"/>
      <c r="F558" s="87" t="n"/>
      <c r="G558" s="87" t="n"/>
      <c r="H558" s="87" t="n"/>
      <c r="I558" s="87" t="n"/>
      <c r="J558" s="87" t="n"/>
      <c r="K558" s="87" t="n"/>
      <c r="L558" s="87" t="n"/>
      <c r="M558" s="87" t="n"/>
      <c r="N558" s="87" t="n"/>
      <c r="O558" s="87" t="n"/>
      <c r="P558" s="87" t="n"/>
      <c r="Q558" s="87" t="n"/>
      <c r="R558" s="87" t="n"/>
      <c r="S558" s="87" t="n"/>
      <c r="T558" s="87" t="n"/>
      <c r="U558" s="87" t="n"/>
      <c r="V558" s="87" t="n"/>
      <c r="W558" s="87" t="n"/>
      <c r="X558" s="87" t="n"/>
      <c r="Y558" s="87" t="n"/>
      <c r="Z558" s="87" t="n"/>
    </row>
    <row r="559" ht="15.75" customHeight="1">
      <c r="A559" s="87" t="n"/>
      <c r="B559" s="87" t="n"/>
      <c r="C559" s="87" t="n"/>
      <c r="D559" s="87" t="n"/>
      <c r="E559" s="87" t="n"/>
      <c r="F559" s="87" t="n"/>
      <c r="G559" s="87" t="n"/>
      <c r="H559" s="87" t="n"/>
      <c r="I559" s="87" t="n"/>
      <c r="J559" s="87" t="n"/>
      <c r="K559" s="87" t="n"/>
      <c r="L559" s="87" t="n"/>
      <c r="M559" s="87" t="n"/>
      <c r="N559" s="87" t="n"/>
      <c r="O559" s="87" t="n"/>
      <c r="P559" s="87" t="n"/>
      <c r="Q559" s="87" t="n"/>
      <c r="R559" s="87" t="n"/>
      <c r="S559" s="87" t="n"/>
      <c r="T559" s="87" t="n"/>
      <c r="U559" s="87" t="n"/>
      <c r="V559" s="87" t="n"/>
      <c r="W559" s="87" t="n"/>
      <c r="X559" s="87" t="n"/>
      <c r="Y559" s="87" t="n"/>
      <c r="Z559" s="87" t="n"/>
    </row>
    <row r="560" ht="15.75" customHeight="1">
      <c r="A560" s="87" t="n"/>
      <c r="B560" s="87" t="n"/>
      <c r="C560" s="87" t="n"/>
      <c r="D560" s="87" t="n"/>
      <c r="E560" s="87" t="n"/>
      <c r="F560" s="87" t="n"/>
      <c r="G560" s="87" t="n"/>
      <c r="H560" s="87" t="n"/>
      <c r="I560" s="87" t="n"/>
      <c r="J560" s="87" t="n"/>
      <c r="K560" s="87" t="n"/>
      <c r="L560" s="87" t="n"/>
      <c r="M560" s="87" t="n"/>
      <c r="N560" s="87" t="n"/>
      <c r="O560" s="87" t="n"/>
      <c r="P560" s="87" t="n"/>
      <c r="Q560" s="87" t="n"/>
      <c r="R560" s="87" t="n"/>
      <c r="S560" s="87" t="n"/>
      <c r="T560" s="87" t="n"/>
      <c r="U560" s="87" t="n"/>
      <c r="V560" s="87" t="n"/>
      <c r="W560" s="87" t="n"/>
      <c r="X560" s="87" t="n"/>
      <c r="Y560" s="87" t="n"/>
      <c r="Z560" s="87" t="n"/>
    </row>
    <row r="561" ht="15.75" customHeight="1">
      <c r="A561" s="87" t="n"/>
      <c r="B561" s="87" t="n"/>
      <c r="C561" s="87" t="n"/>
      <c r="D561" s="87" t="n"/>
      <c r="E561" s="87" t="n"/>
      <c r="F561" s="87" t="n"/>
      <c r="G561" s="87" t="n"/>
      <c r="H561" s="87" t="n"/>
      <c r="I561" s="87" t="n"/>
      <c r="J561" s="87" t="n"/>
      <c r="K561" s="87" t="n"/>
      <c r="L561" s="87" t="n"/>
      <c r="M561" s="87" t="n"/>
      <c r="N561" s="87" t="n"/>
      <c r="O561" s="87" t="n"/>
      <c r="P561" s="87" t="n"/>
      <c r="Q561" s="87" t="n"/>
      <c r="R561" s="87" t="n"/>
      <c r="S561" s="87" t="n"/>
      <c r="T561" s="87" t="n"/>
      <c r="U561" s="87" t="n"/>
      <c r="V561" s="87" t="n"/>
      <c r="W561" s="87" t="n"/>
      <c r="X561" s="87" t="n"/>
      <c r="Y561" s="87" t="n"/>
      <c r="Z561" s="87" t="n"/>
    </row>
    <row r="562" ht="15.75" customHeight="1">
      <c r="A562" s="87" t="n"/>
      <c r="B562" s="87" t="n"/>
      <c r="C562" s="87" t="n"/>
      <c r="D562" s="87" t="n"/>
      <c r="E562" s="87" t="n"/>
      <c r="F562" s="87" t="n"/>
      <c r="G562" s="87" t="n"/>
      <c r="H562" s="87" t="n"/>
      <c r="I562" s="87" t="n"/>
      <c r="J562" s="87" t="n"/>
      <c r="K562" s="87" t="n"/>
      <c r="L562" s="87" t="n"/>
      <c r="M562" s="87" t="n"/>
      <c r="N562" s="87" t="n"/>
      <c r="O562" s="87" t="n"/>
      <c r="P562" s="87" t="n"/>
      <c r="Q562" s="87" t="n"/>
      <c r="R562" s="87" t="n"/>
      <c r="S562" s="87" t="n"/>
      <c r="T562" s="87" t="n"/>
      <c r="U562" s="87" t="n"/>
      <c r="V562" s="87" t="n"/>
      <c r="W562" s="87" t="n"/>
      <c r="X562" s="87" t="n"/>
      <c r="Y562" s="87" t="n"/>
      <c r="Z562" s="87" t="n"/>
    </row>
    <row r="563" ht="15.75" customHeight="1">
      <c r="A563" s="87" t="n"/>
      <c r="B563" s="87" t="n"/>
      <c r="C563" s="87" t="n"/>
      <c r="D563" s="87" t="n"/>
      <c r="E563" s="87" t="n"/>
      <c r="F563" s="87" t="n"/>
      <c r="G563" s="87" t="n"/>
      <c r="H563" s="87" t="n"/>
      <c r="I563" s="87" t="n"/>
      <c r="J563" s="87" t="n"/>
      <c r="K563" s="87" t="n"/>
      <c r="L563" s="87" t="n"/>
      <c r="M563" s="87" t="n"/>
      <c r="N563" s="87" t="n"/>
      <c r="O563" s="87" t="n"/>
      <c r="P563" s="87" t="n"/>
      <c r="Q563" s="87" t="n"/>
      <c r="R563" s="87" t="n"/>
      <c r="S563" s="87" t="n"/>
      <c r="T563" s="87" t="n"/>
      <c r="U563" s="87" t="n"/>
      <c r="V563" s="87" t="n"/>
      <c r="W563" s="87" t="n"/>
      <c r="X563" s="87" t="n"/>
      <c r="Y563" s="87" t="n"/>
      <c r="Z563" s="87" t="n"/>
    </row>
    <row r="564" ht="15.75" customHeight="1">
      <c r="A564" s="87" t="n"/>
      <c r="B564" s="87" t="n"/>
      <c r="C564" s="87" t="n"/>
      <c r="D564" s="87" t="n"/>
      <c r="E564" s="87" t="n"/>
      <c r="F564" s="87" t="n"/>
      <c r="G564" s="87" t="n"/>
      <c r="H564" s="87" t="n"/>
      <c r="I564" s="87" t="n"/>
      <c r="J564" s="87" t="n"/>
      <c r="K564" s="87" t="n"/>
      <c r="L564" s="87" t="n"/>
      <c r="M564" s="87" t="n"/>
      <c r="N564" s="87" t="n"/>
      <c r="O564" s="87" t="n"/>
      <c r="P564" s="87" t="n"/>
      <c r="Q564" s="87" t="n"/>
      <c r="R564" s="87" t="n"/>
      <c r="S564" s="87" t="n"/>
      <c r="T564" s="87" t="n"/>
      <c r="U564" s="87" t="n"/>
      <c r="V564" s="87" t="n"/>
      <c r="W564" s="87" t="n"/>
      <c r="X564" s="87" t="n"/>
      <c r="Y564" s="87" t="n"/>
      <c r="Z564" s="87" t="n"/>
    </row>
    <row r="565" ht="15.75" customHeight="1">
      <c r="A565" s="87" t="n"/>
      <c r="B565" s="87" t="n"/>
      <c r="C565" s="87" t="n"/>
      <c r="D565" s="87" t="n"/>
      <c r="E565" s="87" t="n"/>
      <c r="F565" s="87" t="n"/>
      <c r="G565" s="87" t="n"/>
      <c r="H565" s="87" t="n"/>
      <c r="I565" s="87" t="n"/>
      <c r="J565" s="87" t="n"/>
      <c r="K565" s="87" t="n"/>
      <c r="L565" s="87" t="n"/>
      <c r="M565" s="87" t="n"/>
      <c r="N565" s="87" t="n"/>
      <c r="O565" s="87" t="n"/>
      <c r="P565" s="87" t="n"/>
      <c r="Q565" s="87" t="n"/>
      <c r="R565" s="87" t="n"/>
      <c r="S565" s="87" t="n"/>
      <c r="T565" s="87" t="n"/>
      <c r="U565" s="87" t="n"/>
      <c r="V565" s="87" t="n"/>
      <c r="W565" s="87" t="n"/>
      <c r="X565" s="87" t="n"/>
      <c r="Y565" s="87" t="n"/>
      <c r="Z565" s="87" t="n"/>
    </row>
    <row r="566" ht="15.75" customHeight="1">
      <c r="A566" s="87" t="n"/>
      <c r="B566" s="87" t="n"/>
      <c r="C566" s="87" t="n"/>
      <c r="D566" s="87" t="n"/>
      <c r="E566" s="87" t="n"/>
      <c r="F566" s="87" t="n"/>
      <c r="G566" s="87" t="n"/>
      <c r="H566" s="87" t="n"/>
      <c r="I566" s="87" t="n"/>
      <c r="J566" s="87" t="n"/>
      <c r="K566" s="87" t="n"/>
      <c r="L566" s="87" t="n"/>
      <c r="M566" s="87" t="n"/>
      <c r="N566" s="87" t="n"/>
      <c r="O566" s="87" t="n"/>
      <c r="P566" s="87" t="n"/>
      <c r="Q566" s="87" t="n"/>
      <c r="R566" s="87" t="n"/>
      <c r="S566" s="87" t="n"/>
      <c r="T566" s="87" t="n"/>
      <c r="U566" s="87" t="n"/>
      <c r="V566" s="87" t="n"/>
      <c r="W566" s="87" t="n"/>
      <c r="X566" s="87" t="n"/>
      <c r="Y566" s="87" t="n"/>
      <c r="Z566" s="87" t="n"/>
    </row>
    <row r="567" ht="15.75" customHeight="1">
      <c r="A567" s="87" t="n"/>
      <c r="B567" s="87" t="n"/>
      <c r="C567" s="87" t="n"/>
      <c r="D567" s="87" t="n"/>
      <c r="E567" s="87" t="n"/>
      <c r="F567" s="87" t="n"/>
      <c r="G567" s="87" t="n"/>
      <c r="H567" s="87" t="n"/>
      <c r="I567" s="87" t="n"/>
      <c r="J567" s="87" t="n"/>
      <c r="K567" s="87" t="n"/>
      <c r="L567" s="87" t="n"/>
      <c r="M567" s="87" t="n"/>
      <c r="N567" s="87" t="n"/>
      <c r="O567" s="87" t="n"/>
      <c r="P567" s="87" t="n"/>
      <c r="Q567" s="87" t="n"/>
      <c r="R567" s="87" t="n"/>
      <c r="S567" s="87" t="n"/>
      <c r="T567" s="87" t="n"/>
      <c r="U567" s="87" t="n"/>
      <c r="V567" s="87" t="n"/>
      <c r="W567" s="87" t="n"/>
      <c r="X567" s="87" t="n"/>
      <c r="Y567" s="87" t="n"/>
      <c r="Z567" s="87" t="n"/>
    </row>
    <row r="568" ht="15.75" customHeight="1">
      <c r="A568" s="87" t="n"/>
      <c r="B568" s="87" t="n"/>
      <c r="C568" s="87" t="n"/>
      <c r="D568" s="87" t="n"/>
      <c r="E568" s="87" t="n"/>
      <c r="F568" s="87" t="n"/>
      <c r="G568" s="87" t="n"/>
      <c r="H568" s="87" t="n"/>
      <c r="I568" s="87" t="n"/>
      <c r="J568" s="87" t="n"/>
      <c r="K568" s="87" t="n"/>
      <c r="L568" s="87" t="n"/>
      <c r="M568" s="87" t="n"/>
      <c r="N568" s="87" t="n"/>
      <c r="O568" s="87" t="n"/>
      <c r="P568" s="87" t="n"/>
      <c r="Q568" s="87" t="n"/>
      <c r="R568" s="87" t="n"/>
      <c r="S568" s="87" t="n"/>
      <c r="T568" s="87" t="n"/>
      <c r="U568" s="87" t="n"/>
      <c r="V568" s="87" t="n"/>
      <c r="W568" s="87" t="n"/>
      <c r="X568" s="87" t="n"/>
      <c r="Y568" s="87" t="n"/>
      <c r="Z568" s="87" t="n"/>
    </row>
    <row r="569" ht="15.75" customHeight="1">
      <c r="A569" s="87" t="n"/>
      <c r="B569" s="87" t="n"/>
      <c r="C569" s="87" t="n"/>
      <c r="D569" s="87" t="n"/>
      <c r="E569" s="87" t="n"/>
      <c r="F569" s="87" t="n"/>
      <c r="G569" s="87" t="n"/>
      <c r="H569" s="87" t="n"/>
      <c r="I569" s="87" t="n"/>
      <c r="J569" s="87" t="n"/>
      <c r="K569" s="87" t="n"/>
      <c r="L569" s="87" t="n"/>
      <c r="M569" s="87" t="n"/>
      <c r="N569" s="87" t="n"/>
      <c r="O569" s="87" t="n"/>
      <c r="P569" s="87" t="n"/>
      <c r="Q569" s="87" t="n"/>
      <c r="R569" s="87" t="n"/>
      <c r="S569" s="87" t="n"/>
      <c r="T569" s="87" t="n"/>
      <c r="U569" s="87" t="n"/>
      <c r="V569" s="87" t="n"/>
      <c r="W569" s="87" t="n"/>
      <c r="X569" s="87" t="n"/>
      <c r="Y569" s="87" t="n"/>
      <c r="Z569" s="87" t="n"/>
    </row>
    <row r="570" ht="15.75" customHeight="1">
      <c r="A570" s="87" t="n"/>
      <c r="B570" s="87" t="n"/>
      <c r="C570" s="87" t="n"/>
      <c r="D570" s="87" t="n"/>
      <c r="E570" s="87" t="n"/>
      <c r="F570" s="87" t="n"/>
      <c r="G570" s="87" t="n"/>
      <c r="H570" s="87" t="n"/>
      <c r="I570" s="87" t="n"/>
      <c r="J570" s="87" t="n"/>
      <c r="K570" s="87" t="n"/>
      <c r="L570" s="87" t="n"/>
      <c r="M570" s="87" t="n"/>
      <c r="N570" s="87" t="n"/>
      <c r="O570" s="87" t="n"/>
      <c r="P570" s="87" t="n"/>
      <c r="Q570" s="87" t="n"/>
      <c r="R570" s="87" t="n"/>
      <c r="S570" s="87" t="n"/>
      <c r="T570" s="87" t="n"/>
      <c r="U570" s="87" t="n"/>
      <c r="V570" s="87" t="n"/>
      <c r="W570" s="87" t="n"/>
      <c r="X570" s="87" t="n"/>
      <c r="Y570" s="87" t="n"/>
      <c r="Z570" s="87" t="n"/>
    </row>
    <row r="571" ht="15.75" customHeight="1">
      <c r="A571" s="87" t="n"/>
      <c r="B571" s="87" t="n"/>
      <c r="C571" s="87" t="n"/>
      <c r="D571" s="87" t="n"/>
      <c r="E571" s="87" t="n"/>
      <c r="F571" s="87" t="n"/>
      <c r="G571" s="87" t="n"/>
      <c r="H571" s="87" t="n"/>
      <c r="I571" s="87" t="n"/>
      <c r="J571" s="87" t="n"/>
      <c r="K571" s="87" t="n"/>
      <c r="L571" s="87" t="n"/>
      <c r="M571" s="87" t="n"/>
      <c r="N571" s="87" t="n"/>
      <c r="O571" s="87" t="n"/>
      <c r="P571" s="87" t="n"/>
      <c r="Q571" s="87" t="n"/>
      <c r="R571" s="87" t="n"/>
      <c r="S571" s="87" t="n"/>
      <c r="T571" s="87" t="n"/>
      <c r="U571" s="87" t="n"/>
      <c r="V571" s="87" t="n"/>
      <c r="W571" s="87" t="n"/>
      <c r="X571" s="87" t="n"/>
      <c r="Y571" s="87" t="n"/>
      <c r="Z571" s="87" t="n"/>
    </row>
    <row r="572" ht="15.75" customHeight="1">
      <c r="A572" s="87" t="n"/>
      <c r="B572" s="87" t="n"/>
      <c r="C572" s="87" t="n"/>
      <c r="D572" s="87" t="n"/>
      <c r="E572" s="87" t="n"/>
      <c r="F572" s="87" t="n"/>
      <c r="G572" s="87" t="n"/>
      <c r="H572" s="87" t="n"/>
      <c r="I572" s="87" t="n"/>
      <c r="J572" s="87" t="n"/>
      <c r="K572" s="87" t="n"/>
      <c r="L572" s="87" t="n"/>
      <c r="M572" s="87" t="n"/>
      <c r="N572" s="87" t="n"/>
      <c r="O572" s="87" t="n"/>
      <c r="P572" s="87" t="n"/>
      <c r="Q572" s="87" t="n"/>
      <c r="R572" s="87" t="n"/>
      <c r="S572" s="87" t="n"/>
      <c r="T572" s="87" t="n"/>
      <c r="U572" s="87" t="n"/>
      <c r="V572" s="87" t="n"/>
      <c r="W572" s="87" t="n"/>
      <c r="X572" s="87" t="n"/>
      <c r="Y572" s="87" t="n"/>
      <c r="Z572" s="87" t="n"/>
    </row>
    <row r="573" ht="15.75" customHeight="1">
      <c r="A573" s="87" t="n"/>
      <c r="B573" s="87" t="n"/>
      <c r="C573" s="87" t="n"/>
      <c r="D573" s="87" t="n"/>
      <c r="E573" s="87" t="n"/>
      <c r="F573" s="87" t="n"/>
      <c r="G573" s="87" t="n"/>
      <c r="H573" s="87" t="n"/>
      <c r="I573" s="87" t="n"/>
      <c r="J573" s="87" t="n"/>
      <c r="K573" s="87" t="n"/>
      <c r="L573" s="87" t="n"/>
      <c r="M573" s="87" t="n"/>
      <c r="N573" s="87" t="n"/>
      <c r="O573" s="87" t="n"/>
      <c r="P573" s="87" t="n"/>
      <c r="Q573" s="87" t="n"/>
      <c r="R573" s="87" t="n"/>
      <c r="S573" s="87" t="n"/>
      <c r="T573" s="87" t="n"/>
      <c r="U573" s="87" t="n"/>
      <c r="V573" s="87" t="n"/>
      <c r="W573" s="87" t="n"/>
      <c r="X573" s="87" t="n"/>
      <c r="Y573" s="87" t="n"/>
      <c r="Z573" s="87" t="n"/>
    </row>
    <row r="574" ht="15.75" customHeight="1">
      <c r="A574" s="87" t="n"/>
      <c r="B574" s="87" t="n"/>
      <c r="C574" s="87" t="n"/>
      <c r="D574" s="87" t="n"/>
      <c r="E574" s="87" t="n"/>
      <c r="F574" s="87" t="n"/>
      <c r="G574" s="87" t="n"/>
      <c r="H574" s="87" t="n"/>
      <c r="I574" s="87" t="n"/>
      <c r="J574" s="87" t="n"/>
      <c r="K574" s="87" t="n"/>
      <c r="L574" s="87" t="n"/>
      <c r="M574" s="87" t="n"/>
      <c r="N574" s="87" t="n"/>
      <c r="O574" s="87" t="n"/>
      <c r="P574" s="87" t="n"/>
      <c r="Q574" s="87" t="n"/>
      <c r="R574" s="87" t="n"/>
      <c r="S574" s="87" t="n"/>
      <c r="T574" s="87" t="n"/>
      <c r="U574" s="87" t="n"/>
      <c r="V574" s="87" t="n"/>
      <c r="W574" s="87" t="n"/>
      <c r="X574" s="87" t="n"/>
      <c r="Y574" s="87" t="n"/>
      <c r="Z574" s="87" t="n"/>
    </row>
    <row r="575" ht="15.75" customHeight="1">
      <c r="A575" s="87" t="n"/>
      <c r="B575" s="87" t="n"/>
      <c r="C575" s="87" t="n"/>
      <c r="D575" s="87" t="n"/>
      <c r="E575" s="87" t="n"/>
      <c r="F575" s="87" t="n"/>
      <c r="G575" s="87" t="n"/>
      <c r="H575" s="87" t="n"/>
      <c r="I575" s="87" t="n"/>
      <c r="J575" s="87" t="n"/>
      <c r="K575" s="87" t="n"/>
      <c r="L575" s="87" t="n"/>
      <c r="M575" s="87" t="n"/>
      <c r="N575" s="87" t="n"/>
      <c r="O575" s="87" t="n"/>
      <c r="P575" s="87" t="n"/>
      <c r="Q575" s="87" t="n"/>
      <c r="R575" s="87" t="n"/>
      <c r="S575" s="87" t="n"/>
      <c r="T575" s="87" t="n"/>
      <c r="U575" s="87" t="n"/>
      <c r="V575" s="87" t="n"/>
      <c r="W575" s="87" t="n"/>
      <c r="X575" s="87" t="n"/>
      <c r="Y575" s="87" t="n"/>
      <c r="Z575" s="87" t="n"/>
    </row>
    <row r="576" ht="15.75" customHeight="1">
      <c r="A576" s="87" t="n"/>
      <c r="B576" s="87" t="n"/>
      <c r="C576" s="87" t="n"/>
      <c r="D576" s="87" t="n"/>
      <c r="E576" s="87" t="n"/>
      <c r="F576" s="87" t="n"/>
      <c r="G576" s="87" t="n"/>
      <c r="H576" s="87" t="n"/>
      <c r="I576" s="87" t="n"/>
      <c r="J576" s="87" t="n"/>
      <c r="K576" s="87" t="n"/>
      <c r="L576" s="87" t="n"/>
      <c r="M576" s="87" t="n"/>
      <c r="N576" s="87" t="n"/>
      <c r="O576" s="87" t="n"/>
      <c r="P576" s="87" t="n"/>
      <c r="Q576" s="87" t="n"/>
      <c r="R576" s="87" t="n"/>
      <c r="S576" s="87" t="n"/>
      <c r="T576" s="87" t="n"/>
      <c r="U576" s="87" t="n"/>
      <c r="V576" s="87" t="n"/>
      <c r="W576" s="87" t="n"/>
      <c r="X576" s="87" t="n"/>
      <c r="Y576" s="87" t="n"/>
      <c r="Z576" s="87" t="n"/>
    </row>
    <row r="577" ht="15.75" customHeight="1">
      <c r="A577" s="87" t="n"/>
      <c r="B577" s="87" t="n"/>
      <c r="C577" s="87" t="n"/>
      <c r="D577" s="87" t="n"/>
      <c r="E577" s="87" t="n"/>
      <c r="F577" s="87" t="n"/>
      <c r="G577" s="87" t="n"/>
      <c r="H577" s="87" t="n"/>
      <c r="I577" s="87" t="n"/>
      <c r="J577" s="87" t="n"/>
      <c r="K577" s="87" t="n"/>
      <c r="L577" s="87" t="n"/>
      <c r="M577" s="87" t="n"/>
      <c r="N577" s="87" t="n"/>
      <c r="O577" s="87" t="n"/>
      <c r="P577" s="87" t="n"/>
      <c r="Q577" s="87" t="n"/>
      <c r="R577" s="87" t="n"/>
      <c r="S577" s="87" t="n"/>
      <c r="T577" s="87" t="n"/>
      <c r="U577" s="87" t="n"/>
      <c r="V577" s="87" t="n"/>
      <c r="W577" s="87" t="n"/>
      <c r="X577" s="87" t="n"/>
      <c r="Y577" s="87" t="n"/>
      <c r="Z577" s="87" t="n"/>
    </row>
    <row r="578" ht="15.75" customHeight="1">
      <c r="A578" s="87" t="n"/>
      <c r="B578" s="87" t="n"/>
      <c r="C578" s="87" t="n"/>
      <c r="D578" s="87" t="n"/>
      <c r="E578" s="87" t="n"/>
      <c r="F578" s="87" t="n"/>
      <c r="G578" s="87" t="n"/>
      <c r="H578" s="87" t="n"/>
      <c r="I578" s="87" t="n"/>
      <c r="J578" s="87" t="n"/>
      <c r="K578" s="87" t="n"/>
      <c r="L578" s="87" t="n"/>
      <c r="M578" s="87" t="n"/>
      <c r="N578" s="87" t="n"/>
      <c r="O578" s="87" t="n"/>
      <c r="P578" s="87" t="n"/>
      <c r="Q578" s="87" t="n"/>
      <c r="R578" s="87" t="n"/>
      <c r="S578" s="87" t="n"/>
      <c r="T578" s="87" t="n"/>
      <c r="U578" s="87" t="n"/>
      <c r="V578" s="87" t="n"/>
      <c r="W578" s="87" t="n"/>
      <c r="X578" s="87" t="n"/>
      <c r="Y578" s="87" t="n"/>
      <c r="Z578" s="87" t="n"/>
    </row>
    <row r="579" ht="15.75" customHeight="1">
      <c r="A579" s="87" t="n"/>
      <c r="B579" s="87" t="n"/>
      <c r="C579" s="87" t="n"/>
      <c r="D579" s="87" t="n"/>
      <c r="E579" s="87" t="n"/>
      <c r="F579" s="87" t="n"/>
      <c r="G579" s="87" t="n"/>
      <c r="H579" s="87" t="n"/>
      <c r="I579" s="87" t="n"/>
      <c r="J579" s="87" t="n"/>
      <c r="K579" s="87" t="n"/>
      <c r="L579" s="87" t="n"/>
      <c r="M579" s="87" t="n"/>
      <c r="N579" s="87" t="n"/>
      <c r="O579" s="87" t="n"/>
      <c r="P579" s="87" t="n"/>
      <c r="Q579" s="87" t="n"/>
      <c r="R579" s="87" t="n"/>
      <c r="S579" s="87" t="n"/>
      <c r="T579" s="87" t="n"/>
      <c r="U579" s="87" t="n"/>
      <c r="V579" s="87" t="n"/>
      <c r="W579" s="87" t="n"/>
      <c r="X579" s="87" t="n"/>
      <c r="Y579" s="87" t="n"/>
      <c r="Z579" s="87" t="n"/>
    </row>
    <row r="580" ht="15.75" customHeight="1">
      <c r="A580" s="87" t="n"/>
      <c r="B580" s="87" t="n"/>
      <c r="C580" s="87" t="n"/>
      <c r="D580" s="87" t="n"/>
      <c r="E580" s="87" t="n"/>
      <c r="F580" s="87" t="n"/>
      <c r="G580" s="87" t="n"/>
      <c r="H580" s="87" t="n"/>
      <c r="I580" s="87" t="n"/>
      <c r="J580" s="87" t="n"/>
      <c r="K580" s="87" t="n"/>
      <c r="L580" s="87" t="n"/>
      <c r="M580" s="87" t="n"/>
      <c r="N580" s="87" t="n"/>
      <c r="O580" s="87" t="n"/>
      <c r="P580" s="87" t="n"/>
      <c r="Q580" s="87" t="n"/>
      <c r="R580" s="87" t="n"/>
      <c r="S580" s="87" t="n"/>
      <c r="T580" s="87" t="n"/>
      <c r="U580" s="87" t="n"/>
      <c r="V580" s="87" t="n"/>
      <c r="W580" s="87" t="n"/>
      <c r="X580" s="87" t="n"/>
      <c r="Y580" s="87" t="n"/>
      <c r="Z580" s="87" t="n"/>
    </row>
    <row r="581" ht="15.75" customHeight="1">
      <c r="A581" s="87" t="n"/>
      <c r="B581" s="87" t="n"/>
      <c r="C581" s="87" t="n"/>
      <c r="D581" s="87" t="n"/>
      <c r="E581" s="87" t="n"/>
      <c r="F581" s="87" t="n"/>
      <c r="G581" s="87" t="n"/>
      <c r="H581" s="87" t="n"/>
      <c r="I581" s="87" t="n"/>
      <c r="J581" s="87" t="n"/>
      <c r="K581" s="87" t="n"/>
      <c r="L581" s="87" t="n"/>
      <c r="M581" s="87" t="n"/>
      <c r="N581" s="87" t="n"/>
      <c r="O581" s="87" t="n"/>
      <c r="P581" s="87" t="n"/>
      <c r="Q581" s="87" t="n"/>
      <c r="R581" s="87" t="n"/>
      <c r="S581" s="87" t="n"/>
      <c r="T581" s="87" t="n"/>
      <c r="U581" s="87" t="n"/>
      <c r="V581" s="87" t="n"/>
      <c r="W581" s="87" t="n"/>
      <c r="X581" s="87" t="n"/>
      <c r="Y581" s="87" t="n"/>
      <c r="Z581" s="87" t="n"/>
    </row>
    <row r="582" ht="15.75" customHeight="1">
      <c r="A582" s="87" t="n"/>
      <c r="B582" s="87" t="n"/>
      <c r="C582" s="87" t="n"/>
      <c r="D582" s="87" t="n"/>
      <c r="E582" s="87" t="n"/>
      <c r="F582" s="87" t="n"/>
      <c r="G582" s="87" t="n"/>
      <c r="H582" s="87" t="n"/>
      <c r="I582" s="87" t="n"/>
      <c r="J582" s="87" t="n"/>
      <c r="K582" s="87" t="n"/>
      <c r="L582" s="87" t="n"/>
      <c r="M582" s="87" t="n"/>
      <c r="N582" s="87" t="n"/>
      <c r="O582" s="87" t="n"/>
      <c r="P582" s="87" t="n"/>
      <c r="Q582" s="87" t="n"/>
      <c r="R582" s="87" t="n"/>
      <c r="S582" s="87" t="n"/>
      <c r="T582" s="87" t="n"/>
      <c r="U582" s="87" t="n"/>
      <c r="V582" s="87" t="n"/>
      <c r="W582" s="87" t="n"/>
      <c r="X582" s="87" t="n"/>
      <c r="Y582" s="87" t="n"/>
      <c r="Z582" s="87" t="n"/>
    </row>
    <row r="583" ht="15.75" customHeight="1">
      <c r="A583" s="87" t="n"/>
      <c r="B583" s="87" t="n"/>
      <c r="C583" s="87" t="n"/>
      <c r="D583" s="87" t="n"/>
      <c r="E583" s="87" t="n"/>
      <c r="F583" s="87" t="n"/>
      <c r="G583" s="87" t="n"/>
      <c r="H583" s="87" t="n"/>
      <c r="I583" s="87" t="n"/>
      <c r="J583" s="87" t="n"/>
      <c r="K583" s="87" t="n"/>
      <c r="L583" s="87" t="n"/>
      <c r="M583" s="87" t="n"/>
      <c r="N583" s="87" t="n"/>
      <c r="O583" s="87" t="n"/>
      <c r="P583" s="87" t="n"/>
      <c r="Q583" s="87" t="n"/>
      <c r="R583" s="87" t="n"/>
      <c r="S583" s="87" t="n"/>
      <c r="T583" s="87" t="n"/>
      <c r="U583" s="87" t="n"/>
      <c r="V583" s="87" t="n"/>
      <c r="W583" s="87" t="n"/>
      <c r="X583" s="87" t="n"/>
      <c r="Y583" s="87" t="n"/>
      <c r="Z583" s="87" t="n"/>
    </row>
    <row r="584" ht="15.75" customHeight="1">
      <c r="A584" s="87" t="n"/>
      <c r="B584" s="87" t="n"/>
      <c r="C584" s="87" t="n"/>
      <c r="D584" s="87" t="n"/>
      <c r="E584" s="87" t="n"/>
      <c r="F584" s="87" t="n"/>
      <c r="G584" s="87" t="n"/>
      <c r="H584" s="87" t="n"/>
      <c r="I584" s="87" t="n"/>
      <c r="J584" s="87" t="n"/>
      <c r="K584" s="87" t="n"/>
      <c r="L584" s="87" t="n"/>
      <c r="M584" s="87" t="n"/>
      <c r="N584" s="87" t="n"/>
      <c r="O584" s="87" t="n"/>
      <c r="P584" s="87" t="n"/>
      <c r="Q584" s="87" t="n"/>
      <c r="R584" s="87" t="n"/>
      <c r="S584" s="87" t="n"/>
      <c r="T584" s="87" t="n"/>
      <c r="U584" s="87" t="n"/>
      <c r="V584" s="87" t="n"/>
      <c r="W584" s="87" t="n"/>
      <c r="X584" s="87" t="n"/>
      <c r="Y584" s="87" t="n"/>
      <c r="Z584" s="87" t="n"/>
    </row>
    <row r="585" ht="15.75" customHeight="1">
      <c r="A585" s="87" t="n"/>
      <c r="B585" s="87" t="n"/>
      <c r="C585" s="87" t="n"/>
      <c r="D585" s="87" t="n"/>
      <c r="E585" s="87" t="n"/>
      <c r="F585" s="87" t="n"/>
      <c r="G585" s="87" t="n"/>
      <c r="H585" s="87" t="n"/>
      <c r="I585" s="87" t="n"/>
      <c r="J585" s="87" t="n"/>
      <c r="K585" s="87" t="n"/>
      <c r="L585" s="87" t="n"/>
      <c r="M585" s="87" t="n"/>
      <c r="N585" s="87" t="n"/>
      <c r="O585" s="87" t="n"/>
      <c r="P585" s="87" t="n"/>
      <c r="Q585" s="87" t="n"/>
      <c r="R585" s="87" t="n"/>
      <c r="S585" s="87" t="n"/>
      <c r="T585" s="87" t="n"/>
      <c r="U585" s="87" t="n"/>
      <c r="V585" s="87" t="n"/>
      <c r="W585" s="87" t="n"/>
      <c r="X585" s="87" t="n"/>
      <c r="Y585" s="87" t="n"/>
      <c r="Z585" s="87" t="n"/>
    </row>
    <row r="586" ht="15.75" customHeight="1">
      <c r="A586" s="87" t="n"/>
      <c r="B586" s="87" t="n"/>
      <c r="C586" s="87" t="n"/>
      <c r="D586" s="87" t="n"/>
      <c r="E586" s="87" t="n"/>
      <c r="F586" s="87" t="n"/>
      <c r="G586" s="87" t="n"/>
      <c r="H586" s="87" t="n"/>
      <c r="I586" s="87" t="n"/>
      <c r="J586" s="87" t="n"/>
      <c r="K586" s="87" t="n"/>
      <c r="L586" s="87" t="n"/>
      <c r="M586" s="87" t="n"/>
      <c r="N586" s="87" t="n"/>
      <c r="O586" s="87" t="n"/>
      <c r="P586" s="87" t="n"/>
      <c r="Q586" s="87" t="n"/>
      <c r="R586" s="87" t="n"/>
      <c r="S586" s="87" t="n"/>
      <c r="T586" s="87" t="n"/>
      <c r="U586" s="87" t="n"/>
      <c r="V586" s="87" t="n"/>
      <c r="W586" s="87" t="n"/>
      <c r="X586" s="87" t="n"/>
      <c r="Y586" s="87" t="n"/>
      <c r="Z586" s="87" t="n"/>
    </row>
    <row r="587" ht="15.75" customHeight="1">
      <c r="A587" s="87" t="n"/>
      <c r="B587" s="87" t="n"/>
      <c r="C587" s="87" t="n"/>
      <c r="D587" s="87" t="n"/>
      <c r="E587" s="87" t="n"/>
      <c r="F587" s="87" t="n"/>
      <c r="G587" s="87" t="n"/>
      <c r="H587" s="87" t="n"/>
      <c r="I587" s="87" t="n"/>
      <c r="J587" s="87" t="n"/>
      <c r="K587" s="87" t="n"/>
      <c r="L587" s="87" t="n"/>
      <c r="M587" s="87" t="n"/>
      <c r="N587" s="87" t="n"/>
      <c r="O587" s="87" t="n"/>
      <c r="P587" s="87" t="n"/>
      <c r="Q587" s="87" t="n"/>
      <c r="R587" s="87" t="n"/>
      <c r="S587" s="87" t="n"/>
      <c r="T587" s="87" t="n"/>
      <c r="U587" s="87" t="n"/>
      <c r="V587" s="87" t="n"/>
      <c r="W587" s="87" t="n"/>
      <c r="X587" s="87" t="n"/>
      <c r="Y587" s="87" t="n"/>
      <c r="Z587" s="87" t="n"/>
    </row>
    <row r="588" ht="15.75" customHeight="1">
      <c r="A588" s="87" t="n"/>
      <c r="B588" s="87" t="n"/>
      <c r="C588" s="87" t="n"/>
      <c r="D588" s="87" t="n"/>
      <c r="E588" s="87" t="n"/>
      <c r="F588" s="87" t="n"/>
      <c r="G588" s="87" t="n"/>
      <c r="H588" s="87" t="n"/>
      <c r="I588" s="87" t="n"/>
      <c r="J588" s="87" t="n"/>
      <c r="K588" s="87" t="n"/>
      <c r="L588" s="87" t="n"/>
      <c r="M588" s="87" t="n"/>
      <c r="N588" s="87" t="n"/>
      <c r="O588" s="87" t="n"/>
      <c r="P588" s="87" t="n"/>
      <c r="Q588" s="87" t="n"/>
      <c r="R588" s="87" t="n"/>
      <c r="S588" s="87" t="n"/>
      <c r="T588" s="87" t="n"/>
      <c r="U588" s="87" t="n"/>
      <c r="V588" s="87" t="n"/>
      <c r="W588" s="87" t="n"/>
      <c r="X588" s="87" t="n"/>
      <c r="Y588" s="87" t="n"/>
      <c r="Z588" s="87" t="n"/>
    </row>
    <row r="589" ht="15.75" customHeight="1">
      <c r="A589" s="87" t="n"/>
      <c r="B589" s="87" t="n"/>
      <c r="C589" s="87" t="n"/>
      <c r="D589" s="87" t="n"/>
      <c r="E589" s="87" t="n"/>
      <c r="F589" s="87" t="n"/>
      <c r="G589" s="87" t="n"/>
      <c r="H589" s="87" t="n"/>
      <c r="I589" s="87" t="n"/>
      <c r="J589" s="87" t="n"/>
      <c r="K589" s="87" t="n"/>
      <c r="L589" s="87" t="n"/>
      <c r="M589" s="87" t="n"/>
      <c r="N589" s="87" t="n"/>
      <c r="O589" s="87" t="n"/>
      <c r="P589" s="87" t="n"/>
      <c r="Q589" s="87" t="n"/>
      <c r="R589" s="87" t="n"/>
      <c r="S589" s="87" t="n"/>
      <c r="T589" s="87" t="n"/>
      <c r="U589" s="87" t="n"/>
      <c r="V589" s="87" t="n"/>
      <c r="W589" s="87" t="n"/>
      <c r="X589" s="87" t="n"/>
      <c r="Y589" s="87" t="n"/>
      <c r="Z589" s="87" t="n"/>
    </row>
    <row r="590" ht="15.75" customHeight="1">
      <c r="A590" s="87" t="n"/>
      <c r="B590" s="87" t="n"/>
      <c r="C590" s="87" t="n"/>
      <c r="D590" s="87" t="n"/>
      <c r="E590" s="87" t="n"/>
      <c r="F590" s="87" t="n"/>
      <c r="G590" s="87" t="n"/>
      <c r="H590" s="87" t="n"/>
      <c r="I590" s="87" t="n"/>
      <c r="J590" s="87" t="n"/>
      <c r="K590" s="87" t="n"/>
      <c r="L590" s="87" t="n"/>
      <c r="M590" s="87" t="n"/>
      <c r="N590" s="87" t="n"/>
      <c r="O590" s="87" t="n"/>
      <c r="P590" s="87" t="n"/>
      <c r="Q590" s="87" t="n"/>
      <c r="R590" s="87" t="n"/>
      <c r="S590" s="87" t="n"/>
      <c r="T590" s="87" t="n"/>
      <c r="U590" s="87" t="n"/>
      <c r="V590" s="87" t="n"/>
      <c r="W590" s="87" t="n"/>
      <c r="X590" s="87" t="n"/>
      <c r="Y590" s="87" t="n"/>
      <c r="Z590" s="87" t="n"/>
    </row>
    <row r="591" ht="15.75" customHeight="1">
      <c r="A591" s="87" t="n"/>
      <c r="B591" s="87" t="n"/>
      <c r="C591" s="87" t="n"/>
      <c r="D591" s="87" t="n"/>
      <c r="E591" s="87" t="n"/>
      <c r="F591" s="87" t="n"/>
      <c r="G591" s="87" t="n"/>
      <c r="H591" s="87" t="n"/>
      <c r="I591" s="87" t="n"/>
      <c r="J591" s="87" t="n"/>
      <c r="K591" s="87" t="n"/>
      <c r="L591" s="87" t="n"/>
      <c r="M591" s="87" t="n"/>
      <c r="N591" s="87" t="n"/>
      <c r="O591" s="87" t="n"/>
      <c r="P591" s="87" t="n"/>
      <c r="Q591" s="87" t="n"/>
      <c r="R591" s="87" t="n"/>
      <c r="S591" s="87" t="n"/>
      <c r="T591" s="87" t="n"/>
      <c r="U591" s="87" t="n"/>
      <c r="V591" s="87" t="n"/>
      <c r="W591" s="87" t="n"/>
      <c r="X591" s="87" t="n"/>
      <c r="Y591" s="87" t="n"/>
      <c r="Z591" s="87" t="n"/>
    </row>
    <row r="592" ht="15.75" customHeight="1">
      <c r="A592" s="87" t="n"/>
      <c r="B592" s="87" t="n"/>
      <c r="C592" s="87" t="n"/>
      <c r="D592" s="87" t="n"/>
      <c r="E592" s="87" t="n"/>
      <c r="F592" s="87" t="n"/>
      <c r="G592" s="87" t="n"/>
      <c r="H592" s="87" t="n"/>
      <c r="I592" s="87" t="n"/>
      <c r="J592" s="87" t="n"/>
      <c r="K592" s="87" t="n"/>
      <c r="L592" s="87" t="n"/>
      <c r="M592" s="87" t="n"/>
      <c r="N592" s="87" t="n"/>
      <c r="O592" s="87" t="n"/>
      <c r="P592" s="87" t="n"/>
      <c r="Q592" s="87" t="n"/>
      <c r="R592" s="87" t="n"/>
      <c r="S592" s="87" t="n"/>
      <c r="T592" s="87" t="n"/>
      <c r="U592" s="87" t="n"/>
      <c r="V592" s="87" t="n"/>
      <c r="W592" s="87" t="n"/>
      <c r="X592" s="87" t="n"/>
      <c r="Y592" s="87" t="n"/>
      <c r="Z592" s="87" t="n"/>
    </row>
    <row r="593" ht="15.75" customHeight="1">
      <c r="A593" s="87" t="n"/>
      <c r="B593" s="87" t="n"/>
      <c r="C593" s="87" t="n"/>
      <c r="D593" s="87" t="n"/>
      <c r="E593" s="87" t="n"/>
      <c r="F593" s="87" t="n"/>
      <c r="G593" s="87" t="n"/>
      <c r="H593" s="87" t="n"/>
      <c r="I593" s="87" t="n"/>
      <c r="J593" s="87" t="n"/>
      <c r="K593" s="87" t="n"/>
      <c r="L593" s="87" t="n"/>
      <c r="M593" s="87" t="n"/>
      <c r="N593" s="87" t="n"/>
      <c r="O593" s="87" t="n"/>
      <c r="P593" s="87" t="n"/>
      <c r="Q593" s="87" t="n"/>
      <c r="R593" s="87" t="n"/>
      <c r="S593" s="87" t="n"/>
      <c r="T593" s="87" t="n"/>
      <c r="U593" s="87" t="n"/>
      <c r="V593" s="87" t="n"/>
      <c r="W593" s="87" t="n"/>
      <c r="X593" s="87" t="n"/>
      <c r="Y593" s="87" t="n"/>
      <c r="Z593" s="87" t="n"/>
    </row>
    <row r="594" ht="15.75" customHeight="1">
      <c r="A594" s="87" t="n"/>
      <c r="B594" s="87" t="n"/>
      <c r="C594" s="87" t="n"/>
      <c r="D594" s="87" t="n"/>
      <c r="E594" s="87" t="n"/>
      <c r="F594" s="87" t="n"/>
      <c r="G594" s="87" t="n"/>
      <c r="H594" s="87" t="n"/>
      <c r="I594" s="87" t="n"/>
      <c r="J594" s="87" t="n"/>
      <c r="K594" s="87" t="n"/>
      <c r="L594" s="87" t="n"/>
      <c r="M594" s="87" t="n"/>
      <c r="N594" s="87" t="n"/>
      <c r="O594" s="87" t="n"/>
      <c r="P594" s="87" t="n"/>
      <c r="Q594" s="87" t="n"/>
      <c r="R594" s="87" t="n"/>
      <c r="S594" s="87" t="n"/>
      <c r="T594" s="87" t="n"/>
      <c r="U594" s="87" t="n"/>
      <c r="V594" s="87" t="n"/>
      <c r="W594" s="87" t="n"/>
      <c r="X594" s="87" t="n"/>
      <c r="Y594" s="87" t="n"/>
      <c r="Z594" s="87" t="n"/>
    </row>
    <row r="595" ht="15.75" customHeight="1">
      <c r="A595" s="87" t="n"/>
      <c r="B595" s="87" t="n"/>
      <c r="C595" s="87" t="n"/>
      <c r="D595" s="87" t="n"/>
      <c r="E595" s="87" t="n"/>
      <c r="F595" s="87" t="n"/>
      <c r="G595" s="87" t="n"/>
      <c r="H595" s="87" t="n"/>
      <c r="I595" s="87" t="n"/>
      <c r="J595" s="87" t="n"/>
      <c r="K595" s="87" t="n"/>
      <c r="L595" s="87" t="n"/>
      <c r="M595" s="87" t="n"/>
      <c r="N595" s="87" t="n"/>
      <c r="O595" s="87" t="n"/>
      <c r="P595" s="87" t="n"/>
      <c r="Q595" s="87" t="n"/>
      <c r="R595" s="87" t="n"/>
      <c r="S595" s="87" t="n"/>
      <c r="T595" s="87" t="n"/>
      <c r="U595" s="87" t="n"/>
      <c r="V595" s="87" t="n"/>
      <c r="W595" s="87" t="n"/>
      <c r="X595" s="87" t="n"/>
      <c r="Y595" s="87" t="n"/>
      <c r="Z595" s="87" t="n"/>
    </row>
    <row r="596" ht="15.75" customHeight="1">
      <c r="A596" s="87" t="n"/>
      <c r="B596" s="87" t="n"/>
      <c r="C596" s="87" t="n"/>
      <c r="D596" s="87" t="n"/>
      <c r="E596" s="87" t="n"/>
      <c r="F596" s="87" t="n"/>
      <c r="G596" s="87" t="n"/>
      <c r="H596" s="87" t="n"/>
      <c r="I596" s="87" t="n"/>
      <c r="J596" s="87" t="n"/>
      <c r="K596" s="87" t="n"/>
      <c r="L596" s="87" t="n"/>
      <c r="M596" s="87" t="n"/>
      <c r="N596" s="87" t="n"/>
      <c r="O596" s="87" t="n"/>
      <c r="P596" s="87" t="n"/>
      <c r="Q596" s="87" t="n"/>
      <c r="R596" s="87" t="n"/>
      <c r="S596" s="87" t="n"/>
      <c r="T596" s="87" t="n"/>
      <c r="U596" s="87" t="n"/>
      <c r="V596" s="87" t="n"/>
      <c r="W596" s="87" t="n"/>
      <c r="X596" s="87" t="n"/>
      <c r="Y596" s="87" t="n"/>
      <c r="Z596" s="87" t="n"/>
    </row>
    <row r="597" ht="15.75" customHeight="1">
      <c r="A597" s="87" t="n"/>
      <c r="B597" s="87" t="n"/>
      <c r="C597" s="87" t="n"/>
      <c r="D597" s="87" t="n"/>
      <c r="E597" s="87" t="n"/>
      <c r="F597" s="87" t="n"/>
      <c r="G597" s="87" t="n"/>
      <c r="H597" s="87" t="n"/>
      <c r="I597" s="87" t="n"/>
      <c r="J597" s="87" t="n"/>
      <c r="K597" s="87" t="n"/>
      <c r="L597" s="87" t="n"/>
      <c r="M597" s="87" t="n"/>
      <c r="N597" s="87" t="n"/>
      <c r="O597" s="87" t="n"/>
      <c r="P597" s="87" t="n"/>
      <c r="Q597" s="87" t="n"/>
      <c r="R597" s="87" t="n"/>
      <c r="S597" s="87" t="n"/>
      <c r="T597" s="87" t="n"/>
      <c r="U597" s="87" t="n"/>
      <c r="V597" s="87" t="n"/>
      <c r="W597" s="87" t="n"/>
      <c r="X597" s="87" t="n"/>
      <c r="Y597" s="87" t="n"/>
      <c r="Z597" s="87" t="n"/>
    </row>
    <row r="598" ht="15.75" customHeight="1">
      <c r="A598" s="87" t="n"/>
      <c r="B598" s="87" t="n"/>
      <c r="C598" s="87" t="n"/>
      <c r="D598" s="87" t="n"/>
      <c r="E598" s="87" t="n"/>
      <c r="F598" s="87" t="n"/>
      <c r="G598" s="87" t="n"/>
      <c r="H598" s="87" t="n"/>
      <c r="I598" s="87" t="n"/>
      <c r="J598" s="87" t="n"/>
      <c r="K598" s="87" t="n"/>
      <c r="L598" s="87" t="n"/>
      <c r="M598" s="87" t="n"/>
      <c r="N598" s="87" t="n"/>
      <c r="O598" s="87" t="n"/>
      <c r="P598" s="87" t="n"/>
      <c r="Q598" s="87" t="n"/>
      <c r="R598" s="87" t="n"/>
      <c r="S598" s="87" t="n"/>
      <c r="T598" s="87" t="n"/>
      <c r="U598" s="87" t="n"/>
      <c r="V598" s="87" t="n"/>
      <c r="W598" s="87" t="n"/>
      <c r="X598" s="87" t="n"/>
      <c r="Y598" s="87" t="n"/>
      <c r="Z598" s="87" t="n"/>
    </row>
    <row r="599" ht="15.75" customHeight="1">
      <c r="A599" s="87" t="n"/>
      <c r="B599" s="87" t="n"/>
      <c r="C599" s="87" t="n"/>
      <c r="D599" s="87" t="n"/>
      <c r="E599" s="87" t="n"/>
      <c r="F599" s="87" t="n"/>
      <c r="G599" s="87" t="n"/>
      <c r="H599" s="87" t="n"/>
      <c r="I599" s="87" t="n"/>
      <c r="J599" s="87" t="n"/>
      <c r="K599" s="87" t="n"/>
      <c r="L599" s="87" t="n"/>
      <c r="M599" s="87" t="n"/>
      <c r="N599" s="87" t="n"/>
      <c r="O599" s="87" t="n"/>
      <c r="P599" s="87" t="n"/>
      <c r="Q599" s="87" t="n"/>
      <c r="R599" s="87" t="n"/>
      <c r="S599" s="87" t="n"/>
      <c r="T599" s="87" t="n"/>
      <c r="U599" s="87" t="n"/>
      <c r="V599" s="87" t="n"/>
      <c r="W599" s="87" t="n"/>
      <c r="X599" s="87" t="n"/>
      <c r="Y599" s="87" t="n"/>
      <c r="Z599" s="87" t="n"/>
    </row>
    <row r="600" ht="15.75" customHeight="1">
      <c r="A600" s="87" t="n"/>
      <c r="B600" s="87" t="n"/>
      <c r="C600" s="87" t="n"/>
      <c r="D600" s="87" t="n"/>
      <c r="E600" s="87" t="n"/>
      <c r="F600" s="87" t="n"/>
      <c r="G600" s="87" t="n"/>
      <c r="H600" s="87" t="n"/>
      <c r="I600" s="87" t="n"/>
      <c r="J600" s="87" t="n"/>
      <c r="K600" s="87" t="n"/>
      <c r="L600" s="87" t="n"/>
      <c r="M600" s="87" t="n"/>
      <c r="N600" s="87" t="n"/>
      <c r="O600" s="87" t="n"/>
      <c r="P600" s="87" t="n"/>
      <c r="Q600" s="87" t="n"/>
      <c r="R600" s="87" t="n"/>
      <c r="S600" s="87" t="n"/>
      <c r="T600" s="87" t="n"/>
      <c r="U600" s="87" t="n"/>
      <c r="V600" s="87" t="n"/>
      <c r="W600" s="87" t="n"/>
      <c r="X600" s="87" t="n"/>
      <c r="Y600" s="87" t="n"/>
      <c r="Z600" s="87" t="n"/>
    </row>
    <row r="601" ht="15.75" customHeight="1">
      <c r="A601" s="87" t="n"/>
      <c r="B601" s="87" t="n"/>
      <c r="C601" s="87" t="n"/>
      <c r="D601" s="87" t="n"/>
      <c r="E601" s="87" t="n"/>
      <c r="F601" s="87" t="n"/>
      <c r="G601" s="87" t="n"/>
      <c r="H601" s="87" t="n"/>
      <c r="I601" s="87" t="n"/>
      <c r="J601" s="87" t="n"/>
      <c r="K601" s="87" t="n"/>
      <c r="L601" s="87" t="n"/>
      <c r="M601" s="87" t="n"/>
      <c r="N601" s="87" t="n"/>
      <c r="O601" s="87" t="n"/>
      <c r="P601" s="87" t="n"/>
      <c r="Q601" s="87" t="n"/>
      <c r="R601" s="87" t="n"/>
      <c r="S601" s="87" t="n"/>
      <c r="T601" s="87" t="n"/>
      <c r="U601" s="87" t="n"/>
      <c r="V601" s="87" t="n"/>
      <c r="W601" s="87" t="n"/>
      <c r="X601" s="87" t="n"/>
      <c r="Y601" s="87" t="n"/>
      <c r="Z601" s="87" t="n"/>
    </row>
    <row r="602" ht="15.75" customHeight="1">
      <c r="A602" s="87" t="n"/>
      <c r="B602" s="87" t="n"/>
      <c r="C602" s="87" t="n"/>
      <c r="D602" s="87" t="n"/>
      <c r="E602" s="87" t="n"/>
      <c r="F602" s="87" t="n"/>
      <c r="G602" s="87" t="n"/>
      <c r="H602" s="87" t="n"/>
      <c r="I602" s="87" t="n"/>
      <c r="J602" s="87" t="n"/>
      <c r="K602" s="87" t="n"/>
      <c r="L602" s="87" t="n"/>
      <c r="M602" s="87" t="n"/>
      <c r="N602" s="87" t="n"/>
      <c r="O602" s="87" t="n"/>
      <c r="P602" s="87" t="n"/>
      <c r="Q602" s="87" t="n"/>
      <c r="R602" s="87" t="n"/>
      <c r="S602" s="87" t="n"/>
      <c r="T602" s="87" t="n"/>
      <c r="U602" s="87" t="n"/>
      <c r="V602" s="87" t="n"/>
      <c r="W602" s="87" t="n"/>
      <c r="X602" s="87" t="n"/>
      <c r="Y602" s="87" t="n"/>
      <c r="Z602" s="87" t="n"/>
    </row>
    <row r="603" ht="15.75" customHeight="1">
      <c r="A603" s="87" t="n"/>
      <c r="B603" s="87" t="n"/>
      <c r="C603" s="87" t="n"/>
      <c r="D603" s="87" t="n"/>
      <c r="E603" s="87" t="n"/>
      <c r="F603" s="87" t="n"/>
      <c r="G603" s="87" t="n"/>
      <c r="H603" s="87" t="n"/>
      <c r="I603" s="87" t="n"/>
      <c r="J603" s="87" t="n"/>
      <c r="K603" s="87" t="n"/>
      <c r="L603" s="87" t="n"/>
      <c r="M603" s="87" t="n"/>
      <c r="N603" s="87" t="n"/>
      <c r="O603" s="87" t="n"/>
      <c r="P603" s="87" t="n"/>
      <c r="Q603" s="87" t="n"/>
      <c r="R603" s="87" t="n"/>
      <c r="S603" s="87" t="n"/>
      <c r="T603" s="87" t="n"/>
      <c r="U603" s="87" t="n"/>
      <c r="V603" s="87" t="n"/>
      <c r="W603" s="87" t="n"/>
      <c r="X603" s="87" t="n"/>
      <c r="Y603" s="87" t="n"/>
      <c r="Z603" s="87" t="n"/>
    </row>
    <row r="604" ht="15.75" customHeight="1">
      <c r="A604" s="87" t="n"/>
      <c r="B604" s="87" t="n"/>
      <c r="C604" s="87" t="n"/>
      <c r="D604" s="87" t="n"/>
      <c r="E604" s="87" t="n"/>
      <c r="F604" s="87" t="n"/>
      <c r="G604" s="87" t="n"/>
      <c r="H604" s="87" t="n"/>
      <c r="I604" s="87" t="n"/>
      <c r="J604" s="87" t="n"/>
      <c r="K604" s="87" t="n"/>
      <c r="L604" s="87" t="n"/>
      <c r="M604" s="87" t="n"/>
      <c r="N604" s="87" t="n"/>
      <c r="O604" s="87" t="n"/>
      <c r="P604" s="87" t="n"/>
      <c r="Q604" s="87" t="n"/>
      <c r="R604" s="87" t="n"/>
      <c r="S604" s="87" t="n"/>
      <c r="T604" s="87" t="n"/>
      <c r="U604" s="87" t="n"/>
      <c r="V604" s="87" t="n"/>
      <c r="W604" s="87" t="n"/>
      <c r="X604" s="87" t="n"/>
      <c r="Y604" s="87" t="n"/>
      <c r="Z604" s="87" t="n"/>
    </row>
    <row r="605" ht="15.75" customHeight="1">
      <c r="A605" s="87" t="n"/>
      <c r="B605" s="87" t="n"/>
      <c r="C605" s="87" t="n"/>
      <c r="D605" s="87" t="n"/>
      <c r="E605" s="87" t="n"/>
      <c r="F605" s="87" t="n"/>
      <c r="G605" s="87" t="n"/>
      <c r="H605" s="87" t="n"/>
      <c r="I605" s="87" t="n"/>
      <c r="J605" s="87" t="n"/>
      <c r="K605" s="87" t="n"/>
      <c r="L605" s="87" t="n"/>
      <c r="M605" s="87" t="n"/>
      <c r="N605" s="87" t="n"/>
      <c r="O605" s="87" t="n"/>
      <c r="P605" s="87" t="n"/>
      <c r="Q605" s="87" t="n"/>
      <c r="R605" s="87" t="n"/>
      <c r="S605" s="87" t="n"/>
      <c r="T605" s="87" t="n"/>
      <c r="U605" s="87" t="n"/>
      <c r="V605" s="87" t="n"/>
      <c r="W605" s="87" t="n"/>
      <c r="X605" s="87" t="n"/>
      <c r="Y605" s="87" t="n"/>
      <c r="Z605" s="87" t="n"/>
    </row>
    <row r="606" ht="15.75" customHeight="1">
      <c r="A606" s="87" t="n"/>
      <c r="B606" s="87" t="n"/>
      <c r="C606" s="87" t="n"/>
      <c r="D606" s="87" t="n"/>
      <c r="E606" s="87" t="n"/>
      <c r="F606" s="87" t="n"/>
      <c r="G606" s="87" t="n"/>
      <c r="H606" s="87" t="n"/>
      <c r="I606" s="87" t="n"/>
      <c r="J606" s="87" t="n"/>
      <c r="K606" s="87" t="n"/>
      <c r="L606" s="87" t="n"/>
      <c r="M606" s="87" t="n"/>
      <c r="N606" s="87" t="n"/>
      <c r="O606" s="87" t="n"/>
      <c r="P606" s="87" t="n"/>
      <c r="Q606" s="87" t="n"/>
      <c r="R606" s="87" t="n"/>
      <c r="S606" s="87" t="n"/>
      <c r="T606" s="87" t="n"/>
      <c r="U606" s="87" t="n"/>
      <c r="V606" s="87" t="n"/>
      <c r="W606" s="87" t="n"/>
      <c r="X606" s="87" t="n"/>
      <c r="Y606" s="87" t="n"/>
      <c r="Z606" s="87" t="n"/>
    </row>
    <row r="607" ht="15.75" customHeight="1">
      <c r="A607" s="87" t="n"/>
      <c r="B607" s="87" t="n"/>
      <c r="C607" s="87" t="n"/>
      <c r="D607" s="87" t="n"/>
      <c r="E607" s="87" t="n"/>
      <c r="F607" s="87" t="n"/>
      <c r="G607" s="87" t="n"/>
      <c r="H607" s="87" t="n"/>
      <c r="I607" s="87" t="n"/>
      <c r="J607" s="87" t="n"/>
      <c r="K607" s="87" t="n"/>
      <c r="L607" s="87" t="n"/>
      <c r="M607" s="87" t="n"/>
      <c r="N607" s="87" t="n"/>
      <c r="O607" s="87" t="n"/>
      <c r="P607" s="87" t="n"/>
      <c r="Q607" s="87" t="n"/>
      <c r="R607" s="87" t="n"/>
      <c r="S607" s="87" t="n"/>
      <c r="T607" s="87" t="n"/>
      <c r="U607" s="87" t="n"/>
      <c r="V607" s="87" t="n"/>
      <c r="W607" s="87" t="n"/>
      <c r="X607" s="87" t="n"/>
      <c r="Y607" s="87" t="n"/>
      <c r="Z607" s="87" t="n"/>
    </row>
    <row r="608" ht="15.75" customHeight="1">
      <c r="A608" s="87" t="n"/>
      <c r="B608" s="87" t="n"/>
      <c r="C608" s="87" t="n"/>
      <c r="D608" s="87" t="n"/>
      <c r="E608" s="87" t="n"/>
      <c r="F608" s="87" t="n"/>
      <c r="G608" s="87" t="n"/>
      <c r="H608" s="87" t="n"/>
      <c r="I608" s="87" t="n"/>
      <c r="J608" s="87" t="n"/>
      <c r="K608" s="87" t="n"/>
      <c r="L608" s="87" t="n"/>
      <c r="M608" s="87" t="n"/>
      <c r="N608" s="87" t="n"/>
      <c r="O608" s="87" t="n"/>
      <c r="P608" s="87" t="n"/>
      <c r="Q608" s="87" t="n"/>
      <c r="R608" s="87" t="n"/>
      <c r="S608" s="87" t="n"/>
      <c r="T608" s="87" t="n"/>
      <c r="U608" s="87" t="n"/>
      <c r="V608" s="87" t="n"/>
      <c r="W608" s="87" t="n"/>
      <c r="X608" s="87" t="n"/>
      <c r="Y608" s="87" t="n"/>
      <c r="Z608" s="87" t="n"/>
    </row>
    <row r="609" ht="15.75" customHeight="1">
      <c r="A609" s="87" t="n"/>
      <c r="B609" s="87" t="n"/>
      <c r="C609" s="87" t="n"/>
      <c r="D609" s="87" t="n"/>
      <c r="E609" s="87" t="n"/>
      <c r="F609" s="87" t="n"/>
      <c r="G609" s="87" t="n"/>
      <c r="H609" s="87" t="n"/>
      <c r="I609" s="87" t="n"/>
      <c r="J609" s="87" t="n"/>
      <c r="K609" s="87" t="n"/>
      <c r="L609" s="87" t="n"/>
      <c r="M609" s="87" t="n"/>
      <c r="N609" s="87" t="n"/>
      <c r="O609" s="87" t="n"/>
      <c r="P609" s="87" t="n"/>
      <c r="Q609" s="87" t="n"/>
      <c r="R609" s="87" t="n"/>
      <c r="S609" s="87" t="n"/>
      <c r="T609" s="87" t="n"/>
      <c r="U609" s="87" t="n"/>
      <c r="V609" s="87" t="n"/>
      <c r="W609" s="87" t="n"/>
      <c r="X609" s="87" t="n"/>
      <c r="Y609" s="87" t="n"/>
      <c r="Z609" s="87" t="n"/>
    </row>
    <row r="610" ht="15.75" customHeight="1">
      <c r="A610" s="87" t="n"/>
      <c r="B610" s="87" t="n"/>
      <c r="C610" s="87" t="n"/>
      <c r="D610" s="87" t="n"/>
      <c r="E610" s="87" t="n"/>
      <c r="F610" s="87" t="n"/>
      <c r="G610" s="87" t="n"/>
      <c r="H610" s="87" t="n"/>
      <c r="I610" s="87" t="n"/>
      <c r="J610" s="87" t="n"/>
      <c r="K610" s="87" t="n"/>
      <c r="L610" s="87" t="n"/>
      <c r="M610" s="87" t="n"/>
      <c r="N610" s="87" t="n"/>
      <c r="O610" s="87" t="n"/>
      <c r="P610" s="87" t="n"/>
      <c r="Q610" s="87" t="n"/>
      <c r="R610" s="87" t="n"/>
      <c r="S610" s="87" t="n"/>
      <c r="T610" s="87" t="n"/>
      <c r="U610" s="87" t="n"/>
      <c r="V610" s="87" t="n"/>
      <c r="W610" s="87" t="n"/>
      <c r="X610" s="87" t="n"/>
      <c r="Y610" s="87" t="n"/>
      <c r="Z610" s="87" t="n"/>
    </row>
    <row r="611" ht="15.75" customHeight="1">
      <c r="A611" s="87" t="n"/>
      <c r="B611" s="87" t="n"/>
      <c r="C611" s="87" t="n"/>
      <c r="D611" s="87" t="n"/>
      <c r="E611" s="87" t="n"/>
      <c r="F611" s="87" t="n"/>
      <c r="G611" s="87" t="n"/>
      <c r="H611" s="87" t="n"/>
      <c r="I611" s="87" t="n"/>
      <c r="J611" s="87" t="n"/>
      <c r="K611" s="87" t="n"/>
      <c r="L611" s="87" t="n"/>
      <c r="M611" s="87" t="n"/>
      <c r="N611" s="87" t="n"/>
      <c r="O611" s="87" t="n"/>
      <c r="P611" s="87" t="n"/>
      <c r="Q611" s="87" t="n"/>
      <c r="R611" s="87" t="n"/>
      <c r="S611" s="87" t="n"/>
      <c r="T611" s="87" t="n"/>
      <c r="U611" s="87" t="n"/>
      <c r="V611" s="87" t="n"/>
      <c r="W611" s="87" t="n"/>
      <c r="X611" s="87" t="n"/>
      <c r="Y611" s="87" t="n"/>
      <c r="Z611" s="87" t="n"/>
    </row>
    <row r="612" ht="15.75" customHeight="1">
      <c r="A612" s="87" t="n"/>
      <c r="B612" s="87" t="n"/>
      <c r="C612" s="87" t="n"/>
      <c r="D612" s="87" t="n"/>
      <c r="E612" s="87" t="n"/>
      <c r="F612" s="87" t="n"/>
      <c r="G612" s="87" t="n"/>
      <c r="H612" s="87" t="n"/>
      <c r="I612" s="87" t="n"/>
      <c r="J612" s="87" t="n"/>
      <c r="K612" s="87" t="n"/>
      <c r="L612" s="87" t="n"/>
      <c r="M612" s="87" t="n"/>
      <c r="N612" s="87" t="n"/>
      <c r="O612" s="87" t="n"/>
      <c r="P612" s="87" t="n"/>
      <c r="Q612" s="87" t="n"/>
      <c r="R612" s="87" t="n"/>
      <c r="S612" s="87" t="n"/>
      <c r="T612" s="87" t="n"/>
      <c r="U612" s="87" t="n"/>
      <c r="V612" s="87" t="n"/>
      <c r="W612" s="87" t="n"/>
      <c r="X612" s="87" t="n"/>
      <c r="Y612" s="87" t="n"/>
      <c r="Z612" s="87" t="n"/>
    </row>
    <row r="613" ht="15.75" customHeight="1">
      <c r="A613" s="87" t="n"/>
      <c r="B613" s="87" t="n"/>
      <c r="C613" s="87" t="n"/>
      <c r="D613" s="87" t="n"/>
      <c r="E613" s="87" t="n"/>
      <c r="F613" s="87" t="n"/>
      <c r="G613" s="87" t="n"/>
      <c r="H613" s="87" t="n"/>
      <c r="I613" s="87" t="n"/>
      <c r="J613" s="87" t="n"/>
      <c r="K613" s="87" t="n"/>
      <c r="L613" s="87" t="n"/>
      <c r="M613" s="87" t="n"/>
      <c r="N613" s="87" t="n"/>
      <c r="O613" s="87" t="n"/>
      <c r="P613" s="87" t="n"/>
      <c r="Q613" s="87" t="n"/>
      <c r="R613" s="87" t="n"/>
      <c r="S613" s="87" t="n"/>
      <c r="T613" s="87" t="n"/>
      <c r="U613" s="87" t="n"/>
      <c r="V613" s="87" t="n"/>
      <c r="W613" s="87" t="n"/>
      <c r="X613" s="87" t="n"/>
      <c r="Y613" s="87" t="n"/>
      <c r="Z613" s="87" t="n"/>
    </row>
    <row r="614" ht="15.75" customHeight="1">
      <c r="A614" s="87" t="n"/>
      <c r="B614" s="87" t="n"/>
      <c r="C614" s="87" t="n"/>
      <c r="D614" s="87" t="n"/>
      <c r="E614" s="87" t="n"/>
      <c r="F614" s="87" t="n"/>
      <c r="G614" s="87" t="n"/>
      <c r="H614" s="87" t="n"/>
      <c r="I614" s="87" t="n"/>
      <c r="J614" s="87" t="n"/>
      <c r="K614" s="87" t="n"/>
      <c r="L614" s="87" t="n"/>
      <c r="M614" s="87" t="n"/>
      <c r="N614" s="87" t="n"/>
      <c r="O614" s="87" t="n"/>
      <c r="P614" s="87" t="n"/>
      <c r="Q614" s="87" t="n"/>
      <c r="R614" s="87" t="n"/>
      <c r="S614" s="87" t="n"/>
      <c r="T614" s="87" t="n"/>
      <c r="U614" s="87" t="n"/>
      <c r="V614" s="87" t="n"/>
      <c r="W614" s="87" t="n"/>
      <c r="X614" s="87" t="n"/>
      <c r="Y614" s="87" t="n"/>
      <c r="Z614" s="87" t="n"/>
    </row>
    <row r="615" ht="15.75" customHeight="1">
      <c r="A615" s="87" t="n"/>
      <c r="B615" s="87" t="n"/>
      <c r="C615" s="87" t="n"/>
      <c r="D615" s="87" t="n"/>
      <c r="E615" s="87" t="n"/>
      <c r="F615" s="87" t="n"/>
      <c r="G615" s="87" t="n"/>
      <c r="H615" s="87" t="n"/>
      <c r="I615" s="87" t="n"/>
      <c r="J615" s="87" t="n"/>
      <c r="K615" s="87" t="n"/>
      <c r="L615" s="87" t="n"/>
      <c r="M615" s="87" t="n"/>
      <c r="N615" s="87" t="n"/>
      <c r="O615" s="87" t="n"/>
      <c r="P615" s="87" t="n"/>
      <c r="Q615" s="87" t="n"/>
      <c r="R615" s="87" t="n"/>
      <c r="S615" s="87" t="n"/>
      <c r="T615" s="87" t="n"/>
      <c r="U615" s="87" t="n"/>
      <c r="V615" s="87" t="n"/>
      <c r="W615" s="87" t="n"/>
      <c r="X615" s="87" t="n"/>
      <c r="Y615" s="87" t="n"/>
      <c r="Z615" s="87" t="n"/>
    </row>
    <row r="616" ht="15.75" customHeight="1">
      <c r="A616" s="87" t="n"/>
      <c r="B616" s="87" t="n"/>
      <c r="C616" s="87" t="n"/>
      <c r="D616" s="87" t="n"/>
      <c r="E616" s="87" t="n"/>
      <c r="F616" s="87" t="n"/>
      <c r="G616" s="87" t="n"/>
      <c r="H616" s="87" t="n"/>
      <c r="I616" s="87" t="n"/>
      <c r="J616" s="87" t="n"/>
      <c r="K616" s="87" t="n"/>
      <c r="L616" s="87" t="n"/>
      <c r="M616" s="87" t="n"/>
      <c r="N616" s="87" t="n"/>
      <c r="O616" s="87" t="n"/>
      <c r="P616" s="87" t="n"/>
      <c r="Q616" s="87" t="n"/>
      <c r="R616" s="87" t="n"/>
      <c r="S616" s="87" t="n"/>
      <c r="T616" s="87" t="n"/>
      <c r="U616" s="87" t="n"/>
      <c r="V616" s="87" t="n"/>
      <c r="W616" s="87" t="n"/>
      <c r="X616" s="87" t="n"/>
      <c r="Y616" s="87" t="n"/>
      <c r="Z616" s="87" t="n"/>
    </row>
    <row r="617" ht="15.75" customHeight="1">
      <c r="A617" s="87" t="n"/>
      <c r="B617" s="87" t="n"/>
      <c r="C617" s="87" t="n"/>
      <c r="D617" s="87" t="n"/>
      <c r="E617" s="87" t="n"/>
      <c r="F617" s="87" t="n"/>
      <c r="G617" s="87" t="n"/>
      <c r="H617" s="87" t="n"/>
      <c r="I617" s="87" t="n"/>
      <c r="J617" s="87" t="n"/>
      <c r="K617" s="87" t="n"/>
      <c r="L617" s="87" t="n"/>
      <c r="M617" s="87" t="n"/>
      <c r="N617" s="87" t="n"/>
      <c r="O617" s="87" t="n"/>
      <c r="P617" s="87" t="n"/>
      <c r="Q617" s="87" t="n"/>
      <c r="R617" s="87" t="n"/>
      <c r="S617" s="87" t="n"/>
      <c r="T617" s="87" t="n"/>
      <c r="U617" s="87" t="n"/>
      <c r="V617" s="87" t="n"/>
      <c r="W617" s="87" t="n"/>
      <c r="X617" s="87" t="n"/>
      <c r="Y617" s="87" t="n"/>
      <c r="Z617" s="87" t="n"/>
    </row>
    <row r="618" ht="15.75" customHeight="1">
      <c r="A618" s="87" t="n"/>
      <c r="B618" s="87" t="n"/>
      <c r="C618" s="87" t="n"/>
      <c r="D618" s="87" t="n"/>
      <c r="E618" s="87" t="n"/>
      <c r="F618" s="87" t="n"/>
      <c r="G618" s="87" t="n"/>
      <c r="H618" s="87" t="n"/>
      <c r="I618" s="87" t="n"/>
      <c r="J618" s="87" t="n"/>
      <c r="K618" s="87" t="n"/>
      <c r="L618" s="87" t="n"/>
      <c r="M618" s="87" t="n"/>
      <c r="N618" s="87" t="n"/>
      <c r="O618" s="87" t="n"/>
      <c r="P618" s="87" t="n"/>
      <c r="Q618" s="87" t="n"/>
      <c r="R618" s="87" t="n"/>
      <c r="S618" s="87" t="n"/>
      <c r="T618" s="87" t="n"/>
      <c r="U618" s="87" t="n"/>
      <c r="V618" s="87" t="n"/>
      <c r="W618" s="87" t="n"/>
      <c r="X618" s="87" t="n"/>
      <c r="Y618" s="87" t="n"/>
      <c r="Z618" s="87" t="n"/>
    </row>
    <row r="619" ht="15.75" customHeight="1">
      <c r="A619" s="87" t="n"/>
      <c r="B619" s="87" t="n"/>
      <c r="C619" s="87" t="n"/>
      <c r="D619" s="87" t="n"/>
      <c r="E619" s="87" t="n"/>
      <c r="F619" s="87" t="n"/>
      <c r="G619" s="87" t="n"/>
      <c r="H619" s="87" t="n"/>
      <c r="I619" s="87" t="n"/>
      <c r="J619" s="87" t="n"/>
      <c r="K619" s="87" t="n"/>
      <c r="L619" s="87" t="n"/>
      <c r="M619" s="87" t="n"/>
      <c r="N619" s="87" t="n"/>
      <c r="O619" s="87" t="n"/>
      <c r="P619" s="87" t="n"/>
      <c r="Q619" s="87" t="n"/>
      <c r="R619" s="87" t="n"/>
      <c r="S619" s="87" t="n"/>
      <c r="T619" s="87" t="n"/>
      <c r="U619" s="87" t="n"/>
      <c r="V619" s="87" t="n"/>
      <c r="W619" s="87" t="n"/>
      <c r="X619" s="87" t="n"/>
      <c r="Y619" s="87" t="n"/>
      <c r="Z619" s="87" t="n"/>
    </row>
    <row r="620" ht="15.75" customHeight="1">
      <c r="A620" s="87" t="n"/>
      <c r="B620" s="87" t="n"/>
      <c r="C620" s="87" t="n"/>
      <c r="D620" s="87" t="n"/>
      <c r="E620" s="87" t="n"/>
      <c r="F620" s="87" t="n"/>
      <c r="G620" s="87" t="n"/>
      <c r="H620" s="87" t="n"/>
      <c r="I620" s="87" t="n"/>
      <c r="J620" s="87" t="n"/>
      <c r="K620" s="87" t="n"/>
      <c r="L620" s="87" t="n"/>
      <c r="M620" s="87" t="n"/>
      <c r="N620" s="87" t="n"/>
      <c r="O620" s="87" t="n"/>
      <c r="P620" s="87" t="n"/>
      <c r="Q620" s="87" t="n"/>
      <c r="R620" s="87" t="n"/>
      <c r="S620" s="87" t="n"/>
      <c r="T620" s="87" t="n"/>
      <c r="U620" s="87" t="n"/>
      <c r="V620" s="87" t="n"/>
      <c r="W620" s="87" t="n"/>
      <c r="X620" s="87" t="n"/>
      <c r="Y620" s="87" t="n"/>
      <c r="Z620" s="87" t="n"/>
    </row>
    <row r="621" ht="15.75" customHeight="1">
      <c r="A621" s="87" t="n"/>
      <c r="B621" s="87" t="n"/>
      <c r="C621" s="87" t="n"/>
      <c r="D621" s="87" t="n"/>
      <c r="E621" s="87" t="n"/>
      <c r="F621" s="87" t="n"/>
      <c r="G621" s="87" t="n"/>
      <c r="H621" s="87" t="n"/>
      <c r="I621" s="87" t="n"/>
      <c r="J621" s="87" t="n"/>
      <c r="K621" s="87" t="n"/>
      <c r="L621" s="87" t="n"/>
      <c r="M621" s="87" t="n"/>
      <c r="N621" s="87" t="n"/>
      <c r="O621" s="87" t="n"/>
      <c r="P621" s="87" t="n"/>
      <c r="Q621" s="87" t="n"/>
      <c r="R621" s="87" t="n"/>
      <c r="S621" s="87" t="n"/>
      <c r="T621" s="87" t="n"/>
      <c r="U621" s="87" t="n"/>
      <c r="V621" s="87" t="n"/>
      <c r="W621" s="87" t="n"/>
      <c r="X621" s="87" t="n"/>
      <c r="Y621" s="87" t="n"/>
      <c r="Z621" s="87" t="n"/>
    </row>
    <row r="622" ht="15.75" customHeight="1">
      <c r="A622" s="87" t="n"/>
      <c r="B622" s="87" t="n"/>
      <c r="C622" s="87" t="n"/>
      <c r="D622" s="87" t="n"/>
      <c r="E622" s="87" t="n"/>
      <c r="F622" s="87" t="n"/>
      <c r="G622" s="87" t="n"/>
      <c r="H622" s="87" t="n"/>
      <c r="I622" s="87" t="n"/>
      <c r="J622" s="87" t="n"/>
      <c r="K622" s="87" t="n"/>
      <c r="L622" s="87" t="n"/>
      <c r="M622" s="87" t="n"/>
      <c r="N622" s="87" t="n"/>
      <c r="O622" s="87" t="n"/>
      <c r="P622" s="87" t="n"/>
      <c r="Q622" s="87" t="n"/>
      <c r="R622" s="87" t="n"/>
      <c r="S622" s="87" t="n"/>
      <c r="T622" s="87" t="n"/>
      <c r="U622" s="87" t="n"/>
      <c r="V622" s="87" t="n"/>
      <c r="W622" s="87" t="n"/>
      <c r="X622" s="87" t="n"/>
      <c r="Y622" s="87" t="n"/>
      <c r="Z622" s="87" t="n"/>
    </row>
    <row r="623" ht="15.75" customHeight="1">
      <c r="A623" s="87" t="n"/>
      <c r="B623" s="87" t="n"/>
      <c r="C623" s="87" t="n"/>
      <c r="D623" s="87" t="n"/>
      <c r="E623" s="87" t="n"/>
      <c r="F623" s="87" t="n"/>
      <c r="G623" s="87" t="n"/>
      <c r="H623" s="87" t="n"/>
      <c r="I623" s="87" t="n"/>
      <c r="J623" s="87" t="n"/>
      <c r="K623" s="87" t="n"/>
      <c r="L623" s="87" t="n"/>
      <c r="M623" s="87" t="n"/>
      <c r="N623" s="87" t="n"/>
      <c r="O623" s="87" t="n"/>
      <c r="P623" s="87" t="n"/>
      <c r="Q623" s="87" t="n"/>
      <c r="R623" s="87" t="n"/>
      <c r="S623" s="87" t="n"/>
      <c r="T623" s="87" t="n"/>
      <c r="U623" s="87" t="n"/>
      <c r="V623" s="87" t="n"/>
      <c r="W623" s="87" t="n"/>
      <c r="X623" s="87" t="n"/>
      <c r="Y623" s="87" t="n"/>
      <c r="Z623" s="87" t="n"/>
    </row>
    <row r="624" ht="15.75" customHeight="1">
      <c r="A624" s="87" t="n"/>
      <c r="B624" s="87" t="n"/>
      <c r="C624" s="87" t="n"/>
      <c r="D624" s="87" t="n"/>
      <c r="E624" s="87" t="n"/>
      <c r="F624" s="87" t="n"/>
      <c r="G624" s="87" t="n"/>
      <c r="H624" s="87" t="n"/>
      <c r="I624" s="87" t="n"/>
      <c r="J624" s="87" t="n"/>
      <c r="K624" s="87" t="n"/>
      <c r="L624" s="87" t="n"/>
      <c r="M624" s="87" t="n"/>
      <c r="N624" s="87" t="n"/>
      <c r="O624" s="87" t="n"/>
      <c r="P624" s="87" t="n"/>
      <c r="Q624" s="87" t="n"/>
      <c r="R624" s="87" t="n"/>
      <c r="S624" s="87" t="n"/>
      <c r="T624" s="87" t="n"/>
      <c r="U624" s="87" t="n"/>
      <c r="V624" s="87" t="n"/>
      <c r="W624" s="87" t="n"/>
      <c r="X624" s="87" t="n"/>
      <c r="Y624" s="87" t="n"/>
      <c r="Z624" s="87" t="n"/>
    </row>
    <row r="625" ht="15.75" customHeight="1">
      <c r="A625" s="87" t="n"/>
      <c r="B625" s="87" t="n"/>
      <c r="C625" s="87" t="n"/>
      <c r="D625" s="87" t="n"/>
      <c r="E625" s="87" t="n"/>
      <c r="F625" s="87" t="n"/>
      <c r="G625" s="87" t="n"/>
      <c r="H625" s="87" t="n"/>
      <c r="I625" s="87" t="n"/>
      <c r="J625" s="87" t="n"/>
      <c r="K625" s="87" t="n"/>
      <c r="L625" s="87" t="n"/>
      <c r="M625" s="87" t="n"/>
      <c r="N625" s="87" t="n"/>
      <c r="O625" s="87" t="n"/>
      <c r="P625" s="87" t="n"/>
      <c r="Q625" s="87" t="n"/>
      <c r="R625" s="87" t="n"/>
      <c r="S625" s="87" t="n"/>
      <c r="T625" s="87" t="n"/>
      <c r="U625" s="87" t="n"/>
      <c r="V625" s="87" t="n"/>
      <c r="W625" s="87" t="n"/>
      <c r="X625" s="87" t="n"/>
      <c r="Y625" s="87" t="n"/>
      <c r="Z625" s="87" t="n"/>
    </row>
    <row r="626" ht="15.75" customHeight="1">
      <c r="A626" s="87" t="n"/>
      <c r="B626" s="87" t="n"/>
      <c r="C626" s="87" t="n"/>
      <c r="D626" s="87" t="n"/>
      <c r="E626" s="87" t="n"/>
      <c r="F626" s="87" t="n"/>
      <c r="G626" s="87" t="n"/>
      <c r="H626" s="87" t="n"/>
      <c r="I626" s="87" t="n"/>
      <c r="J626" s="87" t="n"/>
      <c r="K626" s="87" t="n"/>
      <c r="L626" s="87" t="n"/>
      <c r="M626" s="87" t="n"/>
      <c r="N626" s="87" t="n"/>
      <c r="O626" s="87" t="n"/>
      <c r="P626" s="87" t="n"/>
      <c r="Q626" s="87" t="n"/>
      <c r="R626" s="87" t="n"/>
      <c r="S626" s="87" t="n"/>
      <c r="T626" s="87" t="n"/>
      <c r="U626" s="87" t="n"/>
      <c r="V626" s="87" t="n"/>
      <c r="W626" s="87" t="n"/>
      <c r="X626" s="87" t="n"/>
      <c r="Y626" s="87" t="n"/>
      <c r="Z626" s="87" t="n"/>
    </row>
    <row r="627" ht="15.75" customHeight="1">
      <c r="A627" s="87" t="n"/>
      <c r="B627" s="87" t="n"/>
      <c r="C627" s="87" t="n"/>
      <c r="D627" s="87" t="n"/>
      <c r="E627" s="87" t="n"/>
      <c r="F627" s="87" t="n"/>
      <c r="G627" s="87" t="n"/>
      <c r="H627" s="87" t="n"/>
      <c r="I627" s="87" t="n"/>
      <c r="J627" s="87" t="n"/>
      <c r="K627" s="87" t="n"/>
      <c r="L627" s="87" t="n"/>
      <c r="M627" s="87" t="n"/>
      <c r="N627" s="87" t="n"/>
      <c r="O627" s="87" t="n"/>
      <c r="P627" s="87" t="n"/>
      <c r="Q627" s="87" t="n"/>
      <c r="R627" s="87" t="n"/>
      <c r="S627" s="87" t="n"/>
      <c r="T627" s="87" t="n"/>
      <c r="U627" s="87" t="n"/>
      <c r="V627" s="87" t="n"/>
      <c r="W627" s="87" t="n"/>
      <c r="X627" s="87" t="n"/>
      <c r="Y627" s="87" t="n"/>
      <c r="Z627" s="87" t="n"/>
    </row>
    <row r="628" ht="15.75" customHeight="1">
      <c r="A628" s="87" t="n"/>
      <c r="B628" s="87" t="n"/>
      <c r="C628" s="87" t="n"/>
      <c r="D628" s="87" t="n"/>
      <c r="E628" s="87" t="n"/>
      <c r="F628" s="87" t="n"/>
      <c r="G628" s="87" t="n"/>
      <c r="H628" s="87" t="n"/>
      <c r="I628" s="87" t="n"/>
      <c r="J628" s="87" t="n"/>
      <c r="K628" s="87" t="n"/>
      <c r="L628" s="87" t="n"/>
      <c r="M628" s="87" t="n"/>
      <c r="N628" s="87" t="n"/>
      <c r="O628" s="87" t="n"/>
      <c r="P628" s="87" t="n"/>
      <c r="Q628" s="87" t="n"/>
      <c r="R628" s="87" t="n"/>
      <c r="S628" s="87" t="n"/>
      <c r="T628" s="87" t="n"/>
      <c r="U628" s="87" t="n"/>
      <c r="V628" s="87" t="n"/>
      <c r="W628" s="87" t="n"/>
      <c r="X628" s="87" t="n"/>
      <c r="Y628" s="87" t="n"/>
      <c r="Z628" s="87" t="n"/>
    </row>
    <row r="629" ht="15.75" customHeight="1">
      <c r="A629" s="87" t="n"/>
      <c r="B629" s="87" t="n"/>
      <c r="C629" s="87" t="n"/>
      <c r="D629" s="87" t="n"/>
      <c r="E629" s="87" t="n"/>
      <c r="F629" s="87" t="n"/>
      <c r="G629" s="87" t="n"/>
      <c r="H629" s="87" t="n"/>
      <c r="I629" s="87" t="n"/>
      <c r="J629" s="87" t="n"/>
      <c r="K629" s="87" t="n"/>
      <c r="L629" s="87" t="n"/>
      <c r="M629" s="87" t="n"/>
      <c r="N629" s="87" t="n"/>
      <c r="O629" s="87" t="n"/>
      <c r="P629" s="87" t="n"/>
      <c r="Q629" s="87" t="n"/>
      <c r="R629" s="87" t="n"/>
      <c r="S629" s="87" t="n"/>
      <c r="T629" s="87" t="n"/>
      <c r="U629" s="87" t="n"/>
      <c r="V629" s="87" t="n"/>
      <c r="W629" s="87" t="n"/>
      <c r="X629" s="87" t="n"/>
      <c r="Y629" s="87" t="n"/>
      <c r="Z629" s="87" t="n"/>
    </row>
    <row r="630" ht="15.75" customHeight="1">
      <c r="A630" s="87" t="n"/>
      <c r="B630" s="87" t="n"/>
      <c r="C630" s="87" t="n"/>
      <c r="D630" s="87" t="n"/>
      <c r="E630" s="87" t="n"/>
      <c r="F630" s="87" t="n"/>
      <c r="G630" s="87" t="n"/>
      <c r="H630" s="87" t="n"/>
      <c r="I630" s="87" t="n"/>
      <c r="J630" s="87" t="n"/>
      <c r="K630" s="87" t="n"/>
      <c r="L630" s="87" t="n"/>
      <c r="M630" s="87" t="n"/>
      <c r="N630" s="87" t="n"/>
      <c r="O630" s="87" t="n"/>
      <c r="P630" s="87" t="n"/>
      <c r="Q630" s="87" t="n"/>
      <c r="R630" s="87" t="n"/>
      <c r="S630" s="87" t="n"/>
      <c r="T630" s="87" t="n"/>
      <c r="U630" s="87" t="n"/>
      <c r="V630" s="87" t="n"/>
      <c r="W630" s="87" t="n"/>
      <c r="X630" s="87" t="n"/>
      <c r="Y630" s="87" t="n"/>
      <c r="Z630" s="87" t="n"/>
    </row>
    <row r="631" ht="15.75" customHeight="1">
      <c r="A631" s="87" t="n"/>
      <c r="B631" s="87" t="n"/>
      <c r="C631" s="87" t="n"/>
      <c r="D631" s="87" t="n"/>
      <c r="E631" s="87" t="n"/>
      <c r="F631" s="87" t="n"/>
      <c r="G631" s="87" t="n"/>
      <c r="H631" s="87" t="n"/>
      <c r="I631" s="87" t="n"/>
      <c r="J631" s="87" t="n"/>
      <c r="K631" s="87" t="n"/>
      <c r="L631" s="87" t="n"/>
      <c r="M631" s="87" t="n"/>
      <c r="N631" s="87" t="n"/>
      <c r="O631" s="87" t="n"/>
      <c r="P631" s="87" t="n"/>
      <c r="Q631" s="87" t="n"/>
      <c r="R631" s="87" t="n"/>
      <c r="S631" s="87" t="n"/>
      <c r="T631" s="87" t="n"/>
      <c r="U631" s="87" t="n"/>
      <c r="V631" s="87" t="n"/>
      <c r="W631" s="87" t="n"/>
      <c r="X631" s="87" t="n"/>
      <c r="Y631" s="87" t="n"/>
      <c r="Z631" s="87" t="n"/>
    </row>
    <row r="632" ht="15.75" customHeight="1">
      <c r="A632" s="87" t="n"/>
      <c r="B632" s="87" t="n"/>
      <c r="C632" s="87" t="n"/>
      <c r="D632" s="87" t="n"/>
      <c r="E632" s="87" t="n"/>
      <c r="F632" s="87" t="n"/>
      <c r="G632" s="87" t="n"/>
      <c r="H632" s="87" t="n"/>
      <c r="I632" s="87" t="n"/>
      <c r="J632" s="87" t="n"/>
      <c r="K632" s="87" t="n"/>
      <c r="L632" s="87" t="n"/>
      <c r="M632" s="87" t="n"/>
      <c r="N632" s="87" t="n"/>
      <c r="O632" s="87" t="n"/>
      <c r="P632" s="87" t="n"/>
      <c r="Q632" s="87" t="n"/>
      <c r="R632" s="87" t="n"/>
      <c r="S632" s="87" t="n"/>
      <c r="T632" s="87" t="n"/>
      <c r="U632" s="87" t="n"/>
      <c r="V632" s="87" t="n"/>
      <c r="W632" s="87" t="n"/>
      <c r="X632" s="87" t="n"/>
      <c r="Y632" s="87" t="n"/>
      <c r="Z632" s="87" t="n"/>
    </row>
    <row r="633" ht="15.75" customHeight="1">
      <c r="A633" s="87" t="n"/>
      <c r="B633" s="87" t="n"/>
      <c r="C633" s="87" t="n"/>
      <c r="D633" s="87" t="n"/>
      <c r="E633" s="87" t="n"/>
      <c r="F633" s="87" t="n"/>
      <c r="G633" s="87" t="n"/>
      <c r="H633" s="87" t="n"/>
      <c r="I633" s="87" t="n"/>
      <c r="J633" s="87" t="n"/>
      <c r="K633" s="87" t="n"/>
      <c r="L633" s="87" t="n"/>
      <c r="M633" s="87" t="n"/>
      <c r="N633" s="87" t="n"/>
      <c r="O633" s="87" t="n"/>
      <c r="P633" s="87" t="n"/>
      <c r="Q633" s="87" t="n"/>
      <c r="R633" s="87" t="n"/>
      <c r="S633" s="87" t="n"/>
      <c r="T633" s="87" t="n"/>
      <c r="U633" s="87" t="n"/>
      <c r="V633" s="87" t="n"/>
      <c r="W633" s="87" t="n"/>
      <c r="X633" s="87" t="n"/>
      <c r="Y633" s="87" t="n"/>
      <c r="Z633" s="87" t="n"/>
    </row>
    <row r="634" ht="15.75" customHeight="1">
      <c r="A634" s="87" t="n"/>
      <c r="B634" s="87" t="n"/>
      <c r="C634" s="87" t="n"/>
      <c r="D634" s="87" t="n"/>
      <c r="E634" s="87" t="n"/>
      <c r="F634" s="87" t="n"/>
      <c r="G634" s="87" t="n"/>
      <c r="H634" s="87" t="n"/>
      <c r="I634" s="87" t="n"/>
      <c r="J634" s="87" t="n"/>
      <c r="K634" s="87" t="n"/>
      <c r="L634" s="87" t="n"/>
      <c r="M634" s="87" t="n"/>
      <c r="N634" s="87" t="n"/>
      <c r="O634" s="87" t="n"/>
      <c r="P634" s="87" t="n"/>
      <c r="Q634" s="87" t="n"/>
      <c r="R634" s="87" t="n"/>
      <c r="S634" s="87" t="n"/>
      <c r="T634" s="87" t="n"/>
      <c r="U634" s="87" t="n"/>
      <c r="V634" s="87" t="n"/>
      <c r="W634" s="87" t="n"/>
      <c r="X634" s="87" t="n"/>
      <c r="Y634" s="87" t="n"/>
      <c r="Z634" s="87" t="n"/>
    </row>
    <row r="635" ht="15.75" customHeight="1">
      <c r="A635" s="87" t="n"/>
      <c r="B635" s="87" t="n"/>
      <c r="C635" s="87" t="n"/>
      <c r="D635" s="87" t="n"/>
      <c r="E635" s="87" t="n"/>
      <c r="F635" s="87" t="n"/>
      <c r="G635" s="87" t="n"/>
      <c r="H635" s="87" t="n"/>
      <c r="I635" s="87" t="n"/>
      <c r="J635" s="87" t="n"/>
      <c r="K635" s="87" t="n"/>
      <c r="L635" s="87" t="n"/>
      <c r="M635" s="87" t="n"/>
      <c r="N635" s="87" t="n"/>
      <c r="O635" s="87" t="n"/>
      <c r="P635" s="87" t="n"/>
      <c r="Q635" s="87" t="n"/>
      <c r="R635" s="87" t="n"/>
      <c r="S635" s="87" t="n"/>
      <c r="T635" s="87" t="n"/>
      <c r="U635" s="87" t="n"/>
      <c r="V635" s="87" t="n"/>
      <c r="W635" s="87" t="n"/>
      <c r="X635" s="87" t="n"/>
      <c r="Y635" s="87" t="n"/>
      <c r="Z635" s="87" t="n"/>
    </row>
    <row r="636" ht="15.75" customHeight="1">
      <c r="A636" s="87" t="n"/>
      <c r="B636" s="87" t="n"/>
      <c r="C636" s="87" t="n"/>
      <c r="D636" s="87" t="n"/>
      <c r="E636" s="87" t="n"/>
      <c r="F636" s="87" t="n"/>
      <c r="G636" s="87" t="n"/>
      <c r="H636" s="87" t="n"/>
      <c r="I636" s="87" t="n"/>
      <c r="J636" s="87" t="n"/>
      <c r="K636" s="87" t="n"/>
      <c r="L636" s="87" t="n"/>
      <c r="M636" s="87" t="n"/>
      <c r="N636" s="87" t="n"/>
      <c r="O636" s="87" t="n"/>
      <c r="P636" s="87" t="n"/>
      <c r="Q636" s="87" t="n"/>
      <c r="R636" s="87" t="n"/>
      <c r="S636" s="87" t="n"/>
      <c r="T636" s="87" t="n"/>
      <c r="U636" s="87" t="n"/>
      <c r="V636" s="87" t="n"/>
      <c r="W636" s="87" t="n"/>
      <c r="X636" s="87" t="n"/>
      <c r="Y636" s="87" t="n"/>
      <c r="Z636" s="87" t="n"/>
    </row>
    <row r="637" ht="15.75" customHeight="1">
      <c r="A637" s="87" t="n"/>
      <c r="B637" s="87" t="n"/>
      <c r="C637" s="87" t="n"/>
      <c r="D637" s="87" t="n"/>
      <c r="E637" s="87" t="n"/>
      <c r="F637" s="87" t="n"/>
      <c r="G637" s="87" t="n"/>
      <c r="H637" s="87" t="n"/>
      <c r="I637" s="87" t="n"/>
      <c r="J637" s="87" t="n"/>
      <c r="K637" s="87" t="n"/>
      <c r="L637" s="87" t="n"/>
      <c r="M637" s="87" t="n"/>
      <c r="N637" s="87" t="n"/>
      <c r="O637" s="87" t="n"/>
      <c r="P637" s="87" t="n"/>
      <c r="Q637" s="87" t="n"/>
      <c r="R637" s="87" t="n"/>
      <c r="S637" s="87" t="n"/>
      <c r="T637" s="87" t="n"/>
      <c r="U637" s="87" t="n"/>
      <c r="V637" s="87" t="n"/>
      <c r="W637" s="87" t="n"/>
      <c r="X637" s="87" t="n"/>
      <c r="Y637" s="87" t="n"/>
      <c r="Z637" s="87" t="n"/>
    </row>
    <row r="638" ht="15.75" customHeight="1">
      <c r="A638" s="87" t="n"/>
      <c r="B638" s="87" t="n"/>
      <c r="C638" s="87" t="n"/>
      <c r="D638" s="87" t="n"/>
      <c r="E638" s="87" t="n"/>
      <c r="F638" s="87" t="n"/>
      <c r="G638" s="87" t="n"/>
      <c r="H638" s="87" t="n"/>
      <c r="I638" s="87" t="n"/>
      <c r="J638" s="87" t="n"/>
      <c r="K638" s="87" t="n"/>
      <c r="L638" s="87" t="n"/>
      <c r="M638" s="87" t="n"/>
      <c r="N638" s="87" t="n"/>
      <c r="O638" s="87" t="n"/>
      <c r="P638" s="87" t="n"/>
      <c r="Q638" s="87" t="n"/>
      <c r="R638" s="87" t="n"/>
      <c r="S638" s="87" t="n"/>
      <c r="T638" s="87" t="n"/>
      <c r="U638" s="87" t="n"/>
      <c r="V638" s="87" t="n"/>
      <c r="W638" s="87" t="n"/>
      <c r="X638" s="87" t="n"/>
      <c r="Y638" s="87" t="n"/>
      <c r="Z638" s="87" t="n"/>
    </row>
    <row r="639" ht="15.75" customHeight="1">
      <c r="A639" s="87" t="n"/>
      <c r="B639" s="87" t="n"/>
      <c r="C639" s="87" t="n"/>
      <c r="D639" s="87" t="n"/>
      <c r="E639" s="87" t="n"/>
      <c r="F639" s="87" t="n"/>
      <c r="G639" s="87" t="n"/>
      <c r="H639" s="87" t="n"/>
      <c r="I639" s="87" t="n"/>
      <c r="J639" s="87" t="n"/>
      <c r="K639" s="87" t="n"/>
      <c r="L639" s="87" t="n"/>
      <c r="M639" s="87" t="n"/>
      <c r="N639" s="87" t="n"/>
      <c r="O639" s="87" t="n"/>
      <c r="P639" s="87" t="n"/>
      <c r="Q639" s="87" t="n"/>
      <c r="R639" s="87" t="n"/>
      <c r="S639" s="87" t="n"/>
      <c r="T639" s="87" t="n"/>
      <c r="U639" s="87" t="n"/>
      <c r="V639" s="87" t="n"/>
      <c r="W639" s="87" t="n"/>
      <c r="X639" s="87" t="n"/>
      <c r="Y639" s="87" t="n"/>
      <c r="Z639" s="87" t="n"/>
    </row>
    <row r="640" ht="15.75" customHeight="1">
      <c r="A640" s="87" t="n"/>
      <c r="B640" s="87" t="n"/>
      <c r="C640" s="87" t="n"/>
      <c r="D640" s="87" t="n"/>
      <c r="E640" s="87" t="n"/>
      <c r="F640" s="87" t="n"/>
      <c r="G640" s="87" t="n"/>
      <c r="H640" s="87" t="n"/>
      <c r="I640" s="87" t="n"/>
      <c r="J640" s="87" t="n"/>
      <c r="K640" s="87" t="n"/>
      <c r="L640" s="87" t="n"/>
      <c r="M640" s="87" t="n"/>
      <c r="N640" s="87" t="n"/>
      <c r="O640" s="87" t="n"/>
      <c r="P640" s="87" t="n"/>
      <c r="Q640" s="87" t="n"/>
      <c r="R640" s="87" t="n"/>
      <c r="S640" s="87" t="n"/>
      <c r="T640" s="87" t="n"/>
      <c r="U640" s="87" t="n"/>
      <c r="V640" s="87" t="n"/>
      <c r="W640" s="87" t="n"/>
      <c r="X640" s="87" t="n"/>
      <c r="Y640" s="87" t="n"/>
      <c r="Z640" s="87" t="n"/>
    </row>
    <row r="641" ht="15.75" customHeight="1">
      <c r="A641" s="87" t="n"/>
      <c r="B641" s="87" t="n"/>
      <c r="C641" s="87" t="n"/>
      <c r="D641" s="87" t="n"/>
      <c r="E641" s="87" t="n"/>
      <c r="F641" s="87" t="n"/>
      <c r="G641" s="87" t="n"/>
      <c r="H641" s="87" t="n"/>
      <c r="I641" s="87" t="n"/>
      <c r="J641" s="87" t="n"/>
      <c r="K641" s="87" t="n"/>
      <c r="L641" s="87" t="n"/>
      <c r="M641" s="87" t="n"/>
      <c r="N641" s="87" t="n"/>
      <c r="O641" s="87" t="n"/>
      <c r="P641" s="87" t="n"/>
      <c r="Q641" s="87" t="n"/>
      <c r="R641" s="87" t="n"/>
      <c r="S641" s="87" t="n"/>
      <c r="T641" s="87" t="n"/>
      <c r="U641" s="87" t="n"/>
      <c r="V641" s="87" t="n"/>
      <c r="W641" s="87" t="n"/>
      <c r="X641" s="87" t="n"/>
      <c r="Y641" s="87" t="n"/>
      <c r="Z641" s="87" t="n"/>
    </row>
    <row r="642" ht="15.75" customHeight="1">
      <c r="A642" s="87" t="n"/>
      <c r="B642" s="87" t="n"/>
      <c r="C642" s="87" t="n"/>
      <c r="D642" s="87" t="n"/>
      <c r="E642" s="87" t="n"/>
      <c r="F642" s="87" t="n"/>
      <c r="G642" s="87" t="n"/>
      <c r="H642" s="87" t="n"/>
      <c r="I642" s="87" t="n"/>
      <c r="J642" s="87" t="n"/>
      <c r="K642" s="87" t="n"/>
      <c r="L642" s="87" t="n"/>
      <c r="M642" s="87" t="n"/>
      <c r="N642" s="87" t="n"/>
      <c r="O642" s="87" t="n"/>
      <c r="P642" s="87" t="n"/>
      <c r="Q642" s="87" t="n"/>
      <c r="R642" s="87" t="n"/>
      <c r="S642" s="87" t="n"/>
      <c r="T642" s="87" t="n"/>
      <c r="U642" s="87" t="n"/>
      <c r="V642" s="87" t="n"/>
      <c r="W642" s="87" t="n"/>
      <c r="X642" s="87" t="n"/>
      <c r="Y642" s="87" t="n"/>
      <c r="Z642" s="87" t="n"/>
    </row>
    <row r="643" ht="15.75" customHeight="1">
      <c r="A643" s="87" t="n"/>
      <c r="B643" s="87" t="n"/>
      <c r="C643" s="87" t="n"/>
      <c r="D643" s="87" t="n"/>
      <c r="E643" s="87" t="n"/>
      <c r="F643" s="87" t="n"/>
      <c r="G643" s="87" t="n"/>
      <c r="H643" s="87" t="n"/>
      <c r="I643" s="87" t="n"/>
      <c r="J643" s="87" t="n"/>
      <c r="K643" s="87" t="n"/>
      <c r="L643" s="87" t="n"/>
      <c r="M643" s="87" t="n"/>
      <c r="N643" s="87" t="n"/>
      <c r="O643" s="87" t="n"/>
      <c r="P643" s="87" t="n"/>
      <c r="Q643" s="87" t="n"/>
      <c r="R643" s="87" t="n"/>
      <c r="S643" s="87" t="n"/>
      <c r="T643" s="87" t="n"/>
      <c r="U643" s="87" t="n"/>
      <c r="V643" s="87" t="n"/>
      <c r="W643" s="87" t="n"/>
      <c r="X643" s="87" t="n"/>
      <c r="Y643" s="87" t="n"/>
      <c r="Z643" s="87" t="n"/>
    </row>
    <row r="644" ht="15.75" customHeight="1">
      <c r="A644" s="87" t="n"/>
      <c r="B644" s="87" t="n"/>
      <c r="C644" s="87" t="n"/>
      <c r="D644" s="87" t="n"/>
      <c r="E644" s="87" t="n"/>
      <c r="F644" s="87" t="n"/>
      <c r="G644" s="87" t="n"/>
      <c r="H644" s="87" t="n"/>
      <c r="I644" s="87" t="n"/>
      <c r="J644" s="87" t="n"/>
      <c r="K644" s="87" t="n"/>
      <c r="L644" s="87" t="n"/>
      <c r="M644" s="87" t="n"/>
      <c r="N644" s="87" t="n"/>
      <c r="O644" s="87" t="n"/>
      <c r="P644" s="87" t="n"/>
      <c r="Q644" s="87" t="n"/>
      <c r="R644" s="87" t="n"/>
      <c r="S644" s="87" t="n"/>
      <c r="T644" s="87" t="n"/>
      <c r="U644" s="87" t="n"/>
      <c r="V644" s="87" t="n"/>
      <c r="W644" s="87" t="n"/>
      <c r="X644" s="87" t="n"/>
      <c r="Y644" s="87" t="n"/>
      <c r="Z644" s="87" t="n"/>
    </row>
    <row r="645" ht="15.75" customHeight="1">
      <c r="A645" s="87" t="n"/>
      <c r="B645" s="87" t="n"/>
      <c r="C645" s="87" t="n"/>
      <c r="D645" s="87" t="n"/>
      <c r="E645" s="87" t="n"/>
      <c r="F645" s="87" t="n"/>
      <c r="G645" s="87" t="n"/>
      <c r="H645" s="87" t="n"/>
      <c r="I645" s="87" t="n"/>
      <c r="J645" s="87" t="n"/>
      <c r="K645" s="87" t="n"/>
      <c r="L645" s="87" t="n"/>
      <c r="M645" s="87" t="n"/>
      <c r="N645" s="87" t="n"/>
      <c r="O645" s="87" t="n"/>
      <c r="P645" s="87" t="n"/>
      <c r="Q645" s="87" t="n"/>
      <c r="R645" s="87" t="n"/>
      <c r="S645" s="87" t="n"/>
      <c r="T645" s="87" t="n"/>
      <c r="U645" s="87" t="n"/>
      <c r="V645" s="87" t="n"/>
      <c r="W645" s="87" t="n"/>
      <c r="X645" s="87" t="n"/>
      <c r="Y645" s="87" t="n"/>
      <c r="Z645" s="87" t="n"/>
    </row>
    <row r="646" ht="15.75" customHeight="1">
      <c r="A646" s="87" t="n"/>
      <c r="B646" s="87" t="n"/>
      <c r="C646" s="87" t="n"/>
      <c r="D646" s="87" t="n"/>
      <c r="E646" s="87" t="n"/>
      <c r="F646" s="87" t="n"/>
      <c r="G646" s="87" t="n"/>
      <c r="H646" s="87" t="n"/>
      <c r="I646" s="87" t="n"/>
      <c r="J646" s="87" t="n"/>
      <c r="K646" s="87" t="n"/>
      <c r="L646" s="87" t="n"/>
      <c r="M646" s="87" t="n"/>
      <c r="N646" s="87" t="n"/>
      <c r="O646" s="87" t="n"/>
      <c r="P646" s="87" t="n"/>
      <c r="Q646" s="87" t="n"/>
      <c r="R646" s="87" t="n"/>
      <c r="S646" s="87" t="n"/>
      <c r="T646" s="87" t="n"/>
      <c r="U646" s="87" t="n"/>
      <c r="V646" s="87" t="n"/>
      <c r="W646" s="87" t="n"/>
      <c r="X646" s="87" t="n"/>
      <c r="Y646" s="87" t="n"/>
      <c r="Z646" s="87" t="n"/>
    </row>
    <row r="647" ht="15.75" customHeight="1">
      <c r="A647" s="87" t="n"/>
      <c r="B647" s="87" t="n"/>
      <c r="C647" s="87" t="n"/>
      <c r="D647" s="87" t="n"/>
      <c r="E647" s="87" t="n"/>
      <c r="F647" s="87" t="n"/>
      <c r="G647" s="87" t="n"/>
      <c r="H647" s="87" t="n"/>
      <c r="I647" s="87" t="n"/>
      <c r="J647" s="87" t="n"/>
      <c r="K647" s="87" t="n"/>
      <c r="L647" s="87" t="n"/>
      <c r="M647" s="87" t="n"/>
      <c r="N647" s="87" t="n"/>
      <c r="O647" s="87" t="n"/>
      <c r="P647" s="87" t="n"/>
      <c r="Q647" s="87" t="n"/>
      <c r="R647" s="87" t="n"/>
      <c r="S647" s="87" t="n"/>
      <c r="T647" s="87" t="n"/>
      <c r="U647" s="87" t="n"/>
      <c r="V647" s="87" t="n"/>
      <c r="W647" s="87" t="n"/>
      <c r="X647" s="87" t="n"/>
      <c r="Y647" s="87" t="n"/>
      <c r="Z647" s="87" t="n"/>
    </row>
    <row r="648" ht="15.75" customHeight="1">
      <c r="A648" s="87" t="n"/>
      <c r="B648" s="87" t="n"/>
      <c r="C648" s="87" t="n"/>
      <c r="D648" s="87" t="n"/>
      <c r="E648" s="87" t="n"/>
      <c r="F648" s="87" t="n"/>
      <c r="G648" s="87" t="n"/>
      <c r="H648" s="87" t="n"/>
      <c r="I648" s="87" t="n"/>
      <c r="J648" s="87" t="n"/>
      <c r="K648" s="87" t="n"/>
      <c r="L648" s="87" t="n"/>
      <c r="M648" s="87" t="n"/>
      <c r="N648" s="87" t="n"/>
      <c r="O648" s="87" t="n"/>
      <c r="P648" s="87" t="n"/>
      <c r="Q648" s="87" t="n"/>
      <c r="R648" s="87" t="n"/>
      <c r="S648" s="87" t="n"/>
      <c r="T648" s="87" t="n"/>
      <c r="U648" s="87" t="n"/>
      <c r="V648" s="87" t="n"/>
      <c r="W648" s="87" t="n"/>
      <c r="X648" s="87" t="n"/>
      <c r="Y648" s="87" t="n"/>
      <c r="Z648" s="87" t="n"/>
    </row>
    <row r="649" ht="15.75" customHeight="1">
      <c r="A649" s="87" t="n"/>
      <c r="B649" s="87" t="n"/>
      <c r="C649" s="87" t="n"/>
      <c r="D649" s="87" t="n"/>
      <c r="E649" s="87" t="n"/>
      <c r="F649" s="87" t="n"/>
      <c r="G649" s="87" t="n"/>
      <c r="H649" s="87" t="n"/>
      <c r="I649" s="87" t="n"/>
      <c r="J649" s="87" t="n"/>
      <c r="K649" s="87" t="n"/>
      <c r="L649" s="87" t="n"/>
      <c r="M649" s="87" t="n"/>
      <c r="N649" s="87" t="n"/>
      <c r="O649" s="87" t="n"/>
      <c r="P649" s="87" t="n"/>
      <c r="Q649" s="87" t="n"/>
      <c r="R649" s="87" t="n"/>
      <c r="S649" s="87" t="n"/>
      <c r="T649" s="87" t="n"/>
      <c r="U649" s="87" t="n"/>
      <c r="V649" s="87" t="n"/>
      <c r="W649" s="87" t="n"/>
      <c r="X649" s="87" t="n"/>
      <c r="Y649" s="87" t="n"/>
      <c r="Z649" s="87" t="n"/>
    </row>
    <row r="650" ht="15.75" customHeight="1">
      <c r="A650" s="87" t="n"/>
      <c r="B650" s="87" t="n"/>
      <c r="C650" s="87" t="n"/>
      <c r="D650" s="87" t="n"/>
      <c r="E650" s="87" t="n"/>
      <c r="F650" s="87" t="n"/>
      <c r="G650" s="87" t="n"/>
      <c r="H650" s="87" t="n"/>
      <c r="I650" s="87" t="n"/>
      <c r="J650" s="87" t="n"/>
      <c r="K650" s="87" t="n"/>
      <c r="L650" s="87" t="n"/>
      <c r="M650" s="87" t="n"/>
      <c r="N650" s="87" t="n"/>
      <c r="O650" s="87" t="n"/>
      <c r="P650" s="87" t="n"/>
      <c r="Q650" s="87" t="n"/>
      <c r="R650" s="87" t="n"/>
      <c r="S650" s="87" t="n"/>
      <c r="T650" s="87" t="n"/>
      <c r="U650" s="87" t="n"/>
      <c r="V650" s="87" t="n"/>
      <c r="W650" s="87" t="n"/>
      <c r="X650" s="87" t="n"/>
      <c r="Y650" s="87" t="n"/>
      <c r="Z650" s="87" t="n"/>
    </row>
    <row r="651" ht="15.75" customHeight="1">
      <c r="A651" s="87" t="n"/>
      <c r="B651" s="87" t="n"/>
      <c r="C651" s="87" t="n"/>
      <c r="D651" s="87" t="n"/>
      <c r="E651" s="87" t="n"/>
      <c r="F651" s="87" t="n"/>
      <c r="G651" s="87" t="n"/>
      <c r="H651" s="87" t="n"/>
      <c r="I651" s="87" t="n"/>
      <c r="J651" s="87" t="n"/>
      <c r="K651" s="87" t="n"/>
      <c r="L651" s="87" t="n"/>
      <c r="M651" s="87" t="n"/>
      <c r="N651" s="87" t="n"/>
      <c r="O651" s="87" t="n"/>
      <c r="P651" s="87" t="n"/>
      <c r="Q651" s="87" t="n"/>
      <c r="R651" s="87" t="n"/>
      <c r="S651" s="87" t="n"/>
      <c r="T651" s="87" t="n"/>
      <c r="U651" s="87" t="n"/>
      <c r="V651" s="87" t="n"/>
      <c r="W651" s="87" t="n"/>
      <c r="X651" s="87" t="n"/>
      <c r="Y651" s="87" t="n"/>
      <c r="Z651" s="87" t="n"/>
    </row>
    <row r="652" ht="15.75" customHeight="1">
      <c r="A652" s="87" t="n"/>
      <c r="B652" s="87" t="n"/>
      <c r="C652" s="87" t="n"/>
      <c r="D652" s="87" t="n"/>
      <c r="E652" s="87" t="n"/>
      <c r="F652" s="87" t="n"/>
      <c r="G652" s="87" t="n"/>
      <c r="H652" s="87" t="n"/>
      <c r="I652" s="87" t="n"/>
      <c r="J652" s="87" t="n"/>
      <c r="K652" s="87" t="n"/>
      <c r="L652" s="87" t="n"/>
      <c r="M652" s="87" t="n"/>
      <c r="N652" s="87" t="n"/>
      <c r="O652" s="87" t="n"/>
      <c r="P652" s="87" t="n"/>
      <c r="Q652" s="87" t="n"/>
      <c r="R652" s="87" t="n"/>
      <c r="S652" s="87" t="n"/>
      <c r="T652" s="87" t="n"/>
      <c r="U652" s="87" t="n"/>
      <c r="V652" s="87" t="n"/>
      <c r="W652" s="87" t="n"/>
      <c r="X652" s="87" t="n"/>
      <c r="Y652" s="87" t="n"/>
      <c r="Z652" s="87" t="n"/>
    </row>
    <row r="653" ht="15.75" customHeight="1">
      <c r="A653" s="87" t="n"/>
      <c r="B653" s="87" t="n"/>
      <c r="C653" s="87" t="n"/>
      <c r="D653" s="87" t="n"/>
      <c r="E653" s="87" t="n"/>
      <c r="F653" s="87" t="n"/>
      <c r="G653" s="87" t="n"/>
      <c r="H653" s="87" t="n"/>
      <c r="I653" s="87" t="n"/>
      <c r="J653" s="87" t="n"/>
      <c r="K653" s="87" t="n"/>
      <c r="L653" s="87" t="n"/>
      <c r="M653" s="87" t="n"/>
      <c r="N653" s="87" t="n"/>
      <c r="O653" s="87" t="n"/>
      <c r="P653" s="87" t="n"/>
      <c r="Q653" s="87" t="n"/>
      <c r="R653" s="87" t="n"/>
      <c r="S653" s="87" t="n"/>
      <c r="T653" s="87" t="n"/>
      <c r="U653" s="87" t="n"/>
      <c r="V653" s="87" t="n"/>
      <c r="W653" s="87" t="n"/>
      <c r="X653" s="87" t="n"/>
      <c r="Y653" s="87" t="n"/>
      <c r="Z653" s="87" t="n"/>
    </row>
    <row r="654" ht="15.75" customHeight="1">
      <c r="A654" s="87" t="n"/>
      <c r="B654" s="87" t="n"/>
      <c r="C654" s="87" t="n"/>
      <c r="D654" s="87" t="n"/>
      <c r="E654" s="87" t="n"/>
      <c r="F654" s="87" t="n"/>
      <c r="G654" s="87" t="n"/>
      <c r="H654" s="87" t="n"/>
      <c r="I654" s="87" t="n"/>
      <c r="J654" s="87" t="n"/>
      <c r="K654" s="87" t="n"/>
      <c r="L654" s="87" t="n"/>
      <c r="M654" s="87" t="n"/>
      <c r="N654" s="87" t="n"/>
      <c r="O654" s="87" t="n"/>
      <c r="P654" s="87" t="n"/>
      <c r="Q654" s="87" t="n"/>
      <c r="R654" s="87" t="n"/>
      <c r="S654" s="87" t="n"/>
      <c r="T654" s="87" t="n"/>
      <c r="U654" s="87" t="n"/>
      <c r="V654" s="87" t="n"/>
      <c r="W654" s="87" t="n"/>
      <c r="X654" s="87" t="n"/>
      <c r="Y654" s="87" t="n"/>
      <c r="Z654" s="87" t="n"/>
    </row>
    <row r="655" ht="15.75" customHeight="1">
      <c r="A655" s="87" t="n"/>
      <c r="B655" s="87" t="n"/>
      <c r="C655" s="87" t="n"/>
      <c r="D655" s="87" t="n"/>
      <c r="E655" s="87" t="n"/>
      <c r="F655" s="87" t="n"/>
      <c r="G655" s="87" t="n"/>
      <c r="H655" s="87" t="n"/>
      <c r="I655" s="87" t="n"/>
      <c r="J655" s="87" t="n"/>
      <c r="K655" s="87" t="n"/>
      <c r="L655" s="87" t="n"/>
      <c r="M655" s="87" t="n"/>
      <c r="N655" s="87" t="n"/>
      <c r="O655" s="87" t="n"/>
      <c r="P655" s="87" t="n"/>
      <c r="Q655" s="87" t="n"/>
      <c r="R655" s="87" t="n"/>
      <c r="S655" s="87" t="n"/>
      <c r="T655" s="87" t="n"/>
      <c r="U655" s="87" t="n"/>
      <c r="V655" s="87" t="n"/>
      <c r="W655" s="87" t="n"/>
      <c r="X655" s="87" t="n"/>
      <c r="Y655" s="87" t="n"/>
      <c r="Z655" s="87" t="n"/>
    </row>
    <row r="656" ht="15.75" customHeight="1">
      <c r="A656" s="87" t="n"/>
      <c r="B656" s="87" t="n"/>
      <c r="C656" s="87" t="n"/>
      <c r="D656" s="87" t="n"/>
      <c r="E656" s="87" t="n"/>
      <c r="F656" s="87" t="n"/>
      <c r="G656" s="87" t="n"/>
      <c r="H656" s="87" t="n"/>
      <c r="I656" s="87" t="n"/>
      <c r="J656" s="87" t="n"/>
      <c r="K656" s="87" t="n"/>
      <c r="L656" s="87" t="n"/>
      <c r="M656" s="87" t="n"/>
      <c r="N656" s="87" t="n"/>
      <c r="O656" s="87" t="n"/>
      <c r="P656" s="87" t="n"/>
      <c r="Q656" s="87" t="n"/>
      <c r="R656" s="87" t="n"/>
      <c r="S656" s="87" t="n"/>
      <c r="T656" s="87" t="n"/>
      <c r="U656" s="87" t="n"/>
      <c r="V656" s="87" t="n"/>
      <c r="W656" s="87" t="n"/>
      <c r="X656" s="87" t="n"/>
      <c r="Y656" s="87" t="n"/>
      <c r="Z656" s="87" t="n"/>
    </row>
    <row r="657" ht="15.75" customHeight="1">
      <c r="A657" s="87" t="n"/>
      <c r="B657" s="87" t="n"/>
      <c r="C657" s="87" t="n"/>
      <c r="D657" s="87" t="n"/>
      <c r="E657" s="87" t="n"/>
      <c r="F657" s="87" t="n"/>
      <c r="G657" s="87" t="n"/>
      <c r="H657" s="87" t="n"/>
      <c r="I657" s="87" t="n"/>
      <c r="J657" s="87" t="n"/>
      <c r="K657" s="87" t="n"/>
      <c r="L657" s="87" t="n"/>
      <c r="M657" s="87" t="n"/>
      <c r="N657" s="87" t="n"/>
      <c r="O657" s="87" t="n"/>
      <c r="P657" s="87" t="n"/>
      <c r="Q657" s="87" t="n"/>
      <c r="R657" s="87" t="n"/>
      <c r="S657" s="87" t="n"/>
      <c r="T657" s="87" t="n"/>
      <c r="U657" s="87" t="n"/>
      <c r="V657" s="87" t="n"/>
      <c r="W657" s="87" t="n"/>
      <c r="X657" s="87" t="n"/>
      <c r="Y657" s="87" t="n"/>
      <c r="Z657" s="87" t="n"/>
    </row>
    <row r="658" ht="15.75" customHeight="1">
      <c r="A658" s="87" t="n"/>
      <c r="B658" s="87" t="n"/>
      <c r="C658" s="87" t="n"/>
      <c r="D658" s="87" t="n"/>
      <c r="E658" s="87" t="n"/>
      <c r="F658" s="87" t="n"/>
      <c r="G658" s="87" t="n"/>
      <c r="H658" s="87" t="n"/>
      <c r="I658" s="87" t="n"/>
      <c r="J658" s="87" t="n"/>
      <c r="K658" s="87" t="n"/>
      <c r="L658" s="87" t="n"/>
      <c r="M658" s="87" t="n"/>
      <c r="N658" s="87" t="n"/>
      <c r="O658" s="87" t="n"/>
      <c r="P658" s="87" t="n"/>
      <c r="Q658" s="87" t="n"/>
      <c r="R658" s="87" t="n"/>
      <c r="S658" s="87" t="n"/>
      <c r="T658" s="87" t="n"/>
      <c r="U658" s="87" t="n"/>
      <c r="V658" s="87" t="n"/>
      <c r="W658" s="87" t="n"/>
      <c r="X658" s="87" t="n"/>
      <c r="Y658" s="87" t="n"/>
      <c r="Z658" s="87" t="n"/>
    </row>
    <row r="659" ht="15.75" customHeight="1">
      <c r="A659" s="87" t="n"/>
      <c r="B659" s="87" t="n"/>
      <c r="C659" s="87" t="n"/>
      <c r="D659" s="87" t="n"/>
      <c r="E659" s="87" t="n"/>
      <c r="F659" s="87" t="n"/>
      <c r="G659" s="87" t="n"/>
      <c r="H659" s="87" t="n"/>
      <c r="I659" s="87" t="n"/>
      <c r="J659" s="87" t="n"/>
      <c r="K659" s="87" t="n"/>
      <c r="L659" s="87" t="n"/>
      <c r="M659" s="87" t="n"/>
      <c r="N659" s="87" t="n"/>
      <c r="O659" s="87" t="n"/>
      <c r="P659" s="87" t="n"/>
      <c r="Q659" s="87" t="n"/>
      <c r="R659" s="87" t="n"/>
      <c r="S659" s="87" t="n"/>
      <c r="T659" s="87" t="n"/>
      <c r="U659" s="87" t="n"/>
      <c r="V659" s="87" t="n"/>
      <c r="W659" s="87" t="n"/>
      <c r="X659" s="87" t="n"/>
      <c r="Y659" s="87" t="n"/>
      <c r="Z659" s="87" t="n"/>
    </row>
    <row r="660" ht="15.75" customHeight="1">
      <c r="A660" s="87" t="n"/>
      <c r="B660" s="87" t="n"/>
      <c r="C660" s="87" t="n"/>
      <c r="D660" s="87" t="n"/>
      <c r="E660" s="87" t="n"/>
      <c r="F660" s="87" t="n"/>
      <c r="G660" s="87" t="n"/>
      <c r="H660" s="87" t="n"/>
      <c r="I660" s="87" t="n"/>
      <c r="J660" s="87" t="n"/>
      <c r="K660" s="87" t="n"/>
      <c r="L660" s="87" t="n"/>
      <c r="M660" s="87" t="n"/>
      <c r="N660" s="87" t="n"/>
      <c r="O660" s="87" t="n"/>
      <c r="P660" s="87" t="n"/>
      <c r="Q660" s="87" t="n"/>
      <c r="R660" s="87" t="n"/>
      <c r="S660" s="87" t="n"/>
      <c r="T660" s="87" t="n"/>
      <c r="U660" s="87" t="n"/>
      <c r="V660" s="87" t="n"/>
      <c r="W660" s="87" t="n"/>
      <c r="X660" s="87" t="n"/>
      <c r="Y660" s="87" t="n"/>
      <c r="Z660" s="87" t="n"/>
    </row>
    <row r="661" ht="15.75" customHeight="1">
      <c r="A661" s="87" t="n"/>
      <c r="B661" s="87" t="n"/>
      <c r="C661" s="87" t="n"/>
      <c r="D661" s="87" t="n"/>
      <c r="E661" s="87" t="n"/>
      <c r="F661" s="87" t="n"/>
      <c r="G661" s="87" t="n"/>
      <c r="H661" s="87" t="n"/>
      <c r="I661" s="87" t="n"/>
      <c r="J661" s="87" t="n"/>
      <c r="K661" s="87" t="n"/>
      <c r="L661" s="87" t="n"/>
      <c r="M661" s="87" t="n"/>
      <c r="N661" s="87" t="n"/>
      <c r="O661" s="87" t="n"/>
      <c r="P661" s="87" t="n"/>
      <c r="Q661" s="87" t="n"/>
      <c r="R661" s="87" t="n"/>
      <c r="S661" s="87" t="n"/>
      <c r="T661" s="87" t="n"/>
      <c r="U661" s="87" t="n"/>
      <c r="V661" s="87" t="n"/>
      <c r="W661" s="87" t="n"/>
      <c r="X661" s="87" t="n"/>
      <c r="Y661" s="87" t="n"/>
      <c r="Z661" s="87" t="n"/>
    </row>
    <row r="662" ht="15.75" customHeight="1">
      <c r="A662" s="87" t="n"/>
      <c r="B662" s="87" t="n"/>
      <c r="C662" s="87" t="n"/>
      <c r="D662" s="87" t="n"/>
      <c r="E662" s="87" t="n"/>
      <c r="F662" s="87" t="n"/>
      <c r="G662" s="87" t="n"/>
      <c r="H662" s="87" t="n"/>
      <c r="I662" s="87" t="n"/>
      <c r="J662" s="87" t="n"/>
      <c r="K662" s="87" t="n"/>
      <c r="L662" s="87" t="n"/>
      <c r="M662" s="87" t="n"/>
      <c r="N662" s="87" t="n"/>
      <c r="O662" s="87" t="n"/>
      <c r="P662" s="87" t="n"/>
      <c r="Q662" s="87" t="n"/>
      <c r="R662" s="87" t="n"/>
      <c r="S662" s="87" t="n"/>
      <c r="T662" s="87" t="n"/>
      <c r="U662" s="87" t="n"/>
      <c r="V662" s="87" t="n"/>
      <c r="W662" s="87" t="n"/>
      <c r="X662" s="87" t="n"/>
      <c r="Y662" s="87" t="n"/>
      <c r="Z662" s="87" t="n"/>
    </row>
    <row r="663" ht="15.75" customHeight="1">
      <c r="A663" s="87" t="n"/>
      <c r="B663" s="87" t="n"/>
      <c r="C663" s="87" t="n"/>
      <c r="D663" s="87" t="n"/>
      <c r="E663" s="87" t="n"/>
      <c r="F663" s="87" t="n"/>
      <c r="G663" s="87" t="n"/>
      <c r="H663" s="87" t="n"/>
      <c r="I663" s="87" t="n"/>
      <c r="J663" s="87" t="n"/>
      <c r="K663" s="87" t="n"/>
      <c r="L663" s="87" t="n"/>
      <c r="M663" s="87" t="n"/>
      <c r="N663" s="87" t="n"/>
      <c r="O663" s="87" t="n"/>
      <c r="P663" s="87" t="n"/>
      <c r="Q663" s="87" t="n"/>
      <c r="R663" s="87" t="n"/>
      <c r="S663" s="87" t="n"/>
      <c r="T663" s="87" t="n"/>
      <c r="U663" s="87" t="n"/>
      <c r="V663" s="87" t="n"/>
      <c r="W663" s="87" t="n"/>
      <c r="X663" s="87" t="n"/>
      <c r="Y663" s="87" t="n"/>
      <c r="Z663" s="87" t="n"/>
    </row>
    <row r="664" ht="15.75" customHeight="1">
      <c r="A664" s="87" t="n"/>
      <c r="B664" s="87" t="n"/>
      <c r="C664" s="87" t="n"/>
      <c r="D664" s="87" t="n"/>
      <c r="E664" s="87" t="n"/>
      <c r="F664" s="87" t="n"/>
      <c r="G664" s="87" t="n"/>
      <c r="H664" s="87" t="n"/>
      <c r="I664" s="87" t="n"/>
      <c r="J664" s="87" t="n"/>
      <c r="K664" s="87" t="n"/>
      <c r="L664" s="87" t="n"/>
      <c r="M664" s="87" t="n"/>
      <c r="N664" s="87" t="n"/>
      <c r="O664" s="87" t="n"/>
      <c r="P664" s="87" t="n"/>
      <c r="Q664" s="87" t="n"/>
      <c r="R664" s="87" t="n"/>
      <c r="S664" s="87" t="n"/>
      <c r="T664" s="87" t="n"/>
      <c r="U664" s="87" t="n"/>
      <c r="V664" s="87" t="n"/>
      <c r="W664" s="87" t="n"/>
      <c r="X664" s="87" t="n"/>
      <c r="Y664" s="87" t="n"/>
      <c r="Z664" s="87" t="n"/>
    </row>
    <row r="665" ht="15.75" customHeight="1">
      <c r="A665" s="87" t="n"/>
      <c r="B665" s="87" t="n"/>
      <c r="C665" s="87" t="n"/>
      <c r="D665" s="87" t="n"/>
      <c r="E665" s="87" t="n"/>
      <c r="F665" s="87" t="n"/>
      <c r="G665" s="87" t="n"/>
      <c r="H665" s="87" t="n"/>
      <c r="I665" s="87" t="n"/>
      <c r="J665" s="87" t="n"/>
      <c r="K665" s="87" t="n"/>
      <c r="L665" s="87" t="n"/>
      <c r="M665" s="87" t="n"/>
      <c r="N665" s="87" t="n"/>
      <c r="O665" s="87" t="n"/>
      <c r="P665" s="87" t="n"/>
      <c r="Q665" s="87" t="n"/>
      <c r="R665" s="87" t="n"/>
      <c r="S665" s="87" t="n"/>
      <c r="T665" s="87" t="n"/>
      <c r="U665" s="87" t="n"/>
      <c r="V665" s="87" t="n"/>
      <c r="W665" s="87" t="n"/>
      <c r="X665" s="87" t="n"/>
      <c r="Y665" s="87" t="n"/>
      <c r="Z665" s="87" t="n"/>
    </row>
    <row r="666" ht="15.75" customHeight="1">
      <c r="A666" s="87" t="n"/>
      <c r="B666" s="87" t="n"/>
      <c r="C666" s="87" t="n"/>
      <c r="D666" s="87" t="n"/>
      <c r="E666" s="87" t="n"/>
      <c r="F666" s="87" t="n"/>
      <c r="G666" s="87" t="n"/>
      <c r="H666" s="87" t="n"/>
      <c r="I666" s="87" t="n"/>
      <c r="J666" s="87" t="n"/>
      <c r="K666" s="87" t="n"/>
      <c r="L666" s="87" t="n"/>
      <c r="M666" s="87" t="n"/>
      <c r="N666" s="87" t="n"/>
      <c r="O666" s="87" t="n"/>
      <c r="P666" s="87" t="n"/>
      <c r="Q666" s="87" t="n"/>
      <c r="R666" s="87" t="n"/>
      <c r="S666" s="87" t="n"/>
      <c r="T666" s="87" t="n"/>
      <c r="U666" s="87" t="n"/>
      <c r="V666" s="87" t="n"/>
      <c r="W666" s="87" t="n"/>
      <c r="X666" s="87" t="n"/>
      <c r="Y666" s="87" t="n"/>
      <c r="Z666" s="87" t="n"/>
    </row>
    <row r="667" ht="15.75" customHeight="1">
      <c r="A667" s="87" t="n"/>
      <c r="B667" s="87" t="n"/>
      <c r="C667" s="87" t="n"/>
      <c r="D667" s="87" t="n"/>
      <c r="E667" s="87" t="n"/>
      <c r="F667" s="87" t="n"/>
      <c r="G667" s="87" t="n"/>
      <c r="H667" s="87" t="n"/>
      <c r="I667" s="87" t="n"/>
      <c r="J667" s="87" t="n"/>
      <c r="K667" s="87" t="n"/>
      <c r="L667" s="87" t="n"/>
      <c r="M667" s="87" t="n"/>
      <c r="N667" s="87" t="n"/>
      <c r="O667" s="87" t="n"/>
      <c r="P667" s="87" t="n"/>
      <c r="Q667" s="87" t="n"/>
      <c r="R667" s="87" t="n"/>
      <c r="S667" s="87" t="n"/>
      <c r="T667" s="87" t="n"/>
      <c r="U667" s="87" t="n"/>
      <c r="V667" s="87" t="n"/>
      <c r="W667" s="87" t="n"/>
      <c r="X667" s="87" t="n"/>
      <c r="Y667" s="87" t="n"/>
      <c r="Z667" s="87" t="n"/>
    </row>
    <row r="668" ht="15.75" customHeight="1">
      <c r="A668" s="87" t="n"/>
      <c r="B668" s="87" t="n"/>
      <c r="C668" s="87" t="n"/>
      <c r="D668" s="87" t="n"/>
      <c r="E668" s="87" t="n"/>
      <c r="F668" s="87" t="n"/>
      <c r="G668" s="87" t="n"/>
      <c r="H668" s="87" t="n"/>
      <c r="I668" s="87" t="n"/>
      <c r="J668" s="87" t="n"/>
      <c r="K668" s="87" t="n"/>
      <c r="L668" s="87" t="n"/>
      <c r="M668" s="87" t="n"/>
      <c r="N668" s="87" t="n"/>
      <c r="O668" s="87" t="n"/>
      <c r="P668" s="87" t="n"/>
      <c r="Q668" s="87" t="n"/>
      <c r="R668" s="87" t="n"/>
      <c r="S668" s="87" t="n"/>
      <c r="T668" s="87" t="n"/>
      <c r="U668" s="87" t="n"/>
      <c r="V668" s="87" t="n"/>
      <c r="W668" s="87" t="n"/>
      <c r="X668" s="87" t="n"/>
      <c r="Y668" s="87" t="n"/>
      <c r="Z668" s="87" t="n"/>
    </row>
    <row r="669" ht="15.75" customHeight="1">
      <c r="A669" s="87" t="n"/>
      <c r="B669" s="87" t="n"/>
      <c r="C669" s="87" t="n"/>
      <c r="D669" s="87" t="n"/>
      <c r="E669" s="87" t="n"/>
      <c r="F669" s="87" t="n"/>
      <c r="G669" s="87" t="n"/>
      <c r="H669" s="87" t="n"/>
      <c r="I669" s="87" t="n"/>
      <c r="J669" s="87" t="n"/>
      <c r="K669" s="87" t="n"/>
      <c r="L669" s="87" t="n"/>
      <c r="M669" s="87" t="n"/>
      <c r="N669" s="87" t="n"/>
      <c r="O669" s="87" t="n"/>
      <c r="P669" s="87" t="n"/>
      <c r="Q669" s="87" t="n"/>
      <c r="R669" s="87" t="n"/>
      <c r="S669" s="87" t="n"/>
      <c r="T669" s="87" t="n"/>
      <c r="U669" s="87" t="n"/>
      <c r="V669" s="87" t="n"/>
      <c r="W669" s="87" t="n"/>
      <c r="X669" s="87" t="n"/>
      <c r="Y669" s="87" t="n"/>
      <c r="Z669" s="87" t="n"/>
    </row>
    <row r="670" ht="15.75" customHeight="1">
      <c r="A670" s="87" t="n"/>
      <c r="B670" s="87" t="n"/>
      <c r="C670" s="87" t="n"/>
      <c r="D670" s="87" t="n"/>
      <c r="E670" s="87" t="n"/>
      <c r="F670" s="87" t="n"/>
      <c r="G670" s="87" t="n"/>
      <c r="H670" s="87" t="n"/>
      <c r="I670" s="87" t="n"/>
      <c r="J670" s="87" t="n"/>
      <c r="K670" s="87" t="n"/>
      <c r="L670" s="87" t="n"/>
      <c r="M670" s="87" t="n"/>
      <c r="N670" s="87" t="n"/>
      <c r="O670" s="87" t="n"/>
      <c r="P670" s="87" t="n"/>
      <c r="Q670" s="87" t="n"/>
      <c r="R670" s="87" t="n"/>
      <c r="S670" s="87" t="n"/>
      <c r="T670" s="87" t="n"/>
      <c r="U670" s="87" t="n"/>
      <c r="V670" s="87" t="n"/>
      <c r="W670" s="87" t="n"/>
      <c r="X670" s="87" t="n"/>
      <c r="Y670" s="87" t="n"/>
      <c r="Z670" s="87" t="n"/>
    </row>
    <row r="671" ht="15.75" customHeight="1">
      <c r="A671" s="87" t="n"/>
      <c r="B671" s="87" t="n"/>
      <c r="C671" s="87" t="n"/>
      <c r="D671" s="87" t="n"/>
      <c r="E671" s="87" t="n"/>
      <c r="F671" s="87" t="n"/>
      <c r="G671" s="87" t="n"/>
      <c r="H671" s="87" t="n"/>
      <c r="I671" s="87" t="n"/>
      <c r="J671" s="87" t="n"/>
      <c r="K671" s="87" t="n"/>
      <c r="L671" s="87" t="n"/>
      <c r="M671" s="87" t="n"/>
      <c r="N671" s="87" t="n"/>
      <c r="O671" s="87" t="n"/>
      <c r="P671" s="87" t="n"/>
      <c r="Q671" s="87" t="n"/>
      <c r="R671" s="87" t="n"/>
      <c r="S671" s="87" t="n"/>
      <c r="T671" s="87" t="n"/>
      <c r="U671" s="87" t="n"/>
      <c r="V671" s="87" t="n"/>
      <c r="W671" s="87" t="n"/>
      <c r="X671" s="87" t="n"/>
      <c r="Y671" s="87" t="n"/>
      <c r="Z671" s="87" t="n"/>
    </row>
    <row r="672" ht="15.75" customHeight="1">
      <c r="A672" s="87" t="n"/>
      <c r="B672" s="87" t="n"/>
      <c r="C672" s="87" t="n"/>
      <c r="D672" s="87" t="n"/>
      <c r="E672" s="87" t="n"/>
      <c r="F672" s="87" t="n"/>
      <c r="G672" s="87" t="n"/>
      <c r="H672" s="87" t="n"/>
      <c r="I672" s="87" t="n"/>
      <c r="J672" s="87" t="n"/>
      <c r="K672" s="87" t="n"/>
      <c r="L672" s="87" t="n"/>
      <c r="M672" s="87" t="n"/>
      <c r="N672" s="87" t="n"/>
      <c r="O672" s="87" t="n"/>
      <c r="P672" s="87" t="n"/>
      <c r="Q672" s="87" t="n"/>
      <c r="R672" s="87" t="n"/>
      <c r="S672" s="87" t="n"/>
      <c r="T672" s="87" t="n"/>
      <c r="U672" s="87" t="n"/>
      <c r="V672" s="87" t="n"/>
      <c r="W672" s="87" t="n"/>
      <c r="X672" s="87" t="n"/>
      <c r="Y672" s="87" t="n"/>
      <c r="Z672" s="87" t="n"/>
    </row>
    <row r="673" ht="15.75" customHeight="1">
      <c r="A673" s="87" t="n"/>
      <c r="B673" s="87" t="n"/>
      <c r="C673" s="87" t="n"/>
      <c r="D673" s="87" t="n"/>
      <c r="E673" s="87" t="n"/>
      <c r="F673" s="87" t="n"/>
      <c r="G673" s="87" t="n"/>
      <c r="H673" s="87" t="n"/>
      <c r="I673" s="87" t="n"/>
      <c r="J673" s="87" t="n"/>
      <c r="K673" s="87" t="n"/>
      <c r="L673" s="87" t="n"/>
      <c r="M673" s="87" t="n"/>
      <c r="N673" s="87" t="n"/>
      <c r="O673" s="87" t="n"/>
      <c r="P673" s="87" t="n"/>
      <c r="Q673" s="87" t="n"/>
      <c r="R673" s="87" t="n"/>
      <c r="S673" s="87" t="n"/>
      <c r="T673" s="87" t="n"/>
      <c r="U673" s="87" t="n"/>
      <c r="V673" s="87" t="n"/>
      <c r="W673" s="87" t="n"/>
      <c r="X673" s="87" t="n"/>
      <c r="Y673" s="87" t="n"/>
      <c r="Z673" s="87" t="n"/>
    </row>
    <row r="674" ht="15.75" customHeight="1">
      <c r="A674" s="87" t="n"/>
      <c r="B674" s="87" t="n"/>
      <c r="C674" s="87" t="n"/>
      <c r="D674" s="87" t="n"/>
      <c r="E674" s="87" t="n"/>
      <c r="F674" s="87" t="n"/>
      <c r="G674" s="87" t="n"/>
      <c r="H674" s="87" t="n"/>
      <c r="I674" s="87" t="n"/>
      <c r="J674" s="87" t="n"/>
      <c r="K674" s="87" t="n"/>
      <c r="L674" s="87" t="n"/>
      <c r="M674" s="87" t="n"/>
      <c r="N674" s="87" t="n"/>
      <c r="O674" s="87" t="n"/>
      <c r="P674" s="87" t="n"/>
      <c r="Q674" s="87" t="n"/>
      <c r="R674" s="87" t="n"/>
      <c r="S674" s="87" t="n"/>
      <c r="T674" s="87" t="n"/>
      <c r="U674" s="87" t="n"/>
      <c r="V674" s="87" t="n"/>
      <c r="W674" s="87" t="n"/>
      <c r="X674" s="87" t="n"/>
      <c r="Y674" s="87" t="n"/>
      <c r="Z674" s="87" t="n"/>
    </row>
    <row r="675" ht="15.75" customHeight="1">
      <c r="A675" s="87" t="n"/>
      <c r="B675" s="87" t="n"/>
      <c r="C675" s="87" t="n"/>
      <c r="D675" s="87" t="n"/>
      <c r="E675" s="87" t="n"/>
      <c r="F675" s="87" t="n"/>
      <c r="G675" s="87" t="n"/>
      <c r="H675" s="87" t="n"/>
      <c r="I675" s="87" t="n"/>
      <c r="J675" s="87" t="n"/>
      <c r="K675" s="87" t="n"/>
      <c r="L675" s="87" t="n"/>
      <c r="M675" s="87" t="n"/>
      <c r="N675" s="87" t="n"/>
      <c r="O675" s="87" t="n"/>
      <c r="P675" s="87" t="n"/>
      <c r="Q675" s="87" t="n"/>
      <c r="R675" s="87" t="n"/>
      <c r="S675" s="87" t="n"/>
      <c r="T675" s="87" t="n"/>
      <c r="U675" s="87" t="n"/>
      <c r="V675" s="87" t="n"/>
      <c r="W675" s="87" t="n"/>
      <c r="X675" s="87" t="n"/>
      <c r="Y675" s="87" t="n"/>
      <c r="Z675" s="87" t="n"/>
    </row>
    <row r="676" ht="15.75" customHeight="1">
      <c r="A676" s="87" t="n"/>
      <c r="B676" s="87" t="n"/>
      <c r="C676" s="87" t="n"/>
      <c r="D676" s="87" t="n"/>
      <c r="E676" s="87" t="n"/>
      <c r="F676" s="87" t="n"/>
      <c r="G676" s="87" t="n"/>
      <c r="H676" s="87" t="n"/>
      <c r="I676" s="87" t="n"/>
      <c r="J676" s="87" t="n"/>
      <c r="K676" s="87" t="n"/>
      <c r="L676" s="87" t="n"/>
      <c r="M676" s="87" t="n"/>
      <c r="N676" s="87" t="n"/>
      <c r="O676" s="87" t="n"/>
      <c r="P676" s="87" t="n"/>
      <c r="Q676" s="87" t="n"/>
      <c r="R676" s="87" t="n"/>
      <c r="S676" s="87" t="n"/>
      <c r="T676" s="87" t="n"/>
      <c r="U676" s="87" t="n"/>
      <c r="V676" s="87" t="n"/>
      <c r="W676" s="87" t="n"/>
      <c r="X676" s="87" t="n"/>
      <c r="Y676" s="87" t="n"/>
      <c r="Z676" s="87" t="n"/>
    </row>
    <row r="677" ht="15.75" customHeight="1">
      <c r="A677" s="87" t="n"/>
      <c r="B677" s="87" t="n"/>
      <c r="C677" s="87" t="n"/>
      <c r="D677" s="87" t="n"/>
      <c r="E677" s="87" t="n"/>
      <c r="F677" s="87" t="n"/>
      <c r="G677" s="87" t="n"/>
      <c r="H677" s="87" t="n"/>
      <c r="I677" s="87" t="n"/>
      <c r="J677" s="87" t="n"/>
      <c r="K677" s="87" t="n"/>
      <c r="L677" s="87" t="n"/>
      <c r="M677" s="87" t="n"/>
      <c r="N677" s="87" t="n"/>
      <c r="O677" s="87" t="n"/>
      <c r="P677" s="87" t="n"/>
      <c r="Q677" s="87" t="n"/>
      <c r="R677" s="87" t="n"/>
      <c r="S677" s="87" t="n"/>
      <c r="T677" s="87" t="n"/>
      <c r="U677" s="87" t="n"/>
      <c r="V677" s="87" t="n"/>
      <c r="W677" s="87" t="n"/>
      <c r="X677" s="87" t="n"/>
      <c r="Y677" s="87" t="n"/>
      <c r="Z677" s="87" t="n"/>
    </row>
    <row r="678" ht="15.75" customHeight="1">
      <c r="A678" s="87" t="n"/>
      <c r="B678" s="87" t="n"/>
      <c r="C678" s="87" t="n"/>
      <c r="D678" s="87" t="n"/>
      <c r="E678" s="87" t="n"/>
      <c r="F678" s="87" t="n"/>
      <c r="G678" s="87" t="n"/>
      <c r="H678" s="87" t="n"/>
      <c r="I678" s="87" t="n"/>
      <c r="J678" s="87" t="n"/>
      <c r="K678" s="87" t="n"/>
      <c r="L678" s="87" t="n"/>
      <c r="M678" s="87" t="n"/>
      <c r="N678" s="87" t="n"/>
      <c r="O678" s="87" t="n"/>
      <c r="P678" s="87" t="n"/>
      <c r="Q678" s="87" t="n"/>
      <c r="R678" s="87" t="n"/>
      <c r="S678" s="87" t="n"/>
      <c r="T678" s="87" t="n"/>
      <c r="U678" s="87" t="n"/>
      <c r="V678" s="87" t="n"/>
      <c r="W678" s="87" t="n"/>
      <c r="X678" s="87" t="n"/>
      <c r="Y678" s="87" t="n"/>
      <c r="Z678" s="87" t="n"/>
    </row>
    <row r="679" ht="15.75" customHeight="1">
      <c r="A679" s="87" t="n"/>
      <c r="B679" s="87" t="n"/>
      <c r="C679" s="87" t="n"/>
      <c r="D679" s="87" t="n"/>
      <c r="E679" s="87" t="n"/>
      <c r="F679" s="87" t="n"/>
      <c r="G679" s="87" t="n"/>
      <c r="H679" s="87" t="n"/>
      <c r="I679" s="87" t="n"/>
      <c r="J679" s="87" t="n"/>
      <c r="K679" s="87" t="n"/>
      <c r="L679" s="87" t="n"/>
      <c r="M679" s="87" t="n"/>
      <c r="N679" s="87" t="n"/>
      <c r="O679" s="87" t="n"/>
      <c r="P679" s="87" t="n"/>
      <c r="Q679" s="87" t="n"/>
      <c r="R679" s="87" t="n"/>
      <c r="S679" s="87" t="n"/>
      <c r="T679" s="87" t="n"/>
      <c r="U679" s="87" t="n"/>
      <c r="V679" s="87" t="n"/>
      <c r="W679" s="87" t="n"/>
      <c r="X679" s="87" t="n"/>
      <c r="Y679" s="87" t="n"/>
      <c r="Z679" s="87" t="n"/>
    </row>
    <row r="680" ht="15.75" customHeight="1">
      <c r="A680" s="87" t="n"/>
      <c r="B680" s="87" t="n"/>
      <c r="C680" s="87" t="n"/>
      <c r="D680" s="87" t="n"/>
      <c r="E680" s="87" t="n"/>
      <c r="F680" s="87" t="n"/>
      <c r="G680" s="87" t="n"/>
      <c r="H680" s="87" t="n"/>
      <c r="I680" s="87" t="n"/>
      <c r="J680" s="87" t="n"/>
      <c r="K680" s="87" t="n"/>
      <c r="L680" s="87" t="n"/>
      <c r="M680" s="87" t="n"/>
      <c r="N680" s="87" t="n"/>
      <c r="O680" s="87" t="n"/>
      <c r="P680" s="87" t="n"/>
      <c r="Q680" s="87" t="n"/>
      <c r="R680" s="87" t="n"/>
      <c r="S680" s="87" t="n"/>
      <c r="T680" s="87" t="n"/>
      <c r="U680" s="87" t="n"/>
      <c r="V680" s="87" t="n"/>
      <c r="W680" s="87" t="n"/>
      <c r="X680" s="87" t="n"/>
      <c r="Y680" s="87" t="n"/>
      <c r="Z680" s="87" t="n"/>
    </row>
    <row r="681" ht="15.75" customHeight="1">
      <c r="A681" s="87" t="n"/>
      <c r="B681" s="87" t="n"/>
      <c r="C681" s="87" t="n"/>
      <c r="D681" s="87" t="n"/>
      <c r="E681" s="87" t="n"/>
      <c r="F681" s="87" t="n"/>
      <c r="G681" s="87" t="n"/>
      <c r="H681" s="87" t="n"/>
      <c r="I681" s="87" t="n"/>
      <c r="J681" s="87" t="n"/>
      <c r="K681" s="87" t="n"/>
      <c r="L681" s="87" t="n"/>
      <c r="M681" s="87" t="n"/>
      <c r="N681" s="87" t="n"/>
      <c r="O681" s="87" t="n"/>
      <c r="P681" s="87" t="n"/>
      <c r="Q681" s="87" t="n"/>
      <c r="R681" s="87" t="n"/>
      <c r="S681" s="87" t="n"/>
      <c r="T681" s="87" t="n"/>
      <c r="U681" s="87" t="n"/>
      <c r="V681" s="87" t="n"/>
      <c r="W681" s="87" t="n"/>
      <c r="X681" s="87" t="n"/>
      <c r="Y681" s="87" t="n"/>
      <c r="Z681" s="87" t="n"/>
    </row>
    <row r="682" ht="15.75" customHeight="1">
      <c r="A682" s="87" t="n"/>
      <c r="B682" s="87" t="n"/>
      <c r="C682" s="87" t="n"/>
      <c r="D682" s="87" t="n"/>
      <c r="E682" s="87" t="n"/>
      <c r="F682" s="87" t="n"/>
      <c r="G682" s="87" t="n"/>
      <c r="H682" s="87" t="n"/>
      <c r="I682" s="87" t="n"/>
      <c r="J682" s="87" t="n"/>
      <c r="K682" s="87" t="n"/>
      <c r="L682" s="87" t="n"/>
      <c r="M682" s="87" t="n"/>
      <c r="N682" s="87" t="n"/>
      <c r="O682" s="87" t="n"/>
      <c r="P682" s="87" t="n"/>
      <c r="Q682" s="87" t="n"/>
      <c r="R682" s="87" t="n"/>
      <c r="S682" s="87" t="n"/>
      <c r="T682" s="87" t="n"/>
      <c r="U682" s="87" t="n"/>
      <c r="V682" s="87" t="n"/>
      <c r="W682" s="87" t="n"/>
      <c r="X682" s="87" t="n"/>
      <c r="Y682" s="87" t="n"/>
      <c r="Z682" s="87" t="n"/>
    </row>
    <row r="683" ht="15.75" customHeight="1">
      <c r="A683" s="87" t="n"/>
      <c r="B683" s="87" t="n"/>
      <c r="C683" s="87" t="n"/>
      <c r="D683" s="87" t="n"/>
      <c r="E683" s="87" t="n"/>
      <c r="F683" s="87" t="n"/>
      <c r="G683" s="87" t="n"/>
      <c r="H683" s="87" t="n"/>
      <c r="I683" s="87" t="n"/>
      <c r="J683" s="87" t="n"/>
      <c r="K683" s="87" t="n"/>
      <c r="L683" s="87" t="n"/>
      <c r="M683" s="87" t="n"/>
      <c r="N683" s="87" t="n"/>
      <c r="O683" s="87" t="n"/>
      <c r="P683" s="87" t="n"/>
      <c r="Q683" s="87" t="n"/>
      <c r="R683" s="87" t="n"/>
      <c r="S683" s="87" t="n"/>
      <c r="T683" s="87" t="n"/>
      <c r="U683" s="87" t="n"/>
      <c r="V683" s="87" t="n"/>
      <c r="W683" s="87" t="n"/>
      <c r="X683" s="87" t="n"/>
      <c r="Y683" s="87" t="n"/>
      <c r="Z683" s="87" t="n"/>
    </row>
    <row r="684" ht="15.75" customHeight="1">
      <c r="A684" s="87" t="n"/>
      <c r="B684" s="87" t="n"/>
      <c r="C684" s="87" t="n"/>
      <c r="D684" s="87" t="n"/>
      <c r="E684" s="87" t="n"/>
      <c r="F684" s="87" t="n"/>
      <c r="G684" s="87" t="n"/>
      <c r="H684" s="87" t="n"/>
      <c r="I684" s="87" t="n"/>
      <c r="J684" s="87" t="n"/>
      <c r="K684" s="87" t="n"/>
      <c r="L684" s="87" t="n"/>
      <c r="M684" s="87" t="n"/>
      <c r="N684" s="87" t="n"/>
      <c r="O684" s="87" t="n"/>
      <c r="P684" s="87" t="n"/>
      <c r="Q684" s="87" t="n"/>
      <c r="R684" s="87" t="n"/>
      <c r="S684" s="87" t="n"/>
      <c r="T684" s="87" t="n"/>
      <c r="U684" s="87" t="n"/>
      <c r="V684" s="87" t="n"/>
      <c r="W684" s="87" t="n"/>
      <c r="X684" s="87" t="n"/>
      <c r="Y684" s="87" t="n"/>
      <c r="Z684" s="87" t="n"/>
    </row>
    <row r="685" ht="15.75" customHeight="1">
      <c r="A685" s="87" t="n"/>
      <c r="B685" s="87" t="n"/>
      <c r="C685" s="87" t="n"/>
      <c r="D685" s="87" t="n"/>
      <c r="E685" s="87" t="n"/>
      <c r="F685" s="87" t="n"/>
      <c r="G685" s="87" t="n"/>
      <c r="H685" s="87" t="n"/>
      <c r="I685" s="87" t="n"/>
      <c r="J685" s="87" t="n"/>
      <c r="K685" s="87" t="n"/>
      <c r="L685" s="87" t="n"/>
      <c r="M685" s="87" t="n"/>
      <c r="N685" s="87" t="n"/>
      <c r="O685" s="87" t="n"/>
      <c r="P685" s="87" t="n"/>
      <c r="Q685" s="87" t="n"/>
      <c r="R685" s="87" t="n"/>
      <c r="S685" s="87" t="n"/>
      <c r="T685" s="87" t="n"/>
      <c r="U685" s="87" t="n"/>
      <c r="V685" s="87" t="n"/>
      <c r="W685" s="87" t="n"/>
      <c r="X685" s="87" t="n"/>
      <c r="Y685" s="87" t="n"/>
      <c r="Z685" s="87" t="n"/>
    </row>
    <row r="686" ht="15.75" customHeight="1">
      <c r="A686" s="87" t="n"/>
      <c r="B686" s="87" t="n"/>
      <c r="C686" s="87" t="n"/>
      <c r="D686" s="87" t="n"/>
      <c r="E686" s="87" t="n"/>
      <c r="F686" s="87" t="n"/>
      <c r="G686" s="87" t="n"/>
      <c r="H686" s="87" t="n"/>
      <c r="I686" s="87" t="n"/>
      <c r="J686" s="87" t="n"/>
      <c r="K686" s="87" t="n"/>
      <c r="L686" s="87" t="n"/>
      <c r="M686" s="87" t="n"/>
      <c r="N686" s="87" t="n"/>
      <c r="O686" s="87" t="n"/>
      <c r="P686" s="87" t="n"/>
      <c r="Q686" s="87" t="n"/>
      <c r="R686" s="87" t="n"/>
      <c r="S686" s="87" t="n"/>
      <c r="T686" s="87" t="n"/>
      <c r="U686" s="87" t="n"/>
      <c r="V686" s="87" t="n"/>
      <c r="W686" s="87" t="n"/>
      <c r="X686" s="87" t="n"/>
      <c r="Y686" s="87" t="n"/>
      <c r="Z686" s="87" t="n"/>
    </row>
    <row r="687" ht="15.75" customHeight="1">
      <c r="A687" s="87" t="n"/>
      <c r="B687" s="87" t="n"/>
      <c r="C687" s="87" t="n"/>
      <c r="D687" s="87" t="n"/>
      <c r="E687" s="87" t="n"/>
      <c r="F687" s="87" t="n"/>
      <c r="G687" s="87" t="n"/>
      <c r="H687" s="87" t="n"/>
      <c r="I687" s="87" t="n"/>
      <c r="J687" s="87" t="n"/>
      <c r="K687" s="87" t="n"/>
      <c r="L687" s="87" t="n"/>
      <c r="M687" s="87" t="n"/>
      <c r="N687" s="87" t="n"/>
      <c r="O687" s="87" t="n"/>
      <c r="P687" s="87" t="n"/>
      <c r="Q687" s="87" t="n"/>
      <c r="R687" s="87" t="n"/>
      <c r="S687" s="87" t="n"/>
      <c r="T687" s="87" t="n"/>
      <c r="U687" s="87" t="n"/>
      <c r="V687" s="87" t="n"/>
      <c r="W687" s="87" t="n"/>
      <c r="X687" s="87" t="n"/>
      <c r="Y687" s="87" t="n"/>
      <c r="Z687" s="87" t="n"/>
    </row>
    <row r="688" ht="15.75" customHeight="1">
      <c r="A688" s="87" t="n"/>
      <c r="B688" s="87" t="n"/>
      <c r="C688" s="87" t="n"/>
      <c r="D688" s="87" t="n"/>
      <c r="E688" s="87" t="n"/>
      <c r="F688" s="87" t="n"/>
      <c r="G688" s="87" t="n"/>
      <c r="H688" s="87" t="n"/>
      <c r="I688" s="87" t="n"/>
      <c r="J688" s="87" t="n"/>
      <c r="K688" s="87" t="n"/>
      <c r="L688" s="87" t="n"/>
      <c r="M688" s="87" t="n"/>
      <c r="N688" s="87" t="n"/>
      <c r="O688" s="87" t="n"/>
      <c r="P688" s="87" t="n"/>
      <c r="Q688" s="87" t="n"/>
      <c r="R688" s="87" t="n"/>
      <c r="S688" s="87" t="n"/>
      <c r="T688" s="87" t="n"/>
      <c r="U688" s="87" t="n"/>
      <c r="V688" s="87" t="n"/>
      <c r="W688" s="87" t="n"/>
      <c r="X688" s="87" t="n"/>
      <c r="Y688" s="87" t="n"/>
      <c r="Z688" s="87" t="n"/>
    </row>
    <row r="689" ht="15.75" customHeight="1">
      <c r="A689" s="87" t="n"/>
      <c r="B689" s="87" t="n"/>
      <c r="C689" s="87" t="n"/>
      <c r="D689" s="87" t="n"/>
      <c r="E689" s="87" t="n"/>
      <c r="F689" s="87" t="n"/>
      <c r="G689" s="87" t="n"/>
      <c r="H689" s="87" t="n"/>
      <c r="I689" s="87" t="n"/>
      <c r="J689" s="87" t="n"/>
      <c r="K689" s="87" t="n"/>
      <c r="L689" s="87" t="n"/>
      <c r="M689" s="87" t="n"/>
      <c r="N689" s="87" t="n"/>
      <c r="O689" s="87" t="n"/>
      <c r="P689" s="87" t="n"/>
      <c r="Q689" s="87" t="n"/>
      <c r="R689" s="87" t="n"/>
      <c r="S689" s="87" t="n"/>
      <c r="T689" s="87" t="n"/>
      <c r="U689" s="87" t="n"/>
      <c r="V689" s="87" t="n"/>
      <c r="W689" s="87" t="n"/>
      <c r="X689" s="87" t="n"/>
      <c r="Y689" s="87" t="n"/>
      <c r="Z689" s="87" t="n"/>
    </row>
    <row r="690" ht="15.75" customHeight="1">
      <c r="A690" s="87" t="n"/>
      <c r="B690" s="87" t="n"/>
      <c r="C690" s="87" t="n"/>
      <c r="D690" s="87" t="n"/>
      <c r="E690" s="87" t="n"/>
      <c r="F690" s="87" t="n"/>
      <c r="G690" s="87" t="n"/>
      <c r="H690" s="87" t="n"/>
      <c r="I690" s="87" t="n"/>
      <c r="J690" s="87" t="n"/>
      <c r="K690" s="87" t="n"/>
      <c r="L690" s="87" t="n"/>
      <c r="M690" s="87" t="n"/>
      <c r="N690" s="87" t="n"/>
      <c r="O690" s="87" t="n"/>
      <c r="P690" s="87" t="n"/>
      <c r="Q690" s="87" t="n"/>
      <c r="R690" s="87" t="n"/>
      <c r="S690" s="87" t="n"/>
      <c r="T690" s="87" t="n"/>
      <c r="U690" s="87" t="n"/>
      <c r="V690" s="87" t="n"/>
      <c r="W690" s="87" t="n"/>
      <c r="X690" s="87" t="n"/>
      <c r="Y690" s="87" t="n"/>
      <c r="Z690" s="87" t="n"/>
    </row>
    <row r="691" ht="15.75" customHeight="1">
      <c r="A691" s="87" t="n"/>
      <c r="B691" s="87" t="n"/>
      <c r="C691" s="87" t="n"/>
      <c r="D691" s="87" t="n"/>
      <c r="E691" s="87" t="n"/>
      <c r="F691" s="87" t="n"/>
      <c r="G691" s="87" t="n"/>
      <c r="H691" s="87" t="n"/>
      <c r="I691" s="87" t="n"/>
      <c r="J691" s="87" t="n"/>
      <c r="K691" s="87" t="n"/>
      <c r="L691" s="87" t="n"/>
      <c r="M691" s="87" t="n"/>
      <c r="N691" s="87" t="n"/>
      <c r="O691" s="87" t="n"/>
      <c r="P691" s="87" t="n"/>
      <c r="Q691" s="87" t="n"/>
      <c r="R691" s="87" t="n"/>
      <c r="S691" s="87" t="n"/>
      <c r="T691" s="87" t="n"/>
      <c r="U691" s="87" t="n"/>
      <c r="V691" s="87" t="n"/>
      <c r="W691" s="87" t="n"/>
      <c r="X691" s="87" t="n"/>
      <c r="Y691" s="87" t="n"/>
      <c r="Z691" s="87" t="n"/>
    </row>
    <row r="692" ht="15.75" customHeight="1">
      <c r="A692" s="87" t="n"/>
      <c r="B692" s="87" t="n"/>
      <c r="C692" s="87" t="n"/>
      <c r="D692" s="87" t="n"/>
      <c r="E692" s="87" t="n"/>
      <c r="F692" s="87" t="n"/>
      <c r="G692" s="87" t="n"/>
      <c r="H692" s="87" t="n"/>
      <c r="I692" s="87" t="n"/>
      <c r="J692" s="87" t="n"/>
      <c r="K692" s="87" t="n"/>
      <c r="L692" s="87" t="n"/>
      <c r="M692" s="87" t="n"/>
      <c r="N692" s="87" t="n"/>
      <c r="O692" s="87" t="n"/>
      <c r="P692" s="87" t="n"/>
      <c r="Q692" s="87" t="n"/>
      <c r="R692" s="87" t="n"/>
      <c r="S692" s="87" t="n"/>
      <c r="T692" s="87" t="n"/>
      <c r="U692" s="87" t="n"/>
      <c r="V692" s="87" t="n"/>
      <c r="W692" s="87" t="n"/>
      <c r="X692" s="87" t="n"/>
      <c r="Y692" s="87" t="n"/>
      <c r="Z692" s="87" t="n"/>
    </row>
    <row r="693" ht="15.75" customHeight="1">
      <c r="A693" s="87" t="n"/>
      <c r="B693" s="87" t="n"/>
      <c r="C693" s="87" t="n"/>
      <c r="D693" s="87" t="n"/>
      <c r="E693" s="87" t="n"/>
      <c r="F693" s="87" t="n"/>
      <c r="G693" s="87" t="n"/>
      <c r="H693" s="87" t="n"/>
      <c r="I693" s="87" t="n"/>
      <c r="J693" s="87" t="n"/>
      <c r="K693" s="87" t="n"/>
      <c r="L693" s="87" t="n"/>
      <c r="M693" s="87" t="n"/>
      <c r="N693" s="87" t="n"/>
      <c r="O693" s="87" t="n"/>
      <c r="P693" s="87" t="n"/>
      <c r="Q693" s="87" t="n"/>
      <c r="R693" s="87" t="n"/>
      <c r="S693" s="87" t="n"/>
      <c r="T693" s="87" t="n"/>
      <c r="U693" s="87" t="n"/>
      <c r="V693" s="87" t="n"/>
      <c r="W693" s="87" t="n"/>
      <c r="X693" s="87" t="n"/>
      <c r="Y693" s="87" t="n"/>
      <c r="Z693" s="87" t="n"/>
    </row>
    <row r="694" ht="15.75" customHeight="1">
      <c r="A694" s="87" t="n"/>
      <c r="B694" s="87" t="n"/>
      <c r="C694" s="87" t="n"/>
      <c r="D694" s="87" t="n"/>
      <c r="E694" s="87" t="n"/>
      <c r="F694" s="87" t="n"/>
      <c r="G694" s="87" t="n"/>
      <c r="H694" s="87" t="n"/>
      <c r="I694" s="87" t="n"/>
      <c r="J694" s="87" t="n"/>
      <c r="K694" s="87" t="n"/>
      <c r="L694" s="87" t="n"/>
      <c r="M694" s="87" t="n"/>
      <c r="N694" s="87" t="n"/>
      <c r="O694" s="87" t="n"/>
      <c r="P694" s="87" t="n"/>
      <c r="Q694" s="87" t="n"/>
      <c r="R694" s="87" t="n"/>
      <c r="S694" s="87" t="n"/>
      <c r="T694" s="87" t="n"/>
      <c r="U694" s="87" t="n"/>
      <c r="V694" s="87" t="n"/>
      <c r="W694" s="87" t="n"/>
      <c r="X694" s="87" t="n"/>
      <c r="Y694" s="87" t="n"/>
      <c r="Z694" s="87" t="n"/>
    </row>
    <row r="695" ht="15.75" customHeight="1">
      <c r="A695" s="87" t="n"/>
      <c r="B695" s="87" t="n"/>
      <c r="C695" s="87" t="n"/>
      <c r="D695" s="87" t="n"/>
      <c r="E695" s="87" t="n"/>
      <c r="F695" s="87" t="n"/>
      <c r="G695" s="87" t="n"/>
      <c r="H695" s="87" t="n"/>
      <c r="I695" s="87" t="n"/>
      <c r="J695" s="87" t="n"/>
      <c r="K695" s="87" t="n"/>
      <c r="L695" s="87" t="n"/>
      <c r="M695" s="87" t="n"/>
      <c r="N695" s="87" t="n"/>
      <c r="O695" s="87" t="n"/>
      <c r="P695" s="87" t="n"/>
      <c r="Q695" s="87" t="n"/>
      <c r="R695" s="87" t="n"/>
      <c r="S695" s="87" t="n"/>
      <c r="T695" s="87" t="n"/>
      <c r="U695" s="87" t="n"/>
      <c r="V695" s="87" t="n"/>
      <c r="W695" s="87" t="n"/>
      <c r="X695" s="87" t="n"/>
      <c r="Y695" s="87" t="n"/>
      <c r="Z695" s="87" t="n"/>
    </row>
    <row r="696" ht="15.75" customHeight="1">
      <c r="A696" s="87" t="n"/>
      <c r="B696" s="87" t="n"/>
      <c r="C696" s="87" t="n"/>
      <c r="D696" s="87" t="n"/>
      <c r="E696" s="87" t="n"/>
      <c r="F696" s="87" t="n"/>
      <c r="G696" s="87" t="n"/>
      <c r="H696" s="87" t="n"/>
      <c r="I696" s="87" t="n"/>
      <c r="J696" s="87" t="n"/>
      <c r="K696" s="87" t="n"/>
      <c r="L696" s="87" t="n"/>
      <c r="M696" s="87" t="n"/>
      <c r="N696" s="87" t="n"/>
      <c r="O696" s="87" t="n"/>
      <c r="P696" s="87" t="n"/>
      <c r="Q696" s="87" t="n"/>
      <c r="R696" s="87" t="n"/>
      <c r="S696" s="87" t="n"/>
      <c r="T696" s="87" t="n"/>
      <c r="U696" s="87" t="n"/>
      <c r="V696" s="87" t="n"/>
      <c r="W696" s="87" t="n"/>
      <c r="X696" s="87" t="n"/>
      <c r="Y696" s="87" t="n"/>
      <c r="Z696" s="87" t="n"/>
    </row>
    <row r="697" ht="15.75" customHeight="1">
      <c r="A697" s="87" t="n"/>
      <c r="B697" s="87" t="n"/>
      <c r="C697" s="87" t="n"/>
      <c r="D697" s="87" t="n"/>
      <c r="E697" s="87" t="n"/>
      <c r="F697" s="87" t="n"/>
      <c r="G697" s="87" t="n"/>
      <c r="H697" s="87" t="n"/>
      <c r="I697" s="87" t="n"/>
      <c r="J697" s="87" t="n"/>
      <c r="K697" s="87" t="n"/>
      <c r="L697" s="87" t="n"/>
      <c r="M697" s="87" t="n"/>
      <c r="N697" s="87" t="n"/>
      <c r="O697" s="87" t="n"/>
      <c r="P697" s="87" t="n"/>
      <c r="Q697" s="87" t="n"/>
      <c r="R697" s="87" t="n"/>
      <c r="S697" s="87" t="n"/>
      <c r="T697" s="87" t="n"/>
      <c r="U697" s="87" t="n"/>
      <c r="V697" s="87" t="n"/>
      <c r="W697" s="87" t="n"/>
      <c r="X697" s="87" t="n"/>
      <c r="Y697" s="87" t="n"/>
      <c r="Z697" s="87" t="n"/>
    </row>
    <row r="698" ht="15.75" customHeight="1">
      <c r="A698" s="87" t="n"/>
      <c r="B698" s="87" t="n"/>
      <c r="C698" s="87" t="n"/>
      <c r="D698" s="87" t="n"/>
      <c r="E698" s="87" t="n"/>
      <c r="F698" s="87" t="n"/>
      <c r="G698" s="87" t="n"/>
      <c r="H698" s="87" t="n"/>
      <c r="I698" s="87" t="n"/>
      <c r="J698" s="87" t="n"/>
      <c r="K698" s="87" t="n"/>
      <c r="L698" s="87" t="n"/>
      <c r="M698" s="87" t="n"/>
      <c r="N698" s="87" t="n"/>
      <c r="O698" s="87" t="n"/>
      <c r="P698" s="87" t="n"/>
      <c r="Q698" s="87" t="n"/>
      <c r="R698" s="87" t="n"/>
      <c r="S698" s="87" t="n"/>
      <c r="T698" s="87" t="n"/>
      <c r="U698" s="87" t="n"/>
      <c r="V698" s="87" t="n"/>
      <c r="W698" s="87" t="n"/>
      <c r="X698" s="87" t="n"/>
      <c r="Y698" s="87" t="n"/>
      <c r="Z698" s="87" t="n"/>
    </row>
    <row r="699" ht="15.75" customHeight="1">
      <c r="A699" s="87" t="n"/>
      <c r="B699" s="87" t="n"/>
      <c r="C699" s="87" t="n"/>
      <c r="D699" s="87" t="n"/>
      <c r="E699" s="87" t="n"/>
      <c r="F699" s="87" t="n"/>
      <c r="G699" s="87" t="n"/>
      <c r="H699" s="87" t="n"/>
      <c r="I699" s="87" t="n"/>
      <c r="J699" s="87" t="n"/>
      <c r="K699" s="87" t="n"/>
      <c r="L699" s="87" t="n"/>
      <c r="M699" s="87" t="n"/>
      <c r="N699" s="87" t="n"/>
      <c r="O699" s="87" t="n"/>
      <c r="P699" s="87" t="n"/>
      <c r="Q699" s="87" t="n"/>
      <c r="R699" s="87" t="n"/>
      <c r="S699" s="87" t="n"/>
      <c r="T699" s="87" t="n"/>
      <c r="U699" s="87" t="n"/>
      <c r="V699" s="87" t="n"/>
      <c r="W699" s="87" t="n"/>
      <c r="X699" s="87" t="n"/>
      <c r="Y699" s="87" t="n"/>
      <c r="Z699" s="87" t="n"/>
    </row>
    <row r="700" ht="15.75" customHeight="1">
      <c r="A700" s="87" t="n"/>
      <c r="B700" s="87" t="n"/>
      <c r="C700" s="87" t="n"/>
      <c r="D700" s="87" t="n"/>
      <c r="E700" s="87" t="n"/>
      <c r="F700" s="87" t="n"/>
      <c r="G700" s="87" t="n"/>
      <c r="H700" s="87" t="n"/>
      <c r="I700" s="87" t="n"/>
      <c r="J700" s="87" t="n"/>
      <c r="K700" s="87" t="n"/>
      <c r="L700" s="87" t="n"/>
      <c r="M700" s="87" t="n"/>
      <c r="N700" s="87" t="n"/>
      <c r="O700" s="87" t="n"/>
      <c r="P700" s="87" t="n"/>
      <c r="Q700" s="87" t="n"/>
      <c r="R700" s="87" t="n"/>
      <c r="S700" s="87" t="n"/>
      <c r="T700" s="87" t="n"/>
      <c r="U700" s="87" t="n"/>
      <c r="V700" s="87" t="n"/>
      <c r="W700" s="87" t="n"/>
      <c r="X700" s="87" t="n"/>
      <c r="Y700" s="87" t="n"/>
      <c r="Z700" s="87" t="n"/>
    </row>
    <row r="701" ht="15.75" customHeight="1">
      <c r="A701" s="87" t="n"/>
      <c r="B701" s="87" t="n"/>
      <c r="C701" s="87" t="n"/>
      <c r="D701" s="87" t="n"/>
      <c r="E701" s="87" t="n"/>
      <c r="F701" s="87" t="n"/>
      <c r="G701" s="87" t="n"/>
      <c r="H701" s="87" t="n"/>
      <c r="I701" s="87" t="n"/>
      <c r="J701" s="87" t="n"/>
      <c r="K701" s="87" t="n"/>
      <c r="L701" s="87" t="n"/>
      <c r="M701" s="87" t="n"/>
      <c r="N701" s="87" t="n"/>
      <c r="O701" s="87" t="n"/>
      <c r="P701" s="87" t="n"/>
      <c r="Q701" s="87" t="n"/>
      <c r="R701" s="87" t="n"/>
      <c r="S701" s="87" t="n"/>
      <c r="T701" s="87" t="n"/>
      <c r="U701" s="87" t="n"/>
      <c r="V701" s="87" t="n"/>
      <c r="W701" s="87" t="n"/>
      <c r="X701" s="87" t="n"/>
      <c r="Y701" s="87" t="n"/>
      <c r="Z701" s="87" t="n"/>
    </row>
    <row r="702" ht="15.75" customHeight="1">
      <c r="A702" s="87" t="n"/>
      <c r="B702" s="87" t="n"/>
      <c r="C702" s="87" t="n"/>
      <c r="D702" s="87" t="n"/>
      <c r="E702" s="87" t="n"/>
      <c r="F702" s="87" t="n"/>
      <c r="G702" s="87" t="n"/>
      <c r="H702" s="87" t="n"/>
      <c r="I702" s="87" t="n"/>
      <c r="J702" s="87" t="n"/>
      <c r="K702" s="87" t="n"/>
      <c r="L702" s="87" t="n"/>
      <c r="M702" s="87" t="n"/>
      <c r="N702" s="87" t="n"/>
      <c r="O702" s="87" t="n"/>
      <c r="P702" s="87" t="n"/>
      <c r="Q702" s="87" t="n"/>
      <c r="R702" s="87" t="n"/>
      <c r="S702" s="87" t="n"/>
      <c r="T702" s="87" t="n"/>
      <c r="U702" s="87" t="n"/>
      <c r="V702" s="87" t="n"/>
      <c r="W702" s="87" t="n"/>
      <c r="X702" s="87" t="n"/>
      <c r="Y702" s="87" t="n"/>
      <c r="Z702" s="87" t="n"/>
    </row>
    <row r="703" ht="15.75" customHeight="1">
      <c r="A703" s="87" t="n"/>
      <c r="B703" s="87" t="n"/>
      <c r="C703" s="87" t="n"/>
      <c r="D703" s="87" t="n"/>
      <c r="E703" s="87" t="n"/>
      <c r="F703" s="87" t="n"/>
      <c r="G703" s="87" t="n"/>
      <c r="H703" s="87" t="n"/>
      <c r="I703" s="87" t="n"/>
      <c r="J703" s="87" t="n"/>
      <c r="K703" s="87" t="n"/>
      <c r="L703" s="87" t="n"/>
      <c r="M703" s="87" t="n"/>
      <c r="N703" s="87" t="n"/>
      <c r="O703" s="87" t="n"/>
      <c r="P703" s="87" t="n"/>
      <c r="Q703" s="87" t="n"/>
      <c r="R703" s="87" t="n"/>
      <c r="S703" s="87" t="n"/>
      <c r="T703" s="87" t="n"/>
      <c r="U703" s="87" t="n"/>
      <c r="V703" s="87" t="n"/>
      <c r="W703" s="87" t="n"/>
      <c r="X703" s="87" t="n"/>
      <c r="Y703" s="87" t="n"/>
      <c r="Z703" s="87" t="n"/>
    </row>
    <row r="704" ht="15.75" customHeight="1">
      <c r="A704" s="87" t="n"/>
      <c r="B704" s="87" t="n"/>
      <c r="C704" s="87" t="n"/>
      <c r="D704" s="87" t="n"/>
      <c r="E704" s="87" t="n"/>
      <c r="F704" s="87" t="n"/>
      <c r="G704" s="87" t="n"/>
      <c r="H704" s="87" t="n"/>
      <c r="I704" s="87" t="n"/>
      <c r="J704" s="87" t="n"/>
      <c r="K704" s="87" t="n"/>
      <c r="L704" s="87" t="n"/>
      <c r="M704" s="87" t="n"/>
      <c r="N704" s="87" t="n"/>
      <c r="O704" s="87" t="n"/>
      <c r="P704" s="87" t="n"/>
      <c r="Q704" s="87" t="n"/>
      <c r="R704" s="87" t="n"/>
      <c r="S704" s="87" t="n"/>
      <c r="T704" s="87" t="n"/>
      <c r="U704" s="87" t="n"/>
      <c r="V704" s="87" t="n"/>
      <c r="W704" s="87" t="n"/>
      <c r="X704" s="87" t="n"/>
      <c r="Y704" s="87" t="n"/>
      <c r="Z704" s="87" t="n"/>
    </row>
    <row r="705" ht="15.75" customHeight="1">
      <c r="A705" s="87" t="n"/>
      <c r="B705" s="87" t="n"/>
      <c r="C705" s="87" t="n"/>
      <c r="D705" s="87" t="n"/>
      <c r="E705" s="87" t="n"/>
      <c r="F705" s="87" t="n"/>
      <c r="G705" s="87" t="n"/>
      <c r="H705" s="87" t="n"/>
      <c r="I705" s="87" t="n"/>
      <c r="J705" s="87" t="n"/>
      <c r="K705" s="87" t="n"/>
      <c r="L705" s="87" t="n"/>
      <c r="M705" s="87" t="n"/>
      <c r="N705" s="87" t="n"/>
      <c r="O705" s="87" t="n"/>
      <c r="P705" s="87" t="n"/>
      <c r="Q705" s="87" t="n"/>
      <c r="R705" s="87" t="n"/>
      <c r="S705" s="87" t="n"/>
      <c r="T705" s="87" t="n"/>
      <c r="U705" s="87" t="n"/>
      <c r="V705" s="87" t="n"/>
      <c r="W705" s="87" t="n"/>
      <c r="X705" s="87" t="n"/>
      <c r="Y705" s="87" t="n"/>
      <c r="Z705" s="87" t="n"/>
    </row>
    <row r="706" ht="15.75" customHeight="1">
      <c r="A706" s="87" t="n"/>
      <c r="B706" s="87" t="n"/>
      <c r="C706" s="87" t="n"/>
      <c r="D706" s="87" t="n"/>
      <c r="E706" s="87" t="n"/>
      <c r="F706" s="87" t="n"/>
      <c r="G706" s="87" t="n"/>
      <c r="H706" s="87" t="n"/>
      <c r="I706" s="87" t="n"/>
      <c r="J706" s="87" t="n"/>
      <c r="K706" s="87" t="n"/>
      <c r="L706" s="87" t="n"/>
      <c r="M706" s="87" t="n"/>
      <c r="N706" s="87" t="n"/>
      <c r="O706" s="87" t="n"/>
      <c r="P706" s="87" t="n"/>
      <c r="Q706" s="87" t="n"/>
      <c r="R706" s="87" t="n"/>
      <c r="S706" s="87" t="n"/>
      <c r="T706" s="87" t="n"/>
      <c r="U706" s="87" t="n"/>
      <c r="V706" s="87" t="n"/>
      <c r="W706" s="87" t="n"/>
      <c r="X706" s="87" t="n"/>
      <c r="Y706" s="87" t="n"/>
      <c r="Z706" s="87" t="n"/>
    </row>
    <row r="707" ht="15.75" customHeight="1">
      <c r="A707" s="87" t="n"/>
      <c r="B707" s="87" t="n"/>
      <c r="C707" s="87" t="n"/>
      <c r="D707" s="87" t="n"/>
      <c r="E707" s="87" t="n"/>
      <c r="F707" s="87" t="n"/>
      <c r="G707" s="87" t="n"/>
      <c r="H707" s="87" t="n"/>
      <c r="I707" s="87" t="n"/>
      <c r="J707" s="87" t="n"/>
      <c r="K707" s="87" t="n"/>
      <c r="L707" s="87" t="n"/>
      <c r="M707" s="87" t="n"/>
      <c r="N707" s="87" t="n"/>
      <c r="O707" s="87" t="n"/>
      <c r="P707" s="87" t="n"/>
      <c r="Q707" s="87" t="n"/>
      <c r="R707" s="87" t="n"/>
      <c r="S707" s="87" t="n"/>
      <c r="T707" s="87" t="n"/>
      <c r="U707" s="87" t="n"/>
      <c r="V707" s="87" t="n"/>
      <c r="W707" s="87" t="n"/>
      <c r="X707" s="87" t="n"/>
      <c r="Y707" s="87" t="n"/>
      <c r="Z707" s="87" t="n"/>
    </row>
    <row r="708" ht="15.75" customHeight="1">
      <c r="A708" s="87" t="n"/>
      <c r="B708" s="87" t="n"/>
      <c r="C708" s="87" t="n"/>
      <c r="D708" s="87" t="n"/>
      <c r="E708" s="87" t="n"/>
      <c r="F708" s="87" t="n"/>
      <c r="G708" s="87" t="n"/>
      <c r="H708" s="87" t="n"/>
      <c r="I708" s="87" t="n"/>
      <c r="J708" s="87" t="n"/>
      <c r="K708" s="87" t="n"/>
      <c r="L708" s="87" t="n"/>
      <c r="M708" s="87" t="n"/>
      <c r="N708" s="87" t="n"/>
      <c r="O708" s="87" t="n"/>
      <c r="P708" s="87" t="n"/>
      <c r="Q708" s="87" t="n"/>
      <c r="R708" s="87" t="n"/>
      <c r="S708" s="87" t="n"/>
      <c r="T708" s="87" t="n"/>
      <c r="U708" s="87" t="n"/>
      <c r="V708" s="87" t="n"/>
      <c r="W708" s="87" t="n"/>
      <c r="X708" s="87" t="n"/>
      <c r="Y708" s="87" t="n"/>
      <c r="Z708" s="87" t="n"/>
    </row>
    <row r="709" ht="15.75" customHeight="1">
      <c r="A709" s="87" t="n"/>
      <c r="B709" s="87" t="n"/>
      <c r="C709" s="87" t="n"/>
      <c r="D709" s="87" t="n"/>
      <c r="E709" s="87" t="n"/>
      <c r="F709" s="87" t="n"/>
      <c r="G709" s="87" t="n"/>
      <c r="H709" s="87" t="n"/>
      <c r="I709" s="87" t="n"/>
      <c r="J709" s="87" t="n"/>
      <c r="K709" s="87" t="n"/>
      <c r="L709" s="87" t="n"/>
      <c r="M709" s="87" t="n"/>
      <c r="N709" s="87" t="n"/>
      <c r="O709" s="87" t="n"/>
      <c r="P709" s="87" t="n"/>
      <c r="Q709" s="87" t="n"/>
      <c r="R709" s="87" t="n"/>
      <c r="S709" s="87" t="n"/>
      <c r="T709" s="87" t="n"/>
      <c r="U709" s="87" t="n"/>
      <c r="V709" s="87" t="n"/>
      <c r="W709" s="87" t="n"/>
      <c r="X709" s="87" t="n"/>
      <c r="Y709" s="87" t="n"/>
      <c r="Z709" s="87" t="n"/>
    </row>
    <row r="710" ht="15.75" customHeight="1">
      <c r="A710" s="87" t="n"/>
      <c r="B710" s="87" t="n"/>
      <c r="C710" s="87" t="n"/>
      <c r="D710" s="87" t="n"/>
      <c r="E710" s="87" t="n"/>
      <c r="F710" s="87" t="n"/>
      <c r="G710" s="87" t="n"/>
      <c r="H710" s="87" t="n"/>
      <c r="I710" s="87" t="n"/>
      <c r="J710" s="87" t="n"/>
      <c r="K710" s="87" t="n"/>
      <c r="L710" s="87" t="n"/>
      <c r="M710" s="87" t="n"/>
      <c r="N710" s="87" t="n"/>
      <c r="O710" s="87" t="n"/>
      <c r="P710" s="87" t="n"/>
      <c r="Q710" s="87" t="n"/>
      <c r="R710" s="87" t="n"/>
      <c r="S710" s="87" t="n"/>
      <c r="T710" s="87" t="n"/>
      <c r="U710" s="87" t="n"/>
      <c r="V710" s="87" t="n"/>
      <c r="W710" s="87" t="n"/>
      <c r="X710" s="87" t="n"/>
      <c r="Y710" s="87" t="n"/>
      <c r="Z710" s="87" t="n"/>
    </row>
    <row r="711" ht="15.75" customHeight="1">
      <c r="A711" s="87" t="n"/>
      <c r="B711" s="87" t="n"/>
      <c r="C711" s="87" t="n"/>
      <c r="D711" s="87" t="n"/>
      <c r="E711" s="87" t="n"/>
      <c r="F711" s="87" t="n"/>
      <c r="G711" s="87" t="n"/>
      <c r="H711" s="87" t="n"/>
      <c r="I711" s="87" t="n"/>
      <c r="J711" s="87" t="n"/>
      <c r="K711" s="87" t="n"/>
      <c r="L711" s="87" t="n"/>
      <c r="M711" s="87" t="n"/>
      <c r="N711" s="87" t="n"/>
      <c r="O711" s="87" t="n"/>
      <c r="P711" s="87" t="n"/>
      <c r="Q711" s="87" t="n"/>
      <c r="R711" s="87" t="n"/>
      <c r="S711" s="87" t="n"/>
      <c r="T711" s="87" t="n"/>
      <c r="U711" s="87" t="n"/>
      <c r="V711" s="87" t="n"/>
      <c r="W711" s="87" t="n"/>
      <c r="X711" s="87" t="n"/>
      <c r="Y711" s="87" t="n"/>
      <c r="Z711" s="87" t="n"/>
    </row>
    <row r="712" ht="15.75" customHeight="1">
      <c r="A712" s="87" t="n"/>
      <c r="B712" s="87" t="n"/>
      <c r="C712" s="87" t="n"/>
      <c r="D712" s="87" t="n"/>
      <c r="E712" s="87" t="n"/>
      <c r="F712" s="87" t="n"/>
      <c r="G712" s="87" t="n"/>
      <c r="H712" s="87" t="n"/>
      <c r="I712" s="87" t="n"/>
      <c r="J712" s="87" t="n"/>
      <c r="K712" s="87" t="n"/>
      <c r="L712" s="87" t="n"/>
      <c r="M712" s="87" t="n"/>
      <c r="N712" s="87" t="n"/>
      <c r="O712" s="87" t="n"/>
      <c r="P712" s="87" t="n"/>
      <c r="Q712" s="87" t="n"/>
      <c r="R712" s="87" t="n"/>
      <c r="S712" s="87" t="n"/>
      <c r="T712" s="87" t="n"/>
      <c r="U712" s="87" t="n"/>
      <c r="V712" s="87" t="n"/>
      <c r="W712" s="87" t="n"/>
      <c r="X712" s="87" t="n"/>
      <c r="Y712" s="87" t="n"/>
      <c r="Z712" s="87" t="n"/>
    </row>
    <row r="713" ht="15.75" customHeight="1">
      <c r="A713" s="87" t="n"/>
      <c r="B713" s="87" t="n"/>
      <c r="C713" s="87" t="n"/>
      <c r="D713" s="87" t="n"/>
      <c r="E713" s="87" t="n"/>
      <c r="F713" s="87" t="n"/>
      <c r="G713" s="87" t="n"/>
      <c r="H713" s="87" t="n"/>
      <c r="I713" s="87" t="n"/>
      <c r="J713" s="87" t="n"/>
      <c r="K713" s="87" t="n"/>
      <c r="L713" s="87" t="n"/>
      <c r="M713" s="87" t="n"/>
      <c r="N713" s="87" t="n"/>
      <c r="O713" s="87" t="n"/>
      <c r="P713" s="87" t="n"/>
      <c r="Q713" s="87" t="n"/>
      <c r="R713" s="87" t="n"/>
      <c r="S713" s="87" t="n"/>
      <c r="T713" s="87" t="n"/>
      <c r="U713" s="87" t="n"/>
      <c r="V713" s="87" t="n"/>
      <c r="W713" s="87" t="n"/>
      <c r="X713" s="87" t="n"/>
      <c r="Y713" s="87" t="n"/>
      <c r="Z713" s="87" t="n"/>
    </row>
    <row r="714" ht="15.75" customHeight="1">
      <c r="A714" s="87" t="n"/>
      <c r="B714" s="87" t="n"/>
      <c r="C714" s="87" t="n"/>
      <c r="D714" s="87" t="n"/>
      <c r="E714" s="87" t="n"/>
      <c r="F714" s="87" t="n"/>
      <c r="G714" s="87" t="n"/>
      <c r="H714" s="87" t="n"/>
      <c r="I714" s="87" t="n"/>
      <c r="J714" s="87" t="n"/>
      <c r="K714" s="87" t="n"/>
      <c r="L714" s="87" t="n"/>
      <c r="M714" s="87" t="n"/>
      <c r="N714" s="87" t="n"/>
      <c r="O714" s="87" t="n"/>
      <c r="P714" s="87" t="n"/>
      <c r="Q714" s="87" t="n"/>
      <c r="R714" s="87" t="n"/>
      <c r="S714" s="87" t="n"/>
      <c r="T714" s="87" t="n"/>
      <c r="U714" s="87" t="n"/>
      <c r="V714" s="87" t="n"/>
      <c r="W714" s="87" t="n"/>
      <c r="X714" s="87" t="n"/>
      <c r="Y714" s="87" t="n"/>
      <c r="Z714" s="87" t="n"/>
    </row>
    <row r="715" ht="15.75" customHeight="1">
      <c r="A715" s="87" t="n"/>
      <c r="B715" s="87" t="n"/>
      <c r="C715" s="87" t="n"/>
      <c r="D715" s="87" t="n"/>
      <c r="E715" s="87" t="n"/>
      <c r="F715" s="87" t="n"/>
      <c r="G715" s="87" t="n"/>
      <c r="H715" s="87" t="n"/>
      <c r="I715" s="87" t="n"/>
      <c r="J715" s="87" t="n"/>
      <c r="K715" s="87" t="n"/>
      <c r="L715" s="87" t="n"/>
      <c r="M715" s="87" t="n"/>
      <c r="N715" s="87" t="n"/>
      <c r="O715" s="87" t="n"/>
      <c r="P715" s="87" t="n"/>
      <c r="Q715" s="87" t="n"/>
      <c r="R715" s="87" t="n"/>
      <c r="S715" s="87" t="n"/>
      <c r="T715" s="87" t="n"/>
      <c r="U715" s="87" t="n"/>
      <c r="V715" s="87" t="n"/>
      <c r="W715" s="87" t="n"/>
      <c r="X715" s="87" t="n"/>
      <c r="Y715" s="87" t="n"/>
      <c r="Z715" s="87" t="n"/>
    </row>
    <row r="716" ht="15.75" customHeight="1">
      <c r="A716" s="87" t="n"/>
      <c r="B716" s="87" t="n"/>
      <c r="C716" s="87" t="n"/>
      <c r="D716" s="87" t="n"/>
      <c r="E716" s="87" t="n"/>
      <c r="F716" s="87" t="n"/>
      <c r="G716" s="87" t="n"/>
      <c r="H716" s="87" t="n"/>
      <c r="I716" s="87" t="n"/>
      <c r="J716" s="87" t="n"/>
      <c r="K716" s="87" t="n"/>
      <c r="L716" s="87" t="n"/>
      <c r="M716" s="87" t="n"/>
      <c r="N716" s="87" t="n"/>
      <c r="O716" s="87" t="n"/>
      <c r="P716" s="87" t="n"/>
      <c r="Q716" s="87" t="n"/>
      <c r="R716" s="87" t="n"/>
      <c r="S716" s="87" t="n"/>
      <c r="T716" s="87" t="n"/>
      <c r="U716" s="87" t="n"/>
      <c r="V716" s="87" t="n"/>
      <c r="W716" s="87" t="n"/>
      <c r="X716" s="87" t="n"/>
      <c r="Y716" s="87" t="n"/>
      <c r="Z716" s="87" t="n"/>
    </row>
    <row r="717" ht="15.75" customHeight="1">
      <c r="A717" s="87" t="n"/>
      <c r="B717" s="87" t="n"/>
      <c r="C717" s="87" t="n"/>
      <c r="D717" s="87" t="n"/>
      <c r="E717" s="87" t="n"/>
      <c r="F717" s="87" t="n"/>
      <c r="G717" s="87" t="n"/>
      <c r="H717" s="87" t="n"/>
      <c r="I717" s="87" t="n"/>
      <c r="J717" s="87" t="n"/>
      <c r="K717" s="87" t="n"/>
      <c r="L717" s="87" t="n"/>
      <c r="M717" s="87" t="n"/>
      <c r="N717" s="87" t="n"/>
      <c r="O717" s="87" t="n"/>
      <c r="P717" s="87" t="n"/>
      <c r="Q717" s="87" t="n"/>
      <c r="R717" s="87" t="n"/>
      <c r="S717" s="87" t="n"/>
      <c r="T717" s="87" t="n"/>
      <c r="U717" s="87" t="n"/>
      <c r="V717" s="87" t="n"/>
      <c r="W717" s="87" t="n"/>
      <c r="X717" s="87" t="n"/>
      <c r="Y717" s="87" t="n"/>
      <c r="Z717" s="87" t="n"/>
    </row>
    <row r="718" ht="15.75" customHeight="1">
      <c r="A718" s="87" t="n"/>
      <c r="B718" s="87" t="n"/>
      <c r="C718" s="87" t="n"/>
      <c r="D718" s="87" t="n"/>
      <c r="E718" s="87" t="n"/>
      <c r="F718" s="87" t="n"/>
      <c r="G718" s="87" t="n"/>
      <c r="H718" s="87" t="n"/>
      <c r="I718" s="87" t="n"/>
      <c r="J718" s="87" t="n"/>
      <c r="K718" s="87" t="n"/>
      <c r="L718" s="87" t="n"/>
      <c r="M718" s="87" t="n"/>
      <c r="N718" s="87" t="n"/>
      <c r="O718" s="87" t="n"/>
      <c r="P718" s="87" t="n"/>
      <c r="Q718" s="87" t="n"/>
      <c r="R718" s="87" t="n"/>
      <c r="S718" s="87" t="n"/>
      <c r="T718" s="87" t="n"/>
      <c r="U718" s="87" t="n"/>
      <c r="V718" s="87" t="n"/>
      <c r="W718" s="87" t="n"/>
      <c r="X718" s="87" t="n"/>
      <c r="Y718" s="87" t="n"/>
      <c r="Z718" s="87" t="n"/>
    </row>
    <row r="719" ht="15.75" customHeight="1">
      <c r="A719" s="87" t="n"/>
      <c r="B719" s="87" t="n"/>
      <c r="C719" s="87" t="n"/>
      <c r="D719" s="87" t="n"/>
      <c r="E719" s="87" t="n"/>
      <c r="F719" s="87" t="n"/>
      <c r="G719" s="87" t="n"/>
      <c r="H719" s="87" t="n"/>
      <c r="I719" s="87" t="n"/>
      <c r="J719" s="87" t="n"/>
      <c r="K719" s="87" t="n"/>
      <c r="L719" s="87" t="n"/>
      <c r="M719" s="87" t="n"/>
      <c r="N719" s="87" t="n"/>
      <c r="O719" s="87" t="n"/>
      <c r="P719" s="87" t="n"/>
      <c r="Q719" s="87" t="n"/>
      <c r="R719" s="87" t="n"/>
      <c r="S719" s="87" t="n"/>
      <c r="T719" s="87" t="n"/>
      <c r="U719" s="87" t="n"/>
      <c r="V719" s="87" t="n"/>
      <c r="W719" s="87" t="n"/>
      <c r="X719" s="87" t="n"/>
      <c r="Y719" s="87" t="n"/>
      <c r="Z719" s="87" t="n"/>
    </row>
    <row r="720" ht="15.75" customHeight="1">
      <c r="A720" s="87" t="n"/>
      <c r="B720" s="87" t="n"/>
      <c r="C720" s="87" t="n"/>
      <c r="D720" s="87" t="n"/>
      <c r="E720" s="87" t="n"/>
      <c r="F720" s="87" t="n"/>
      <c r="G720" s="87" t="n"/>
      <c r="H720" s="87" t="n"/>
      <c r="I720" s="87" t="n"/>
      <c r="J720" s="87" t="n"/>
      <c r="K720" s="87" t="n"/>
      <c r="L720" s="87" t="n"/>
      <c r="M720" s="87" t="n"/>
      <c r="N720" s="87" t="n"/>
      <c r="O720" s="87" t="n"/>
      <c r="P720" s="87" t="n"/>
      <c r="Q720" s="87" t="n"/>
      <c r="R720" s="87" t="n"/>
      <c r="S720" s="87" t="n"/>
      <c r="T720" s="87" t="n"/>
      <c r="U720" s="87" t="n"/>
      <c r="V720" s="87" t="n"/>
      <c r="W720" s="87" t="n"/>
      <c r="X720" s="87" t="n"/>
      <c r="Y720" s="87" t="n"/>
      <c r="Z720" s="87" t="n"/>
    </row>
    <row r="721" ht="15.75" customHeight="1">
      <c r="A721" s="87" t="n"/>
      <c r="B721" s="87" t="n"/>
      <c r="C721" s="87" t="n"/>
      <c r="D721" s="87" t="n"/>
      <c r="E721" s="87" t="n"/>
      <c r="F721" s="87" t="n"/>
      <c r="G721" s="87" t="n"/>
      <c r="H721" s="87" t="n"/>
      <c r="I721" s="87" t="n"/>
      <c r="J721" s="87" t="n"/>
      <c r="K721" s="87" t="n"/>
      <c r="L721" s="87" t="n"/>
      <c r="M721" s="87" t="n"/>
      <c r="N721" s="87" t="n"/>
      <c r="O721" s="87" t="n"/>
      <c r="P721" s="87" t="n"/>
      <c r="Q721" s="87" t="n"/>
      <c r="R721" s="87" t="n"/>
      <c r="S721" s="87" t="n"/>
      <c r="T721" s="87" t="n"/>
      <c r="U721" s="87" t="n"/>
      <c r="V721" s="87" t="n"/>
      <c r="W721" s="87" t="n"/>
      <c r="X721" s="87" t="n"/>
      <c r="Y721" s="87" t="n"/>
      <c r="Z721" s="87" t="n"/>
    </row>
    <row r="722" ht="15.75" customHeight="1">
      <c r="A722" s="87" t="n"/>
      <c r="B722" s="87" t="n"/>
      <c r="C722" s="87" t="n"/>
      <c r="D722" s="87" t="n"/>
      <c r="E722" s="87" t="n"/>
      <c r="F722" s="87" t="n"/>
      <c r="G722" s="87" t="n"/>
      <c r="H722" s="87" t="n"/>
      <c r="I722" s="87" t="n"/>
      <c r="J722" s="87" t="n"/>
      <c r="K722" s="87" t="n"/>
      <c r="L722" s="87" t="n"/>
      <c r="M722" s="87" t="n"/>
      <c r="N722" s="87" t="n"/>
      <c r="O722" s="87" t="n"/>
      <c r="P722" s="87" t="n"/>
      <c r="Q722" s="87" t="n"/>
      <c r="R722" s="87" t="n"/>
      <c r="S722" s="87" t="n"/>
      <c r="T722" s="87" t="n"/>
      <c r="U722" s="87" t="n"/>
      <c r="V722" s="87" t="n"/>
      <c r="W722" s="87" t="n"/>
      <c r="X722" s="87" t="n"/>
      <c r="Y722" s="87" t="n"/>
      <c r="Z722" s="87" t="n"/>
    </row>
    <row r="723" ht="15.75" customHeight="1">
      <c r="A723" s="87" t="n"/>
      <c r="B723" s="87" t="n"/>
      <c r="C723" s="87" t="n"/>
      <c r="D723" s="87" t="n"/>
      <c r="E723" s="87" t="n"/>
      <c r="F723" s="87" t="n"/>
      <c r="G723" s="87" t="n"/>
      <c r="H723" s="87" t="n"/>
      <c r="I723" s="87" t="n"/>
      <c r="J723" s="87" t="n"/>
      <c r="K723" s="87" t="n"/>
      <c r="L723" s="87" t="n"/>
      <c r="M723" s="87" t="n"/>
      <c r="N723" s="87" t="n"/>
      <c r="O723" s="87" t="n"/>
      <c r="P723" s="87" t="n"/>
      <c r="Q723" s="87" t="n"/>
      <c r="R723" s="87" t="n"/>
      <c r="S723" s="87" t="n"/>
      <c r="T723" s="87" t="n"/>
      <c r="U723" s="87" t="n"/>
      <c r="V723" s="87" t="n"/>
      <c r="W723" s="87" t="n"/>
      <c r="X723" s="87" t="n"/>
      <c r="Y723" s="87" t="n"/>
      <c r="Z723" s="87" t="n"/>
    </row>
    <row r="724" ht="15.75" customHeight="1">
      <c r="A724" s="87" t="n"/>
      <c r="B724" s="87" t="n"/>
      <c r="C724" s="87" t="n"/>
      <c r="D724" s="87" t="n"/>
      <c r="E724" s="87" t="n"/>
      <c r="F724" s="87" t="n"/>
      <c r="G724" s="87" t="n"/>
      <c r="H724" s="87" t="n"/>
      <c r="I724" s="87" t="n"/>
      <c r="J724" s="87" t="n"/>
      <c r="K724" s="87" t="n"/>
      <c r="L724" s="87" t="n"/>
      <c r="M724" s="87" t="n"/>
      <c r="N724" s="87" t="n"/>
      <c r="O724" s="87" t="n"/>
      <c r="P724" s="87" t="n"/>
      <c r="Q724" s="87" t="n"/>
      <c r="R724" s="87" t="n"/>
      <c r="S724" s="87" t="n"/>
      <c r="T724" s="87" t="n"/>
      <c r="U724" s="87" t="n"/>
      <c r="V724" s="87" t="n"/>
      <c r="W724" s="87" t="n"/>
      <c r="X724" s="87" t="n"/>
      <c r="Y724" s="87" t="n"/>
      <c r="Z724" s="87" t="n"/>
    </row>
    <row r="725" ht="15.75" customHeight="1">
      <c r="A725" s="87" t="n"/>
      <c r="B725" s="87" t="n"/>
      <c r="C725" s="87" t="n"/>
      <c r="D725" s="87" t="n"/>
      <c r="E725" s="87" t="n"/>
      <c r="F725" s="87" t="n"/>
      <c r="G725" s="87" t="n"/>
      <c r="H725" s="87" t="n"/>
      <c r="I725" s="87" t="n"/>
      <c r="J725" s="87" t="n"/>
      <c r="K725" s="87" t="n"/>
      <c r="L725" s="87" t="n"/>
      <c r="M725" s="87" t="n"/>
      <c r="N725" s="87" t="n"/>
      <c r="O725" s="87" t="n"/>
      <c r="P725" s="87" t="n"/>
      <c r="Q725" s="87" t="n"/>
      <c r="R725" s="87" t="n"/>
      <c r="S725" s="87" t="n"/>
      <c r="T725" s="87" t="n"/>
      <c r="U725" s="87" t="n"/>
      <c r="V725" s="87" t="n"/>
      <c r="W725" s="87" t="n"/>
      <c r="X725" s="87" t="n"/>
      <c r="Y725" s="87" t="n"/>
      <c r="Z725" s="87" t="n"/>
    </row>
    <row r="726" ht="15.75" customHeight="1">
      <c r="A726" s="87" t="n"/>
      <c r="B726" s="87" t="n"/>
      <c r="C726" s="87" t="n"/>
      <c r="D726" s="87" t="n"/>
      <c r="E726" s="87" t="n"/>
      <c r="F726" s="87" t="n"/>
      <c r="G726" s="87" t="n"/>
      <c r="H726" s="87" t="n"/>
      <c r="I726" s="87" t="n"/>
      <c r="J726" s="87" t="n"/>
      <c r="K726" s="87" t="n"/>
      <c r="L726" s="87" t="n"/>
      <c r="M726" s="87" t="n"/>
      <c r="N726" s="87" t="n"/>
      <c r="O726" s="87" t="n"/>
      <c r="P726" s="87" t="n"/>
      <c r="Q726" s="87" t="n"/>
      <c r="R726" s="87" t="n"/>
      <c r="S726" s="87" t="n"/>
      <c r="T726" s="87" t="n"/>
      <c r="U726" s="87" t="n"/>
      <c r="V726" s="87" t="n"/>
      <c r="W726" s="87" t="n"/>
      <c r="X726" s="87" t="n"/>
      <c r="Y726" s="87" t="n"/>
      <c r="Z726" s="87" t="n"/>
    </row>
    <row r="727" ht="15.75" customHeight="1">
      <c r="A727" s="87" t="n"/>
      <c r="B727" s="87" t="n"/>
      <c r="C727" s="87" t="n"/>
      <c r="D727" s="87" t="n"/>
      <c r="E727" s="87" t="n"/>
      <c r="F727" s="87" t="n"/>
      <c r="G727" s="87" t="n"/>
      <c r="H727" s="87" t="n"/>
      <c r="I727" s="87" t="n"/>
      <c r="J727" s="87" t="n"/>
      <c r="K727" s="87" t="n"/>
      <c r="L727" s="87" t="n"/>
      <c r="M727" s="87" t="n"/>
      <c r="N727" s="87" t="n"/>
      <c r="O727" s="87" t="n"/>
      <c r="P727" s="87" t="n"/>
      <c r="Q727" s="87" t="n"/>
      <c r="R727" s="87" t="n"/>
      <c r="S727" s="87" t="n"/>
      <c r="T727" s="87" t="n"/>
      <c r="U727" s="87" t="n"/>
      <c r="V727" s="87" t="n"/>
      <c r="W727" s="87" t="n"/>
      <c r="X727" s="87" t="n"/>
      <c r="Y727" s="87" t="n"/>
      <c r="Z727" s="87" t="n"/>
    </row>
    <row r="728" ht="15.75" customHeight="1">
      <c r="A728" s="87" t="n"/>
      <c r="B728" s="87" t="n"/>
      <c r="C728" s="87" t="n"/>
      <c r="D728" s="87" t="n"/>
      <c r="E728" s="87" t="n"/>
      <c r="F728" s="87" t="n"/>
      <c r="G728" s="87" t="n"/>
      <c r="H728" s="87" t="n"/>
      <c r="I728" s="87" t="n"/>
      <c r="J728" s="87" t="n"/>
      <c r="K728" s="87" t="n"/>
      <c r="L728" s="87" t="n"/>
      <c r="M728" s="87" t="n"/>
      <c r="N728" s="87" t="n"/>
      <c r="O728" s="87" t="n"/>
      <c r="P728" s="87" t="n"/>
      <c r="Q728" s="87" t="n"/>
      <c r="R728" s="87" t="n"/>
      <c r="S728" s="87" t="n"/>
      <c r="T728" s="87" t="n"/>
      <c r="U728" s="87" t="n"/>
      <c r="V728" s="87" t="n"/>
      <c r="W728" s="87" t="n"/>
      <c r="X728" s="87" t="n"/>
      <c r="Y728" s="87" t="n"/>
      <c r="Z728" s="87" t="n"/>
    </row>
    <row r="729" ht="15.75" customHeight="1">
      <c r="A729" s="87" t="n"/>
      <c r="B729" s="87" t="n"/>
      <c r="C729" s="87" t="n"/>
      <c r="D729" s="87" t="n"/>
      <c r="E729" s="87" t="n"/>
      <c r="F729" s="87" t="n"/>
      <c r="G729" s="87" t="n"/>
      <c r="H729" s="87" t="n"/>
      <c r="I729" s="87" t="n"/>
      <c r="J729" s="87" t="n"/>
      <c r="K729" s="87" t="n"/>
      <c r="L729" s="87" t="n"/>
      <c r="M729" s="87" t="n"/>
      <c r="N729" s="87" t="n"/>
      <c r="O729" s="87" t="n"/>
      <c r="P729" s="87" t="n"/>
      <c r="Q729" s="87" t="n"/>
      <c r="R729" s="87" t="n"/>
      <c r="S729" s="87" t="n"/>
      <c r="T729" s="87" t="n"/>
      <c r="U729" s="87" t="n"/>
      <c r="V729" s="87" t="n"/>
      <c r="W729" s="87" t="n"/>
      <c r="X729" s="87" t="n"/>
      <c r="Y729" s="87" t="n"/>
      <c r="Z729" s="87" t="n"/>
    </row>
    <row r="730" ht="15.75" customHeight="1">
      <c r="A730" s="87" t="n"/>
      <c r="B730" s="87" t="n"/>
      <c r="C730" s="87" t="n"/>
      <c r="D730" s="87" t="n"/>
      <c r="E730" s="87" t="n"/>
      <c r="F730" s="87" t="n"/>
      <c r="G730" s="87" t="n"/>
      <c r="H730" s="87" t="n"/>
      <c r="I730" s="87" t="n"/>
      <c r="J730" s="87" t="n"/>
      <c r="K730" s="87" t="n"/>
      <c r="L730" s="87" t="n"/>
      <c r="M730" s="87" t="n"/>
      <c r="N730" s="87" t="n"/>
      <c r="O730" s="87" t="n"/>
      <c r="P730" s="87" t="n"/>
      <c r="Q730" s="87" t="n"/>
      <c r="R730" s="87" t="n"/>
      <c r="S730" s="87" t="n"/>
      <c r="T730" s="87" t="n"/>
      <c r="U730" s="87" t="n"/>
      <c r="V730" s="87" t="n"/>
      <c r="W730" s="87" t="n"/>
      <c r="X730" s="87" t="n"/>
      <c r="Y730" s="87" t="n"/>
      <c r="Z730" s="87" t="n"/>
    </row>
    <row r="731" ht="15.75" customHeight="1">
      <c r="A731" s="87" t="n"/>
      <c r="B731" s="87" t="n"/>
      <c r="C731" s="87" t="n"/>
      <c r="D731" s="87" t="n"/>
      <c r="E731" s="87" t="n"/>
      <c r="F731" s="87" t="n"/>
      <c r="G731" s="87" t="n"/>
      <c r="H731" s="87" t="n"/>
      <c r="I731" s="87" t="n"/>
      <c r="J731" s="87" t="n"/>
      <c r="K731" s="87" t="n"/>
      <c r="L731" s="87" t="n"/>
      <c r="M731" s="87" t="n"/>
      <c r="N731" s="87" t="n"/>
      <c r="O731" s="87" t="n"/>
      <c r="P731" s="87" t="n"/>
      <c r="Q731" s="87" t="n"/>
      <c r="R731" s="87" t="n"/>
      <c r="S731" s="87" t="n"/>
      <c r="T731" s="87" t="n"/>
      <c r="U731" s="87" t="n"/>
      <c r="V731" s="87" t="n"/>
      <c r="W731" s="87" t="n"/>
      <c r="X731" s="87" t="n"/>
      <c r="Y731" s="87" t="n"/>
      <c r="Z731" s="87" t="n"/>
    </row>
    <row r="732" ht="15.75" customHeight="1">
      <c r="A732" s="87" t="n"/>
      <c r="B732" s="87" t="n"/>
      <c r="C732" s="87" t="n"/>
      <c r="D732" s="87" t="n"/>
      <c r="E732" s="87" t="n"/>
      <c r="F732" s="87" t="n"/>
      <c r="G732" s="87" t="n"/>
      <c r="H732" s="87" t="n"/>
      <c r="I732" s="87" t="n"/>
      <c r="J732" s="87" t="n"/>
      <c r="K732" s="87" t="n"/>
      <c r="L732" s="87" t="n"/>
      <c r="M732" s="87" t="n"/>
      <c r="N732" s="87" t="n"/>
      <c r="O732" s="87" t="n"/>
      <c r="P732" s="87" t="n"/>
      <c r="Q732" s="87" t="n"/>
      <c r="R732" s="87" t="n"/>
      <c r="S732" s="87" t="n"/>
      <c r="T732" s="87" t="n"/>
      <c r="U732" s="87" t="n"/>
      <c r="V732" s="87" t="n"/>
      <c r="W732" s="87" t="n"/>
      <c r="X732" s="87" t="n"/>
      <c r="Y732" s="87" t="n"/>
      <c r="Z732" s="87" t="n"/>
    </row>
    <row r="733" ht="15.75" customHeight="1">
      <c r="A733" s="87" t="n"/>
      <c r="B733" s="87" t="n"/>
      <c r="C733" s="87" t="n"/>
      <c r="D733" s="87" t="n"/>
      <c r="E733" s="87" t="n"/>
      <c r="F733" s="87" t="n"/>
      <c r="G733" s="87" t="n"/>
      <c r="H733" s="87" t="n"/>
      <c r="I733" s="87" t="n"/>
      <c r="J733" s="87" t="n"/>
      <c r="K733" s="87" t="n"/>
      <c r="L733" s="87" t="n"/>
      <c r="M733" s="87" t="n"/>
      <c r="N733" s="87" t="n"/>
      <c r="O733" s="87" t="n"/>
      <c r="P733" s="87" t="n"/>
      <c r="Q733" s="87" t="n"/>
      <c r="R733" s="87" t="n"/>
      <c r="S733" s="87" t="n"/>
      <c r="T733" s="87" t="n"/>
      <c r="U733" s="87" t="n"/>
      <c r="V733" s="87" t="n"/>
      <c r="W733" s="87" t="n"/>
      <c r="X733" s="87" t="n"/>
      <c r="Y733" s="87" t="n"/>
      <c r="Z733" s="87" t="n"/>
    </row>
    <row r="734" ht="15.75" customHeight="1">
      <c r="A734" s="87" t="n"/>
      <c r="B734" s="87" t="n"/>
      <c r="C734" s="87" t="n"/>
      <c r="D734" s="87" t="n"/>
      <c r="E734" s="87" t="n"/>
      <c r="F734" s="87" t="n"/>
      <c r="G734" s="87" t="n"/>
      <c r="H734" s="87" t="n"/>
      <c r="I734" s="87" t="n"/>
      <c r="J734" s="87" t="n"/>
      <c r="K734" s="87" t="n"/>
      <c r="L734" s="87" t="n"/>
      <c r="M734" s="87" t="n"/>
      <c r="N734" s="87" t="n"/>
      <c r="O734" s="87" t="n"/>
      <c r="P734" s="87" t="n"/>
      <c r="Q734" s="87" t="n"/>
      <c r="R734" s="87" t="n"/>
      <c r="S734" s="87" t="n"/>
      <c r="T734" s="87" t="n"/>
      <c r="U734" s="87" t="n"/>
      <c r="V734" s="87" t="n"/>
      <c r="W734" s="87" t="n"/>
      <c r="X734" s="87" t="n"/>
      <c r="Y734" s="87" t="n"/>
      <c r="Z734" s="87" t="n"/>
    </row>
    <row r="735" ht="15.75" customHeight="1">
      <c r="A735" s="87" t="n"/>
      <c r="B735" s="87" t="n"/>
      <c r="C735" s="87" t="n"/>
      <c r="D735" s="87" t="n"/>
      <c r="E735" s="87" t="n"/>
      <c r="F735" s="87" t="n"/>
      <c r="G735" s="87" t="n"/>
      <c r="H735" s="87" t="n"/>
      <c r="I735" s="87" t="n"/>
      <c r="J735" s="87" t="n"/>
      <c r="K735" s="87" t="n"/>
      <c r="L735" s="87" t="n"/>
      <c r="M735" s="87" t="n"/>
      <c r="N735" s="87" t="n"/>
      <c r="O735" s="87" t="n"/>
      <c r="P735" s="87" t="n"/>
      <c r="Q735" s="87" t="n"/>
      <c r="R735" s="87" t="n"/>
      <c r="S735" s="87" t="n"/>
      <c r="T735" s="87" t="n"/>
      <c r="U735" s="87" t="n"/>
      <c r="V735" s="87" t="n"/>
      <c r="W735" s="87" t="n"/>
      <c r="X735" s="87" t="n"/>
      <c r="Y735" s="87" t="n"/>
      <c r="Z735" s="87" t="n"/>
    </row>
    <row r="736" ht="15.75" customHeight="1">
      <c r="A736" s="87" t="n"/>
      <c r="B736" s="87" t="n"/>
      <c r="C736" s="87" t="n"/>
      <c r="D736" s="87" t="n"/>
      <c r="E736" s="87" t="n"/>
      <c r="F736" s="87" t="n"/>
      <c r="G736" s="87" t="n"/>
      <c r="H736" s="87" t="n"/>
      <c r="I736" s="87" t="n"/>
      <c r="J736" s="87" t="n"/>
      <c r="K736" s="87" t="n"/>
      <c r="L736" s="87" t="n"/>
      <c r="M736" s="87" t="n"/>
      <c r="N736" s="87" t="n"/>
      <c r="O736" s="87" t="n"/>
      <c r="P736" s="87" t="n"/>
      <c r="Q736" s="87" t="n"/>
      <c r="R736" s="87" t="n"/>
      <c r="S736" s="87" t="n"/>
      <c r="T736" s="87" t="n"/>
      <c r="U736" s="87" t="n"/>
      <c r="V736" s="87" t="n"/>
      <c r="W736" s="87" t="n"/>
      <c r="X736" s="87" t="n"/>
      <c r="Y736" s="87" t="n"/>
      <c r="Z736" s="87" t="n"/>
    </row>
    <row r="737" ht="15.75" customHeight="1">
      <c r="A737" s="87" t="n"/>
      <c r="B737" s="87" t="n"/>
      <c r="C737" s="87" t="n"/>
      <c r="D737" s="87" t="n"/>
      <c r="E737" s="87" t="n"/>
      <c r="F737" s="87" t="n"/>
      <c r="G737" s="87" t="n"/>
      <c r="H737" s="87" t="n"/>
      <c r="I737" s="87" t="n"/>
      <c r="J737" s="87" t="n"/>
      <c r="K737" s="87" t="n"/>
      <c r="L737" s="87" t="n"/>
      <c r="M737" s="87" t="n"/>
      <c r="N737" s="87" t="n"/>
      <c r="O737" s="87" t="n"/>
      <c r="P737" s="87" t="n"/>
      <c r="Q737" s="87" t="n"/>
      <c r="R737" s="87" t="n"/>
      <c r="S737" s="87" t="n"/>
      <c r="T737" s="87" t="n"/>
      <c r="U737" s="87" t="n"/>
      <c r="V737" s="87" t="n"/>
      <c r="W737" s="87" t="n"/>
      <c r="X737" s="87" t="n"/>
      <c r="Y737" s="87" t="n"/>
      <c r="Z737" s="87" t="n"/>
    </row>
    <row r="738" ht="15.75" customHeight="1">
      <c r="A738" s="87" t="n"/>
      <c r="B738" s="87" t="n"/>
      <c r="C738" s="87" t="n"/>
      <c r="D738" s="87" t="n"/>
      <c r="E738" s="87" t="n"/>
      <c r="F738" s="87" t="n"/>
      <c r="G738" s="87" t="n"/>
      <c r="H738" s="87" t="n"/>
      <c r="I738" s="87" t="n"/>
      <c r="J738" s="87" t="n"/>
      <c r="K738" s="87" t="n"/>
      <c r="L738" s="87" t="n"/>
      <c r="M738" s="87" t="n"/>
      <c r="N738" s="87" t="n"/>
      <c r="O738" s="87" t="n"/>
      <c r="P738" s="87" t="n"/>
      <c r="Q738" s="87" t="n"/>
      <c r="R738" s="87" t="n"/>
      <c r="S738" s="87" t="n"/>
      <c r="T738" s="87" t="n"/>
      <c r="U738" s="87" t="n"/>
      <c r="V738" s="87" t="n"/>
      <c r="W738" s="87" t="n"/>
      <c r="X738" s="87" t="n"/>
      <c r="Y738" s="87" t="n"/>
      <c r="Z738" s="87" t="n"/>
    </row>
    <row r="739" ht="15.75" customHeight="1">
      <c r="A739" s="87" t="n"/>
      <c r="B739" s="87" t="n"/>
      <c r="C739" s="87" t="n"/>
      <c r="D739" s="87" t="n"/>
      <c r="E739" s="87" t="n"/>
      <c r="F739" s="87" t="n"/>
      <c r="G739" s="87" t="n"/>
      <c r="H739" s="87" t="n"/>
      <c r="I739" s="87" t="n"/>
      <c r="J739" s="87" t="n"/>
      <c r="K739" s="87" t="n"/>
      <c r="L739" s="87" t="n"/>
      <c r="M739" s="87" t="n"/>
      <c r="N739" s="87" t="n"/>
      <c r="O739" s="87" t="n"/>
      <c r="P739" s="87" t="n"/>
      <c r="Q739" s="87" t="n"/>
      <c r="R739" s="87" t="n"/>
      <c r="S739" s="87" t="n"/>
      <c r="T739" s="87" t="n"/>
      <c r="U739" s="87" t="n"/>
      <c r="V739" s="87" t="n"/>
      <c r="W739" s="87" t="n"/>
      <c r="X739" s="87" t="n"/>
      <c r="Y739" s="87" t="n"/>
      <c r="Z739" s="87" t="n"/>
    </row>
    <row r="740" ht="15.75" customHeight="1">
      <c r="A740" s="87" t="n"/>
      <c r="B740" s="87" t="n"/>
      <c r="C740" s="87" t="n"/>
      <c r="D740" s="87" t="n"/>
      <c r="E740" s="87" t="n"/>
      <c r="F740" s="87" t="n"/>
      <c r="G740" s="87" t="n"/>
      <c r="H740" s="87" t="n"/>
      <c r="I740" s="87" t="n"/>
      <c r="J740" s="87" t="n"/>
      <c r="K740" s="87" t="n"/>
      <c r="L740" s="87" t="n"/>
      <c r="M740" s="87" t="n"/>
      <c r="N740" s="87" t="n"/>
      <c r="O740" s="87" t="n"/>
      <c r="P740" s="87" t="n"/>
      <c r="Q740" s="87" t="n"/>
      <c r="R740" s="87" t="n"/>
      <c r="S740" s="87" t="n"/>
      <c r="T740" s="87" t="n"/>
      <c r="U740" s="87" t="n"/>
      <c r="V740" s="87" t="n"/>
      <c r="W740" s="87" t="n"/>
      <c r="X740" s="87" t="n"/>
      <c r="Y740" s="87" t="n"/>
      <c r="Z740" s="87" t="n"/>
    </row>
    <row r="741" ht="15.75" customHeight="1">
      <c r="A741" s="87" t="n"/>
      <c r="B741" s="87" t="n"/>
      <c r="C741" s="87" t="n"/>
      <c r="D741" s="87" t="n"/>
      <c r="E741" s="87" t="n"/>
      <c r="F741" s="87" t="n"/>
      <c r="G741" s="87" t="n"/>
      <c r="H741" s="87" t="n"/>
      <c r="I741" s="87" t="n"/>
      <c r="J741" s="87" t="n"/>
      <c r="K741" s="87" t="n"/>
      <c r="L741" s="87" t="n"/>
      <c r="M741" s="87" t="n"/>
      <c r="N741" s="87" t="n"/>
      <c r="O741" s="87" t="n"/>
      <c r="P741" s="87" t="n"/>
      <c r="Q741" s="87" t="n"/>
      <c r="R741" s="87" t="n"/>
      <c r="S741" s="87" t="n"/>
      <c r="T741" s="87" t="n"/>
      <c r="U741" s="87" t="n"/>
      <c r="V741" s="87" t="n"/>
      <c r="W741" s="87" t="n"/>
      <c r="X741" s="87" t="n"/>
      <c r="Y741" s="87" t="n"/>
      <c r="Z741" s="87" t="n"/>
    </row>
    <row r="742" ht="15.75" customHeight="1">
      <c r="A742" s="87" t="n"/>
      <c r="B742" s="87" t="n"/>
      <c r="C742" s="87" t="n"/>
      <c r="D742" s="87" t="n"/>
      <c r="E742" s="87" t="n"/>
      <c r="F742" s="87" t="n"/>
      <c r="G742" s="87" t="n"/>
      <c r="H742" s="87" t="n"/>
      <c r="I742" s="87" t="n"/>
      <c r="J742" s="87" t="n"/>
      <c r="K742" s="87" t="n"/>
      <c r="L742" s="87" t="n"/>
      <c r="M742" s="87" t="n"/>
      <c r="N742" s="87" t="n"/>
      <c r="O742" s="87" t="n"/>
      <c r="P742" s="87" t="n"/>
      <c r="Q742" s="87" t="n"/>
      <c r="R742" s="87" t="n"/>
      <c r="S742" s="87" t="n"/>
      <c r="T742" s="87" t="n"/>
      <c r="U742" s="87" t="n"/>
      <c r="V742" s="87" t="n"/>
      <c r="W742" s="87" t="n"/>
      <c r="X742" s="87" t="n"/>
      <c r="Y742" s="87" t="n"/>
      <c r="Z742" s="87" t="n"/>
    </row>
    <row r="743" ht="15.75" customHeight="1">
      <c r="A743" s="87" t="n"/>
      <c r="B743" s="87" t="n"/>
      <c r="C743" s="87" t="n"/>
      <c r="D743" s="87" t="n"/>
      <c r="E743" s="87" t="n"/>
      <c r="F743" s="87" t="n"/>
      <c r="G743" s="87" t="n"/>
      <c r="H743" s="87" t="n"/>
      <c r="I743" s="87" t="n"/>
      <c r="J743" s="87" t="n"/>
      <c r="K743" s="87" t="n"/>
      <c r="L743" s="87" t="n"/>
      <c r="M743" s="87" t="n"/>
      <c r="N743" s="87" t="n"/>
      <c r="O743" s="87" t="n"/>
      <c r="P743" s="87" t="n"/>
      <c r="Q743" s="87" t="n"/>
      <c r="R743" s="87" t="n"/>
      <c r="S743" s="87" t="n"/>
      <c r="T743" s="87" t="n"/>
      <c r="U743" s="87" t="n"/>
      <c r="V743" s="87" t="n"/>
      <c r="W743" s="87" t="n"/>
      <c r="X743" s="87" t="n"/>
      <c r="Y743" s="87" t="n"/>
      <c r="Z743" s="87" t="n"/>
    </row>
    <row r="744" ht="15.75" customHeight="1">
      <c r="A744" s="87" t="n"/>
      <c r="B744" s="87" t="n"/>
      <c r="C744" s="87" t="n"/>
      <c r="D744" s="87" t="n"/>
      <c r="E744" s="87" t="n"/>
      <c r="F744" s="87" t="n"/>
      <c r="G744" s="87" t="n"/>
      <c r="H744" s="87" t="n"/>
      <c r="I744" s="87" t="n"/>
      <c r="J744" s="87" t="n"/>
      <c r="K744" s="87" t="n"/>
      <c r="L744" s="87" t="n"/>
      <c r="M744" s="87" t="n"/>
      <c r="N744" s="87" t="n"/>
      <c r="O744" s="87" t="n"/>
      <c r="P744" s="87" t="n"/>
      <c r="Q744" s="87" t="n"/>
      <c r="R744" s="87" t="n"/>
      <c r="S744" s="87" t="n"/>
      <c r="T744" s="87" t="n"/>
      <c r="U744" s="87" t="n"/>
      <c r="V744" s="87" t="n"/>
      <c r="W744" s="87" t="n"/>
      <c r="X744" s="87" t="n"/>
      <c r="Y744" s="87" t="n"/>
      <c r="Z744" s="87" t="n"/>
    </row>
    <row r="745" ht="15.75" customHeight="1">
      <c r="A745" s="87" t="n"/>
      <c r="B745" s="87" t="n"/>
      <c r="C745" s="87" t="n"/>
      <c r="D745" s="87" t="n"/>
      <c r="E745" s="87" t="n"/>
      <c r="F745" s="87" t="n"/>
      <c r="G745" s="87" t="n"/>
      <c r="H745" s="87" t="n"/>
      <c r="I745" s="87" t="n"/>
      <c r="J745" s="87" t="n"/>
      <c r="K745" s="87" t="n"/>
      <c r="L745" s="87" t="n"/>
      <c r="M745" s="87" t="n"/>
      <c r="N745" s="87" t="n"/>
      <c r="O745" s="87" t="n"/>
      <c r="P745" s="87" t="n"/>
      <c r="Q745" s="87" t="n"/>
      <c r="R745" s="87" t="n"/>
      <c r="S745" s="87" t="n"/>
      <c r="T745" s="87" t="n"/>
      <c r="U745" s="87" t="n"/>
      <c r="V745" s="87" t="n"/>
      <c r="W745" s="87" t="n"/>
      <c r="X745" s="87" t="n"/>
      <c r="Y745" s="87" t="n"/>
      <c r="Z745" s="87" t="n"/>
    </row>
    <row r="746" ht="15.75" customHeight="1">
      <c r="A746" s="87" t="n"/>
      <c r="B746" s="87" t="n"/>
      <c r="C746" s="87" t="n"/>
      <c r="D746" s="87" t="n"/>
      <c r="E746" s="87" t="n"/>
      <c r="F746" s="87" t="n"/>
      <c r="G746" s="87" t="n"/>
      <c r="H746" s="87" t="n"/>
      <c r="I746" s="87" t="n"/>
      <c r="J746" s="87" t="n"/>
      <c r="K746" s="87" t="n"/>
      <c r="L746" s="87" t="n"/>
      <c r="M746" s="87" t="n"/>
      <c r="N746" s="87" t="n"/>
      <c r="O746" s="87" t="n"/>
      <c r="P746" s="87" t="n"/>
      <c r="Q746" s="87" t="n"/>
      <c r="R746" s="87" t="n"/>
      <c r="S746" s="87" t="n"/>
      <c r="T746" s="87" t="n"/>
      <c r="U746" s="87" t="n"/>
      <c r="V746" s="87" t="n"/>
      <c r="W746" s="87" t="n"/>
      <c r="X746" s="87" t="n"/>
      <c r="Y746" s="87" t="n"/>
      <c r="Z746" s="87" t="n"/>
    </row>
    <row r="747" ht="15.75" customHeight="1">
      <c r="A747" s="87" t="n"/>
      <c r="B747" s="87" t="n"/>
      <c r="C747" s="87" t="n"/>
      <c r="D747" s="87" t="n"/>
      <c r="E747" s="87" t="n"/>
      <c r="F747" s="87" t="n"/>
      <c r="G747" s="87" t="n"/>
      <c r="H747" s="87" t="n"/>
      <c r="I747" s="87" t="n"/>
      <c r="J747" s="87" t="n"/>
      <c r="K747" s="87" t="n"/>
      <c r="L747" s="87" t="n"/>
      <c r="M747" s="87" t="n"/>
      <c r="N747" s="87" t="n"/>
      <c r="O747" s="87" t="n"/>
      <c r="P747" s="87" t="n"/>
      <c r="Q747" s="87" t="n"/>
      <c r="R747" s="87" t="n"/>
      <c r="S747" s="87" t="n"/>
      <c r="T747" s="87" t="n"/>
      <c r="U747" s="87" t="n"/>
      <c r="V747" s="87" t="n"/>
      <c r="W747" s="87" t="n"/>
      <c r="X747" s="87" t="n"/>
      <c r="Y747" s="87" t="n"/>
      <c r="Z747" s="87" t="n"/>
    </row>
    <row r="748" ht="15.75" customHeight="1">
      <c r="A748" s="87" t="n"/>
      <c r="B748" s="87" t="n"/>
      <c r="C748" s="87" t="n"/>
      <c r="D748" s="87" t="n"/>
      <c r="E748" s="87" t="n"/>
      <c r="F748" s="87" t="n"/>
      <c r="G748" s="87" t="n"/>
      <c r="H748" s="87" t="n"/>
      <c r="I748" s="87" t="n"/>
      <c r="J748" s="87" t="n"/>
      <c r="K748" s="87" t="n"/>
      <c r="L748" s="87" t="n"/>
      <c r="M748" s="87" t="n"/>
      <c r="N748" s="87" t="n"/>
      <c r="O748" s="87" t="n"/>
      <c r="P748" s="87" t="n"/>
      <c r="Q748" s="87" t="n"/>
      <c r="R748" s="87" t="n"/>
      <c r="S748" s="87" t="n"/>
      <c r="T748" s="87" t="n"/>
      <c r="U748" s="87" t="n"/>
      <c r="V748" s="87" t="n"/>
      <c r="W748" s="87" t="n"/>
      <c r="X748" s="87" t="n"/>
      <c r="Y748" s="87" t="n"/>
      <c r="Z748" s="87" t="n"/>
    </row>
    <row r="749" ht="15.75" customHeight="1">
      <c r="A749" s="87" t="n"/>
      <c r="B749" s="87" t="n"/>
      <c r="C749" s="87" t="n"/>
      <c r="D749" s="87" t="n"/>
      <c r="E749" s="87" t="n"/>
      <c r="F749" s="87" t="n"/>
      <c r="G749" s="87" t="n"/>
      <c r="H749" s="87" t="n"/>
      <c r="I749" s="87" t="n"/>
      <c r="J749" s="87" t="n"/>
      <c r="K749" s="87" t="n"/>
      <c r="L749" s="87" t="n"/>
      <c r="M749" s="87" t="n"/>
      <c r="N749" s="87" t="n"/>
      <c r="O749" s="87" t="n"/>
      <c r="P749" s="87" t="n"/>
      <c r="Q749" s="87" t="n"/>
      <c r="R749" s="87" t="n"/>
      <c r="S749" s="87" t="n"/>
      <c r="T749" s="87" t="n"/>
      <c r="U749" s="87" t="n"/>
      <c r="V749" s="87" t="n"/>
      <c r="W749" s="87" t="n"/>
      <c r="X749" s="87" t="n"/>
      <c r="Y749" s="87" t="n"/>
      <c r="Z749" s="87" t="n"/>
    </row>
    <row r="750" ht="15.75" customHeight="1">
      <c r="A750" s="87" t="n"/>
      <c r="B750" s="87" t="n"/>
      <c r="C750" s="87" t="n"/>
      <c r="D750" s="87" t="n"/>
      <c r="E750" s="87" t="n"/>
      <c r="F750" s="87" t="n"/>
      <c r="G750" s="87" t="n"/>
      <c r="H750" s="87" t="n"/>
      <c r="I750" s="87" t="n"/>
      <c r="J750" s="87" t="n"/>
      <c r="K750" s="87" t="n"/>
      <c r="L750" s="87" t="n"/>
      <c r="M750" s="87" t="n"/>
      <c r="N750" s="87" t="n"/>
      <c r="O750" s="87" t="n"/>
      <c r="P750" s="87" t="n"/>
      <c r="Q750" s="87" t="n"/>
      <c r="R750" s="87" t="n"/>
      <c r="S750" s="87" t="n"/>
      <c r="T750" s="87" t="n"/>
      <c r="U750" s="87" t="n"/>
      <c r="V750" s="87" t="n"/>
      <c r="W750" s="87" t="n"/>
      <c r="X750" s="87" t="n"/>
      <c r="Y750" s="87" t="n"/>
      <c r="Z750" s="87" t="n"/>
    </row>
    <row r="751" ht="15.75" customHeight="1">
      <c r="A751" s="87" t="n"/>
      <c r="B751" s="87" t="n"/>
      <c r="C751" s="87" t="n"/>
      <c r="D751" s="87" t="n"/>
      <c r="E751" s="87" t="n"/>
      <c r="F751" s="87" t="n"/>
      <c r="G751" s="87" t="n"/>
      <c r="H751" s="87" t="n"/>
      <c r="I751" s="87" t="n"/>
      <c r="J751" s="87" t="n"/>
      <c r="K751" s="87" t="n"/>
      <c r="L751" s="87" t="n"/>
      <c r="M751" s="87" t="n"/>
      <c r="N751" s="87" t="n"/>
      <c r="O751" s="87" t="n"/>
      <c r="P751" s="87" t="n"/>
      <c r="Q751" s="87" t="n"/>
      <c r="R751" s="87" t="n"/>
      <c r="S751" s="87" t="n"/>
      <c r="T751" s="87" t="n"/>
      <c r="U751" s="87" t="n"/>
      <c r="V751" s="87" t="n"/>
      <c r="W751" s="87" t="n"/>
      <c r="X751" s="87" t="n"/>
      <c r="Y751" s="87" t="n"/>
      <c r="Z751" s="87" t="n"/>
    </row>
    <row r="752" ht="15.75" customHeight="1">
      <c r="A752" s="87" t="n"/>
      <c r="B752" s="87" t="n"/>
      <c r="C752" s="87" t="n"/>
      <c r="D752" s="87" t="n"/>
      <c r="E752" s="87" t="n"/>
      <c r="F752" s="87" t="n"/>
      <c r="G752" s="87" t="n"/>
      <c r="H752" s="87" t="n"/>
      <c r="I752" s="87" t="n"/>
      <c r="J752" s="87" t="n"/>
      <c r="K752" s="87" t="n"/>
      <c r="L752" s="87" t="n"/>
      <c r="M752" s="87" t="n"/>
      <c r="N752" s="87" t="n"/>
      <c r="O752" s="87" t="n"/>
      <c r="P752" s="87" t="n"/>
      <c r="Q752" s="87" t="n"/>
      <c r="R752" s="87" t="n"/>
      <c r="S752" s="87" t="n"/>
      <c r="T752" s="87" t="n"/>
      <c r="U752" s="87" t="n"/>
      <c r="V752" s="87" t="n"/>
      <c r="W752" s="87" t="n"/>
      <c r="X752" s="87" t="n"/>
      <c r="Y752" s="87" t="n"/>
      <c r="Z752" s="87" t="n"/>
    </row>
    <row r="753" ht="15.75" customHeight="1">
      <c r="A753" s="87" t="n"/>
      <c r="B753" s="87" t="n"/>
      <c r="C753" s="87" t="n"/>
      <c r="D753" s="87" t="n"/>
      <c r="E753" s="87" t="n"/>
      <c r="F753" s="87" t="n"/>
      <c r="G753" s="87" t="n"/>
      <c r="H753" s="87" t="n"/>
      <c r="I753" s="87" t="n"/>
      <c r="J753" s="87" t="n"/>
      <c r="K753" s="87" t="n"/>
      <c r="L753" s="87" t="n"/>
      <c r="M753" s="87" t="n"/>
      <c r="N753" s="87" t="n"/>
      <c r="O753" s="87" t="n"/>
      <c r="P753" s="87" t="n"/>
      <c r="Q753" s="87" t="n"/>
      <c r="R753" s="87" t="n"/>
      <c r="S753" s="87" t="n"/>
      <c r="T753" s="87" t="n"/>
      <c r="U753" s="87" t="n"/>
      <c r="V753" s="87" t="n"/>
      <c r="W753" s="87" t="n"/>
      <c r="X753" s="87" t="n"/>
      <c r="Y753" s="87" t="n"/>
      <c r="Z753" s="87" t="n"/>
    </row>
    <row r="754" ht="15.75" customHeight="1">
      <c r="A754" s="87" t="n"/>
      <c r="B754" s="87" t="n"/>
      <c r="C754" s="87" t="n"/>
      <c r="D754" s="87" t="n"/>
      <c r="E754" s="87" t="n"/>
      <c r="F754" s="87" t="n"/>
      <c r="G754" s="87" t="n"/>
      <c r="H754" s="87" t="n"/>
      <c r="I754" s="87" t="n"/>
      <c r="J754" s="87" t="n"/>
      <c r="K754" s="87" t="n"/>
      <c r="L754" s="87" t="n"/>
      <c r="M754" s="87" t="n"/>
      <c r="N754" s="87" t="n"/>
      <c r="O754" s="87" t="n"/>
      <c r="P754" s="87" t="n"/>
      <c r="Q754" s="87" t="n"/>
      <c r="R754" s="87" t="n"/>
      <c r="S754" s="87" t="n"/>
      <c r="T754" s="87" t="n"/>
      <c r="U754" s="87" t="n"/>
      <c r="V754" s="87" t="n"/>
      <c r="W754" s="87" t="n"/>
      <c r="X754" s="87" t="n"/>
      <c r="Y754" s="87" t="n"/>
      <c r="Z754" s="87" t="n"/>
    </row>
    <row r="755" ht="15.75" customHeight="1">
      <c r="A755" s="87" t="n"/>
      <c r="B755" s="87" t="n"/>
      <c r="C755" s="87" t="n"/>
      <c r="D755" s="87" t="n"/>
      <c r="E755" s="87" t="n"/>
      <c r="F755" s="87" t="n"/>
      <c r="G755" s="87" t="n"/>
      <c r="H755" s="87" t="n"/>
      <c r="I755" s="87" t="n"/>
      <c r="J755" s="87" t="n"/>
      <c r="K755" s="87" t="n"/>
      <c r="L755" s="87" t="n"/>
      <c r="M755" s="87" t="n"/>
      <c r="N755" s="87" t="n"/>
      <c r="O755" s="87" t="n"/>
      <c r="P755" s="87" t="n"/>
      <c r="Q755" s="87" t="n"/>
      <c r="R755" s="87" t="n"/>
      <c r="S755" s="87" t="n"/>
      <c r="T755" s="87" t="n"/>
      <c r="U755" s="87" t="n"/>
      <c r="V755" s="87" t="n"/>
      <c r="W755" s="87" t="n"/>
      <c r="X755" s="87" t="n"/>
      <c r="Y755" s="87" t="n"/>
      <c r="Z755" s="87" t="n"/>
    </row>
    <row r="756" ht="15.75" customHeight="1">
      <c r="A756" s="87" t="n"/>
      <c r="B756" s="87" t="n"/>
      <c r="C756" s="87" t="n"/>
      <c r="D756" s="87" t="n"/>
      <c r="E756" s="87" t="n"/>
      <c r="F756" s="87" t="n"/>
      <c r="G756" s="87" t="n"/>
      <c r="H756" s="87" t="n"/>
      <c r="I756" s="87" t="n"/>
      <c r="J756" s="87" t="n"/>
      <c r="K756" s="87" t="n"/>
      <c r="L756" s="87" t="n"/>
      <c r="M756" s="87" t="n"/>
      <c r="N756" s="87" t="n"/>
      <c r="O756" s="87" t="n"/>
      <c r="P756" s="87" t="n"/>
      <c r="Q756" s="87" t="n"/>
      <c r="R756" s="87" t="n"/>
      <c r="S756" s="87" t="n"/>
      <c r="T756" s="87" t="n"/>
      <c r="U756" s="87" t="n"/>
      <c r="V756" s="87" t="n"/>
      <c r="W756" s="87" t="n"/>
      <c r="X756" s="87" t="n"/>
      <c r="Y756" s="87" t="n"/>
      <c r="Z756" s="87" t="n"/>
    </row>
    <row r="757" ht="15.75" customHeight="1">
      <c r="A757" s="87" t="n"/>
      <c r="B757" s="87" t="n"/>
      <c r="C757" s="87" t="n"/>
      <c r="D757" s="87" t="n"/>
      <c r="E757" s="87" t="n"/>
      <c r="F757" s="87" t="n"/>
      <c r="G757" s="87" t="n"/>
      <c r="H757" s="87" t="n"/>
      <c r="I757" s="87" t="n"/>
      <c r="J757" s="87" t="n"/>
      <c r="K757" s="87" t="n"/>
      <c r="L757" s="87" t="n"/>
      <c r="M757" s="87" t="n"/>
      <c r="N757" s="87" t="n"/>
      <c r="O757" s="87" t="n"/>
      <c r="P757" s="87" t="n"/>
      <c r="Q757" s="87" t="n"/>
      <c r="R757" s="87" t="n"/>
      <c r="S757" s="87" t="n"/>
      <c r="T757" s="87" t="n"/>
      <c r="U757" s="87" t="n"/>
      <c r="V757" s="87" t="n"/>
      <c r="W757" s="87" t="n"/>
      <c r="X757" s="87" t="n"/>
      <c r="Y757" s="87" t="n"/>
      <c r="Z757" s="87" t="n"/>
    </row>
    <row r="758" ht="15.75" customHeight="1">
      <c r="A758" s="87" t="n"/>
      <c r="B758" s="87" t="n"/>
      <c r="C758" s="87" t="n"/>
      <c r="D758" s="87" t="n"/>
      <c r="E758" s="87" t="n"/>
      <c r="F758" s="87" t="n"/>
      <c r="G758" s="87" t="n"/>
      <c r="H758" s="87" t="n"/>
      <c r="I758" s="87" t="n"/>
      <c r="J758" s="87" t="n"/>
      <c r="K758" s="87" t="n"/>
      <c r="L758" s="87" t="n"/>
      <c r="M758" s="87" t="n"/>
      <c r="N758" s="87" t="n"/>
      <c r="O758" s="87" t="n"/>
      <c r="P758" s="87" t="n"/>
      <c r="Q758" s="87" t="n"/>
      <c r="R758" s="87" t="n"/>
      <c r="S758" s="87" t="n"/>
      <c r="T758" s="87" t="n"/>
      <c r="U758" s="87" t="n"/>
      <c r="V758" s="87" t="n"/>
      <c r="W758" s="87" t="n"/>
      <c r="X758" s="87" t="n"/>
      <c r="Y758" s="87" t="n"/>
      <c r="Z758" s="87" t="n"/>
    </row>
    <row r="759" ht="15.75" customHeight="1">
      <c r="A759" s="87" t="n"/>
      <c r="B759" s="87" t="n"/>
      <c r="C759" s="87" t="n"/>
      <c r="D759" s="87" t="n"/>
      <c r="E759" s="87" t="n"/>
      <c r="F759" s="87" t="n"/>
      <c r="G759" s="87" t="n"/>
      <c r="H759" s="87" t="n"/>
      <c r="I759" s="87" t="n"/>
      <c r="J759" s="87" t="n"/>
      <c r="K759" s="87" t="n"/>
      <c r="L759" s="87" t="n"/>
      <c r="M759" s="87" t="n"/>
      <c r="N759" s="87" t="n"/>
      <c r="O759" s="87" t="n"/>
      <c r="P759" s="87" t="n"/>
      <c r="Q759" s="87" t="n"/>
      <c r="R759" s="87" t="n"/>
      <c r="S759" s="87" t="n"/>
      <c r="T759" s="87" t="n"/>
      <c r="U759" s="87" t="n"/>
      <c r="V759" s="87" t="n"/>
      <c r="W759" s="87" t="n"/>
      <c r="X759" s="87" t="n"/>
      <c r="Y759" s="87" t="n"/>
      <c r="Z759" s="87" t="n"/>
    </row>
    <row r="760" ht="15.75" customHeight="1">
      <c r="A760" s="87" t="n"/>
      <c r="B760" s="87" t="n"/>
      <c r="C760" s="87" t="n"/>
      <c r="D760" s="87" t="n"/>
      <c r="E760" s="87" t="n"/>
      <c r="F760" s="87" t="n"/>
      <c r="G760" s="87" t="n"/>
      <c r="H760" s="87" t="n"/>
      <c r="I760" s="87" t="n"/>
      <c r="J760" s="87" t="n"/>
      <c r="K760" s="87" t="n"/>
      <c r="L760" s="87" t="n"/>
      <c r="M760" s="87" t="n"/>
      <c r="N760" s="87" t="n"/>
      <c r="O760" s="87" t="n"/>
      <c r="P760" s="87" t="n"/>
      <c r="Q760" s="87" t="n"/>
      <c r="R760" s="87" t="n"/>
      <c r="S760" s="87" t="n"/>
      <c r="T760" s="87" t="n"/>
      <c r="U760" s="87" t="n"/>
      <c r="V760" s="87" t="n"/>
      <c r="W760" s="87" t="n"/>
      <c r="X760" s="87" t="n"/>
      <c r="Y760" s="87" t="n"/>
      <c r="Z760" s="87" t="n"/>
    </row>
    <row r="761" ht="15.75" customHeight="1">
      <c r="A761" s="87" t="n"/>
      <c r="B761" s="87" t="n"/>
      <c r="C761" s="87" t="n"/>
      <c r="D761" s="87" t="n"/>
      <c r="E761" s="87" t="n"/>
      <c r="F761" s="87" t="n"/>
      <c r="G761" s="87" t="n"/>
      <c r="H761" s="87" t="n"/>
      <c r="I761" s="87" t="n"/>
      <c r="J761" s="87" t="n"/>
      <c r="K761" s="87" t="n"/>
      <c r="L761" s="87" t="n"/>
      <c r="M761" s="87" t="n"/>
      <c r="N761" s="87" t="n"/>
      <c r="O761" s="87" t="n"/>
      <c r="P761" s="87" t="n"/>
      <c r="Q761" s="87" t="n"/>
      <c r="R761" s="87" t="n"/>
      <c r="S761" s="87" t="n"/>
      <c r="T761" s="87" t="n"/>
      <c r="U761" s="87" t="n"/>
      <c r="V761" s="87" t="n"/>
      <c r="W761" s="87" t="n"/>
      <c r="X761" s="87" t="n"/>
      <c r="Y761" s="87" t="n"/>
      <c r="Z761" s="87" t="n"/>
    </row>
    <row r="762" ht="15.75" customHeight="1">
      <c r="A762" s="87" t="n"/>
      <c r="B762" s="87" t="n"/>
      <c r="C762" s="87" t="n"/>
      <c r="D762" s="87" t="n"/>
      <c r="E762" s="87" t="n"/>
      <c r="F762" s="87" t="n"/>
      <c r="G762" s="87" t="n"/>
      <c r="H762" s="87" t="n"/>
      <c r="I762" s="87" t="n"/>
      <c r="J762" s="87" t="n"/>
      <c r="K762" s="87" t="n"/>
      <c r="L762" s="87" t="n"/>
      <c r="M762" s="87" t="n"/>
      <c r="N762" s="87" t="n"/>
      <c r="O762" s="87" t="n"/>
      <c r="P762" s="87" t="n"/>
      <c r="Q762" s="87" t="n"/>
      <c r="R762" s="87" t="n"/>
      <c r="S762" s="87" t="n"/>
      <c r="T762" s="87" t="n"/>
      <c r="U762" s="87" t="n"/>
      <c r="V762" s="87" t="n"/>
      <c r="W762" s="87" t="n"/>
      <c r="X762" s="87" t="n"/>
      <c r="Y762" s="87" t="n"/>
      <c r="Z762" s="87" t="n"/>
    </row>
    <row r="763" ht="15.75" customHeight="1">
      <c r="A763" s="87" t="n"/>
      <c r="B763" s="87" t="n"/>
      <c r="C763" s="87" t="n"/>
      <c r="D763" s="87" t="n"/>
      <c r="E763" s="87" t="n"/>
      <c r="F763" s="87" t="n"/>
      <c r="G763" s="87" t="n"/>
      <c r="H763" s="87" t="n"/>
      <c r="I763" s="87" t="n"/>
      <c r="J763" s="87" t="n"/>
      <c r="K763" s="87" t="n"/>
      <c r="L763" s="87" t="n"/>
      <c r="M763" s="87" t="n"/>
      <c r="N763" s="87" t="n"/>
      <c r="O763" s="87" t="n"/>
      <c r="P763" s="87" t="n"/>
      <c r="Q763" s="87" t="n"/>
      <c r="R763" s="87" t="n"/>
      <c r="S763" s="87" t="n"/>
      <c r="T763" s="87" t="n"/>
      <c r="U763" s="87" t="n"/>
      <c r="V763" s="87" t="n"/>
      <c r="W763" s="87" t="n"/>
      <c r="X763" s="87" t="n"/>
      <c r="Y763" s="87" t="n"/>
      <c r="Z763" s="87" t="n"/>
    </row>
    <row r="764" ht="15.75" customHeight="1">
      <c r="A764" s="87" t="n"/>
      <c r="B764" s="87" t="n"/>
      <c r="C764" s="87" t="n"/>
      <c r="D764" s="87" t="n"/>
      <c r="E764" s="87" t="n"/>
      <c r="F764" s="87" t="n"/>
      <c r="G764" s="87" t="n"/>
      <c r="H764" s="87" t="n"/>
      <c r="I764" s="87" t="n"/>
      <c r="J764" s="87" t="n"/>
      <c r="K764" s="87" t="n"/>
      <c r="L764" s="87" t="n"/>
      <c r="M764" s="87" t="n"/>
      <c r="N764" s="87" t="n"/>
      <c r="O764" s="87" t="n"/>
      <c r="P764" s="87" t="n"/>
      <c r="Q764" s="87" t="n"/>
      <c r="R764" s="87" t="n"/>
      <c r="S764" s="87" t="n"/>
      <c r="T764" s="87" t="n"/>
      <c r="U764" s="87" t="n"/>
      <c r="V764" s="87" t="n"/>
      <c r="W764" s="87" t="n"/>
      <c r="X764" s="87" t="n"/>
      <c r="Y764" s="87" t="n"/>
      <c r="Z764" s="87" t="n"/>
    </row>
    <row r="765" ht="15.75" customHeight="1">
      <c r="A765" s="87" t="n"/>
      <c r="B765" s="87" t="n"/>
      <c r="C765" s="87" t="n"/>
      <c r="D765" s="87" t="n"/>
      <c r="E765" s="87" t="n"/>
      <c r="F765" s="87" t="n"/>
      <c r="G765" s="87" t="n"/>
      <c r="H765" s="87" t="n"/>
      <c r="I765" s="87" t="n"/>
      <c r="J765" s="87" t="n"/>
      <c r="K765" s="87" t="n"/>
      <c r="L765" s="87" t="n"/>
      <c r="M765" s="87" t="n"/>
      <c r="N765" s="87" t="n"/>
      <c r="O765" s="87" t="n"/>
      <c r="P765" s="87" t="n"/>
      <c r="Q765" s="87" t="n"/>
      <c r="R765" s="87" t="n"/>
      <c r="S765" s="87" t="n"/>
      <c r="T765" s="87" t="n"/>
      <c r="U765" s="87" t="n"/>
      <c r="V765" s="87" t="n"/>
      <c r="W765" s="87" t="n"/>
      <c r="X765" s="87" t="n"/>
      <c r="Y765" s="87" t="n"/>
      <c r="Z765" s="87" t="n"/>
    </row>
    <row r="766" ht="15.75" customHeight="1">
      <c r="A766" s="87" t="n"/>
      <c r="B766" s="87" t="n"/>
      <c r="C766" s="87" t="n"/>
      <c r="D766" s="87" t="n"/>
      <c r="E766" s="87" t="n"/>
      <c r="F766" s="87" t="n"/>
      <c r="G766" s="87" t="n"/>
      <c r="H766" s="87" t="n"/>
      <c r="I766" s="87" t="n"/>
      <c r="J766" s="87" t="n"/>
      <c r="K766" s="87" t="n"/>
      <c r="L766" s="87" t="n"/>
      <c r="M766" s="87" t="n"/>
      <c r="N766" s="87" t="n"/>
      <c r="O766" s="87" t="n"/>
      <c r="P766" s="87" t="n"/>
      <c r="Q766" s="87" t="n"/>
      <c r="R766" s="87" t="n"/>
      <c r="S766" s="87" t="n"/>
      <c r="T766" s="87" t="n"/>
      <c r="U766" s="87" t="n"/>
      <c r="V766" s="87" t="n"/>
      <c r="W766" s="87" t="n"/>
      <c r="X766" s="87" t="n"/>
      <c r="Y766" s="87" t="n"/>
      <c r="Z766" s="87" t="n"/>
    </row>
    <row r="767" ht="15.75" customHeight="1">
      <c r="A767" s="87" t="n"/>
      <c r="B767" s="87" t="n"/>
      <c r="C767" s="87" t="n"/>
      <c r="D767" s="87" t="n"/>
      <c r="E767" s="87" t="n"/>
      <c r="F767" s="87" t="n"/>
      <c r="G767" s="87" t="n"/>
      <c r="H767" s="87" t="n"/>
      <c r="I767" s="87" t="n"/>
      <c r="J767" s="87" t="n"/>
      <c r="K767" s="87" t="n"/>
      <c r="L767" s="87" t="n"/>
      <c r="M767" s="87" t="n"/>
      <c r="N767" s="87" t="n"/>
      <c r="O767" s="87" t="n"/>
      <c r="P767" s="87" t="n"/>
      <c r="Q767" s="87" t="n"/>
      <c r="R767" s="87" t="n"/>
      <c r="S767" s="87" t="n"/>
      <c r="T767" s="87" t="n"/>
      <c r="U767" s="87" t="n"/>
      <c r="V767" s="87" t="n"/>
      <c r="W767" s="87" t="n"/>
      <c r="X767" s="87" t="n"/>
      <c r="Y767" s="87" t="n"/>
      <c r="Z767" s="87" t="n"/>
    </row>
    <row r="768" ht="15.75" customHeight="1">
      <c r="A768" s="87" t="n"/>
      <c r="B768" s="87" t="n"/>
      <c r="C768" s="87" t="n"/>
      <c r="D768" s="87" t="n"/>
      <c r="E768" s="87" t="n"/>
      <c r="F768" s="87" t="n"/>
      <c r="G768" s="87" t="n"/>
      <c r="H768" s="87" t="n"/>
      <c r="I768" s="87" t="n"/>
      <c r="J768" s="87" t="n"/>
      <c r="K768" s="87" t="n"/>
      <c r="L768" s="87" t="n"/>
      <c r="M768" s="87" t="n"/>
      <c r="N768" s="87" t="n"/>
      <c r="O768" s="87" t="n"/>
      <c r="P768" s="87" t="n"/>
      <c r="Q768" s="87" t="n"/>
      <c r="R768" s="87" t="n"/>
      <c r="S768" s="87" t="n"/>
      <c r="T768" s="87" t="n"/>
      <c r="U768" s="87" t="n"/>
      <c r="V768" s="87" t="n"/>
      <c r="W768" s="87" t="n"/>
      <c r="X768" s="87" t="n"/>
      <c r="Y768" s="87" t="n"/>
      <c r="Z768" s="87" t="n"/>
    </row>
    <row r="769" ht="15.75" customHeight="1">
      <c r="A769" s="87" t="n"/>
      <c r="B769" s="87" t="n"/>
      <c r="C769" s="87" t="n"/>
      <c r="D769" s="87" t="n"/>
      <c r="E769" s="87" t="n"/>
      <c r="F769" s="87" t="n"/>
      <c r="G769" s="87" t="n"/>
      <c r="H769" s="87" t="n"/>
      <c r="I769" s="87" t="n"/>
      <c r="J769" s="87" t="n"/>
      <c r="K769" s="87" t="n"/>
      <c r="L769" s="87" t="n"/>
      <c r="M769" s="87" t="n"/>
      <c r="N769" s="87" t="n"/>
      <c r="O769" s="87" t="n"/>
      <c r="P769" s="87" t="n"/>
      <c r="Q769" s="87" t="n"/>
      <c r="R769" s="87" t="n"/>
      <c r="S769" s="87" t="n"/>
      <c r="T769" s="87" t="n"/>
      <c r="U769" s="87" t="n"/>
      <c r="V769" s="87" t="n"/>
      <c r="W769" s="87" t="n"/>
      <c r="X769" s="87" t="n"/>
      <c r="Y769" s="87" t="n"/>
      <c r="Z769" s="87" t="n"/>
    </row>
    <row r="770" ht="15.75" customHeight="1">
      <c r="A770" s="87" t="n"/>
      <c r="B770" s="87" t="n"/>
      <c r="C770" s="87" t="n"/>
      <c r="D770" s="87" t="n"/>
      <c r="E770" s="87" t="n"/>
      <c r="F770" s="87" t="n"/>
      <c r="G770" s="87" t="n"/>
      <c r="H770" s="87" t="n"/>
      <c r="I770" s="87" t="n"/>
      <c r="J770" s="87" t="n"/>
      <c r="K770" s="87" t="n"/>
      <c r="L770" s="87" t="n"/>
      <c r="M770" s="87" t="n"/>
      <c r="N770" s="87" t="n"/>
      <c r="O770" s="87" t="n"/>
      <c r="P770" s="87" t="n"/>
      <c r="Q770" s="87" t="n"/>
      <c r="R770" s="87" t="n"/>
      <c r="S770" s="87" t="n"/>
      <c r="T770" s="87" t="n"/>
      <c r="U770" s="87" t="n"/>
      <c r="V770" s="87" t="n"/>
      <c r="W770" s="87" t="n"/>
      <c r="X770" s="87" t="n"/>
      <c r="Y770" s="87" t="n"/>
      <c r="Z770" s="87" t="n"/>
    </row>
    <row r="771" ht="15.75" customHeight="1">
      <c r="A771" s="87" t="n"/>
      <c r="B771" s="87" t="n"/>
      <c r="C771" s="87" t="n"/>
      <c r="D771" s="87" t="n"/>
      <c r="E771" s="87" t="n"/>
      <c r="F771" s="87" t="n"/>
      <c r="G771" s="87" t="n"/>
      <c r="H771" s="87" t="n"/>
      <c r="I771" s="87" t="n"/>
      <c r="J771" s="87" t="n"/>
      <c r="K771" s="87" t="n"/>
      <c r="L771" s="87" t="n"/>
      <c r="M771" s="87" t="n"/>
      <c r="N771" s="87" t="n"/>
      <c r="O771" s="87" t="n"/>
      <c r="P771" s="87" t="n"/>
      <c r="Q771" s="87" t="n"/>
      <c r="R771" s="87" t="n"/>
      <c r="S771" s="87" t="n"/>
      <c r="T771" s="87" t="n"/>
      <c r="U771" s="87" t="n"/>
      <c r="V771" s="87" t="n"/>
      <c r="W771" s="87" t="n"/>
      <c r="X771" s="87" t="n"/>
      <c r="Y771" s="87" t="n"/>
      <c r="Z771" s="87" t="n"/>
    </row>
    <row r="772" ht="15.75" customHeight="1">
      <c r="A772" s="87" t="n"/>
      <c r="B772" s="87" t="n"/>
      <c r="C772" s="87" t="n"/>
      <c r="D772" s="87" t="n"/>
      <c r="E772" s="87" t="n"/>
      <c r="F772" s="87" t="n"/>
      <c r="G772" s="87" t="n"/>
      <c r="H772" s="87" t="n"/>
      <c r="I772" s="87" t="n"/>
      <c r="J772" s="87" t="n"/>
      <c r="K772" s="87" t="n"/>
      <c r="L772" s="87" t="n"/>
      <c r="M772" s="87" t="n"/>
      <c r="N772" s="87" t="n"/>
      <c r="O772" s="87" t="n"/>
      <c r="P772" s="87" t="n"/>
      <c r="Q772" s="87" t="n"/>
      <c r="R772" s="87" t="n"/>
      <c r="S772" s="87" t="n"/>
      <c r="T772" s="87" t="n"/>
      <c r="U772" s="87" t="n"/>
      <c r="V772" s="87" t="n"/>
      <c r="W772" s="87" t="n"/>
      <c r="X772" s="87" t="n"/>
      <c r="Y772" s="87" t="n"/>
      <c r="Z772" s="87" t="n"/>
    </row>
    <row r="773" ht="15.75" customHeight="1">
      <c r="A773" s="87" t="n"/>
      <c r="B773" s="87" t="n"/>
      <c r="C773" s="87" t="n"/>
      <c r="D773" s="87" t="n"/>
      <c r="E773" s="87" t="n"/>
      <c r="F773" s="87" t="n"/>
      <c r="G773" s="87" t="n"/>
      <c r="H773" s="87" t="n"/>
      <c r="I773" s="87" t="n"/>
      <c r="J773" s="87" t="n"/>
      <c r="K773" s="87" t="n"/>
      <c r="L773" s="87" t="n"/>
      <c r="M773" s="87" t="n"/>
      <c r="N773" s="87" t="n"/>
      <c r="O773" s="87" t="n"/>
      <c r="P773" s="87" t="n"/>
      <c r="Q773" s="87" t="n"/>
      <c r="R773" s="87" t="n"/>
      <c r="S773" s="87" t="n"/>
      <c r="T773" s="87" t="n"/>
      <c r="U773" s="87" t="n"/>
      <c r="V773" s="87" t="n"/>
      <c r="W773" s="87" t="n"/>
      <c r="X773" s="87" t="n"/>
      <c r="Y773" s="87" t="n"/>
      <c r="Z773" s="87" t="n"/>
    </row>
    <row r="774" ht="15.75" customHeight="1">
      <c r="A774" s="87" t="n"/>
      <c r="B774" s="87" t="n"/>
      <c r="C774" s="87" t="n"/>
      <c r="D774" s="87" t="n"/>
      <c r="E774" s="87" t="n"/>
      <c r="F774" s="87" t="n"/>
      <c r="G774" s="87" t="n"/>
      <c r="H774" s="87" t="n"/>
      <c r="I774" s="87" t="n"/>
      <c r="J774" s="87" t="n"/>
      <c r="K774" s="87" t="n"/>
      <c r="L774" s="87" t="n"/>
      <c r="M774" s="87" t="n"/>
      <c r="N774" s="87" t="n"/>
      <c r="O774" s="87" t="n"/>
      <c r="P774" s="87" t="n"/>
      <c r="Q774" s="87" t="n"/>
      <c r="R774" s="87" t="n"/>
      <c r="S774" s="87" t="n"/>
      <c r="T774" s="87" t="n"/>
      <c r="U774" s="87" t="n"/>
      <c r="V774" s="87" t="n"/>
      <c r="W774" s="87" t="n"/>
      <c r="X774" s="87" t="n"/>
      <c r="Y774" s="87" t="n"/>
      <c r="Z774" s="87" t="n"/>
    </row>
    <row r="775" ht="15.75" customHeight="1">
      <c r="A775" s="87" t="n"/>
      <c r="B775" s="87" t="n"/>
      <c r="C775" s="87" t="n"/>
      <c r="D775" s="87" t="n"/>
      <c r="E775" s="87" t="n"/>
      <c r="F775" s="87" t="n"/>
      <c r="G775" s="87" t="n"/>
      <c r="H775" s="87" t="n"/>
      <c r="I775" s="87" t="n"/>
      <c r="J775" s="87" t="n"/>
      <c r="K775" s="87" t="n"/>
      <c r="L775" s="87" t="n"/>
      <c r="M775" s="87" t="n"/>
      <c r="N775" s="87" t="n"/>
      <c r="O775" s="87" t="n"/>
      <c r="P775" s="87" t="n"/>
      <c r="Q775" s="87" t="n"/>
      <c r="R775" s="87" t="n"/>
      <c r="S775" s="87" t="n"/>
      <c r="T775" s="87" t="n"/>
      <c r="U775" s="87" t="n"/>
      <c r="V775" s="87" t="n"/>
      <c r="W775" s="87" t="n"/>
      <c r="X775" s="87" t="n"/>
      <c r="Y775" s="87" t="n"/>
      <c r="Z775" s="87" t="n"/>
    </row>
    <row r="776" ht="15.75" customHeight="1">
      <c r="A776" s="87" t="n"/>
      <c r="B776" s="87" t="n"/>
      <c r="C776" s="87" t="n"/>
      <c r="D776" s="87" t="n"/>
      <c r="E776" s="87" t="n"/>
      <c r="F776" s="87" t="n"/>
      <c r="G776" s="87" t="n"/>
      <c r="H776" s="87" t="n"/>
      <c r="I776" s="87" t="n"/>
      <c r="J776" s="87" t="n"/>
      <c r="K776" s="87" t="n"/>
      <c r="L776" s="87" t="n"/>
      <c r="M776" s="87" t="n"/>
      <c r="N776" s="87" t="n"/>
      <c r="O776" s="87" t="n"/>
      <c r="P776" s="87" t="n"/>
      <c r="Q776" s="87" t="n"/>
      <c r="R776" s="87" t="n"/>
      <c r="S776" s="87" t="n"/>
      <c r="T776" s="87" t="n"/>
      <c r="U776" s="87" t="n"/>
      <c r="V776" s="87" t="n"/>
      <c r="W776" s="87" t="n"/>
      <c r="X776" s="87" t="n"/>
      <c r="Y776" s="87" t="n"/>
      <c r="Z776" s="87" t="n"/>
    </row>
    <row r="777" ht="15.75" customHeight="1">
      <c r="A777" s="87" t="n"/>
      <c r="B777" s="87" t="n"/>
      <c r="C777" s="87" t="n"/>
      <c r="D777" s="87" t="n"/>
      <c r="E777" s="87" t="n"/>
      <c r="F777" s="87" t="n"/>
      <c r="G777" s="87" t="n"/>
      <c r="H777" s="87" t="n"/>
      <c r="I777" s="87" t="n"/>
      <c r="J777" s="87" t="n"/>
      <c r="K777" s="87" t="n"/>
      <c r="L777" s="87" t="n"/>
      <c r="M777" s="87" t="n"/>
      <c r="N777" s="87" t="n"/>
      <c r="O777" s="87" t="n"/>
      <c r="P777" s="87" t="n"/>
      <c r="Q777" s="87" t="n"/>
      <c r="R777" s="87" t="n"/>
      <c r="S777" s="87" t="n"/>
      <c r="T777" s="87" t="n"/>
      <c r="U777" s="87" t="n"/>
      <c r="V777" s="87" t="n"/>
      <c r="W777" s="87" t="n"/>
      <c r="X777" s="87" t="n"/>
      <c r="Y777" s="87" t="n"/>
      <c r="Z777" s="87" t="n"/>
    </row>
    <row r="778" ht="15.75" customHeight="1">
      <c r="A778" s="87" t="n"/>
      <c r="B778" s="87" t="n"/>
      <c r="C778" s="87" t="n"/>
      <c r="D778" s="87" t="n"/>
      <c r="E778" s="87" t="n"/>
      <c r="F778" s="87" t="n"/>
      <c r="G778" s="87" t="n"/>
      <c r="H778" s="87" t="n"/>
      <c r="I778" s="87" t="n"/>
      <c r="J778" s="87" t="n"/>
      <c r="K778" s="87" t="n"/>
      <c r="L778" s="87" t="n"/>
      <c r="M778" s="87" t="n"/>
      <c r="N778" s="87" t="n"/>
      <c r="O778" s="87" t="n"/>
      <c r="P778" s="87" t="n"/>
      <c r="Q778" s="87" t="n"/>
      <c r="R778" s="87" t="n"/>
      <c r="S778" s="87" t="n"/>
      <c r="T778" s="87" t="n"/>
      <c r="U778" s="87" t="n"/>
      <c r="V778" s="87" t="n"/>
      <c r="W778" s="87" t="n"/>
      <c r="X778" s="87" t="n"/>
      <c r="Y778" s="87" t="n"/>
      <c r="Z778" s="87" t="n"/>
    </row>
    <row r="779" ht="15.75" customHeight="1">
      <c r="A779" s="87" t="n"/>
      <c r="B779" s="87" t="n"/>
      <c r="C779" s="87" t="n"/>
      <c r="D779" s="87" t="n"/>
      <c r="E779" s="87" t="n"/>
      <c r="F779" s="87" t="n"/>
      <c r="G779" s="87" t="n"/>
      <c r="H779" s="87" t="n"/>
      <c r="I779" s="87" t="n"/>
      <c r="J779" s="87" t="n"/>
      <c r="K779" s="87" t="n"/>
      <c r="L779" s="87" t="n"/>
      <c r="M779" s="87" t="n"/>
      <c r="N779" s="87" t="n"/>
      <c r="O779" s="87" t="n"/>
      <c r="P779" s="87" t="n"/>
      <c r="Q779" s="87" t="n"/>
      <c r="R779" s="87" t="n"/>
      <c r="S779" s="87" t="n"/>
      <c r="T779" s="87" t="n"/>
      <c r="U779" s="87" t="n"/>
      <c r="V779" s="87" t="n"/>
      <c r="W779" s="87" t="n"/>
      <c r="X779" s="87" t="n"/>
      <c r="Y779" s="87" t="n"/>
      <c r="Z779" s="87" t="n"/>
    </row>
    <row r="780" ht="15.75" customHeight="1">
      <c r="A780" s="87" t="n"/>
      <c r="B780" s="87" t="n"/>
      <c r="C780" s="87" t="n"/>
      <c r="D780" s="87" t="n"/>
      <c r="E780" s="87" t="n"/>
      <c r="F780" s="87" t="n"/>
      <c r="G780" s="87" t="n"/>
      <c r="H780" s="87" t="n"/>
      <c r="I780" s="87" t="n"/>
      <c r="J780" s="87" t="n"/>
      <c r="K780" s="87" t="n"/>
      <c r="L780" s="87" t="n"/>
      <c r="M780" s="87" t="n"/>
      <c r="N780" s="87" t="n"/>
      <c r="O780" s="87" t="n"/>
      <c r="P780" s="87" t="n"/>
      <c r="Q780" s="87" t="n"/>
      <c r="R780" s="87" t="n"/>
      <c r="S780" s="87" t="n"/>
      <c r="T780" s="87" t="n"/>
      <c r="U780" s="87" t="n"/>
      <c r="V780" s="87" t="n"/>
      <c r="W780" s="87" t="n"/>
      <c r="X780" s="87" t="n"/>
      <c r="Y780" s="87" t="n"/>
      <c r="Z780" s="87" t="n"/>
    </row>
    <row r="781" ht="15.75" customHeight="1">
      <c r="A781" s="87" t="n"/>
      <c r="B781" s="87" t="n"/>
      <c r="C781" s="87" t="n"/>
      <c r="D781" s="87" t="n"/>
      <c r="E781" s="87" t="n"/>
      <c r="F781" s="87" t="n"/>
      <c r="G781" s="87" t="n"/>
      <c r="H781" s="87" t="n"/>
      <c r="I781" s="87" t="n"/>
      <c r="J781" s="87" t="n"/>
      <c r="K781" s="87" t="n"/>
      <c r="L781" s="87" t="n"/>
      <c r="M781" s="87" t="n"/>
      <c r="N781" s="87" t="n"/>
      <c r="O781" s="87" t="n"/>
      <c r="P781" s="87" t="n"/>
      <c r="Q781" s="87" t="n"/>
      <c r="R781" s="87" t="n"/>
      <c r="S781" s="87" t="n"/>
      <c r="T781" s="87" t="n"/>
      <c r="U781" s="87" t="n"/>
      <c r="V781" s="87" t="n"/>
      <c r="W781" s="87" t="n"/>
      <c r="X781" s="87" t="n"/>
      <c r="Y781" s="87" t="n"/>
      <c r="Z781" s="87" t="n"/>
    </row>
    <row r="782" ht="15.75" customHeight="1">
      <c r="A782" s="87" t="n"/>
      <c r="B782" s="87" t="n"/>
      <c r="C782" s="87" t="n"/>
      <c r="D782" s="87" t="n"/>
      <c r="E782" s="87" t="n"/>
      <c r="F782" s="87" t="n"/>
      <c r="G782" s="87" t="n"/>
      <c r="H782" s="87" t="n"/>
      <c r="I782" s="87" t="n"/>
      <c r="J782" s="87" t="n"/>
      <c r="K782" s="87" t="n"/>
      <c r="L782" s="87" t="n"/>
      <c r="M782" s="87" t="n"/>
      <c r="N782" s="87" t="n"/>
      <c r="O782" s="87" t="n"/>
      <c r="P782" s="87" t="n"/>
      <c r="Q782" s="87" t="n"/>
      <c r="R782" s="87" t="n"/>
      <c r="S782" s="87" t="n"/>
      <c r="T782" s="87" t="n"/>
      <c r="U782" s="87" t="n"/>
      <c r="V782" s="87" t="n"/>
      <c r="W782" s="87" t="n"/>
      <c r="X782" s="87" t="n"/>
      <c r="Y782" s="87" t="n"/>
      <c r="Z782" s="87" t="n"/>
    </row>
    <row r="783" ht="15.75" customHeight="1">
      <c r="A783" s="87" t="n"/>
      <c r="B783" s="87" t="n"/>
      <c r="C783" s="87" t="n"/>
      <c r="D783" s="87" t="n"/>
      <c r="E783" s="87" t="n"/>
      <c r="F783" s="87" t="n"/>
      <c r="G783" s="87" t="n"/>
      <c r="H783" s="87" t="n"/>
      <c r="I783" s="87" t="n"/>
      <c r="J783" s="87" t="n"/>
      <c r="K783" s="87" t="n"/>
      <c r="L783" s="87" t="n"/>
      <c r="M783" s="87" t="n"/>
      <c r="N783" s="87" t="n"/>
      <c r="O783" s="87" t="n"/>
      <c r="P783" s="87" t="n"/>
      <c r="Q783" s="87" t="n"/>
      <c r="R783" s="87" t="n"/>
      <c r="S783" s="87" t="n"/>
      <c r="T783" s="87" t="n"/>
      <c r="U783" s="87" t="n"/>
      <c r="V783" s="87" t="n"/>
      <c r="W783" s="87" t="n"/>
      <c r="X783" s="87" t="n"/>
      <c r="Y783" s="87" t="n"/>
      <c r="Z783" s="87" t="n"/>
    </row>
    <row r="784" ht="15.75" customHeight="1">
      <c r="A784" s="87" t="n"/>
      <c r="B784" s="87" t="n"/>
      <c r="C784" s="87" t="n"/>
      <c r="D784" s="87" t="n"/>
      <c r="E784" s="87" t="n"/>
      <c r="F784" s="87" t="n"/>
      <c r="G784" s="87" t="n"/>
      <c r="H784" s="87" t="n"/>
      <c r="I784" s="87" t="n"/>
      <c r="J784" s="87" t="n"/>
      <c r="K784" s="87" t="n"/>
      <c r="L784" s="87" t="n"/>
      <c r="M784" s="87" t="n"/>
      <c r="N784" s="87" t="n"/>
      <c r="O784" s="87" t="n"/>
      <c r="P784" s="87" t="n"/>
      <c r="Q784" s="87" t="n"/>
      <c r="R784" s="87" t="n"/>
      <c r="S784" s="87" t="n"/>
      <c r="T784" s="87" t="n"/>
      <c r="U784" s="87" t="n"/>
      <c r="V784" s="87" t="n"/>
      <c r="W784" s="87" t="n"/>
      <c r="X784" s="87" t="n"/>
      <c r="Y784" s="87" t="n"/>
      <c r="Z784" s="87" t="n"/>
    </row>
    <row r="785" ht="15.75" customHeight="1">
      <c r="A785" s="87" t="n"/>
      <c r="B785" s="87" t="n"/>
      <c r="C785" s="87" t="n"/>
      <c r="D785" s="87" t="n"/>
      <c r="E785" s="87" t="n"/>
      <c r="F785" s="87" t="n"/>
      <c r="G785" s="87" t="n"/>
      <c r="H785" s="87" t="n"/>
      <c r="I785" s="87" t="n"/>
      <c r="J785" s="87" t="n"/>
      <c r="K785" s="87" t="n"/>
      <c r="L785" s="87" t="n"/>
      <c r="M785" s="87" t="n"/>
      <c r="N785" s="87" t="n"/>
      <c r="O785" s="87" t="n"/>
      <c r="P785" s="87" t="n"/>
      <c r="Q785" s="87" t="n"/>
      <c r="R785" s="87" t="n"/>
      <c r="S785" s="87" t="n"/>
      <c r="T785" s="87" t="n"/>
      <c r="U785" s="87" t="n"/>
      <c r="V785" s="87" t="n"/>
      <c r="W785" s="87" t="n"/>
      <c r="X785" s="87" t="n"/>
      <c r="Y785" s="87" t="n"/>
      <c r="Z785" s="87" t="n"/>
    </row>
    <row r="786" ht="15.75" customHeight="1">
      <c r="A786" s="87" t="n"/>
      <c r="B786" s="87" t="n"/>
      <c r="C786" s="87" t="n"/>
      <c r="D786" s="87" t="n"/>
      <c r="E786" s="87" t="n"/>
      <c r="F786" s="87" t="n"/>
      <c r="G786" s="87" t="n"/>
      <c r="H786" s="87" t="n"/>
      <c r="I786" s="87" t="n"/>
      <c r="J786" s="87" t="n"/>
      <c r="K786" s="87" t="n"/>
      <c r="L786" s="87" t="n"/>
      <c r="M786" s="87" t="n"/>
      <c r="N786" s="87" t="n"/>
      <c r="O786" s="87" t="n"/>
      <c r="P786" s="87" t="n"/>
      <c r="Q786" s="87" t="n"/>
      <c r="R786" s="87" t="n"/>
      <c r="S786" s="87" t="n"/>
      <c r="T786" s="87" t="n"/>
      <c r="U786" s="87" t="n"/>
      <c r="V786" s="87" t="n"/>
      <c r="W786" s="87" t="n"/>
      <c r="X786" s="87" t="n"/>
      <c r="Y786" s="87" t="n"/>
      <c r="Z786" s="87" t="n"/>
    </row>
    <row r="787" ht="15.75" customHeight="1">
      <c r="A787" s="87" t="n"/>
      <c r="B787" s="87" t="n"/>
      <c r="C787" s="87" t="n"/>
      <c r="D787" s="87" t="n"/>
      <c r="E787" s="87" t="n"/>
      <c r="F787" s="87" t="n"/>
      <c r="G787" s="87" t="n"/>
      <c r="H787" s="87" t="n"/>
      <c r="I787" s="87" t="n"/>
      <c r="J787" s="87" t="n"/>
      <c r="K787" s="87" t="n"/>
      <c r="L787" s="87" t="n"/>
      <c r="M787" s="87" t="n"/>
      <c r="N787" s="87" t="n"/>
      <c r="O787" s="87" t="n"/>
      <c r="P787" s="87" t="n"/>
      <c r="Q787" s="87" t="n"/>
      <c r="R787" s="87" t="n"/>
      <c r="S787" s="87" t="n"/>
      <c r="T787" s="87" t="n"/>
      <c r="U787" s="87" t="n"/>
      <c r="V787" s="87" t="n"/>
      <c r="W787" s="87" t="n"/>
      <c r="X787" s="87" t="n"/>
      <c r="Y787" s="87" t="n"/>
      <c r="Z787" s="87" t="n"/>
    </row>
    <row r="788" ht="15.75" customHeight="1">
      <c r="A788" s="87" t="n"/>
      <c r="B788" s="87" t="n"/>
      <c r="C788" s="87" t="n"/>
      <c r="D788" s="87" t="n"/>
      <c r="E788" s="87" t="n"/>
      <c r="F788" s="87" t="n"/>
      <c r="G788" s="87" t="n"/>
      <c r="H788" s="87" t="n"/>
      <c r="I788" s="87" t="n"/>
      <c r="J788" s="87" t="n"/>
      <c r="K788" s="87" t="n"/>
      <c r="L788" s="87" t="n"/>
      <c r="M788" s="87" t="n"/>
      <c r="N788" s="87" t="n"/>
      <c r="O788" s="87" t="n"/>
      <c r="P788" s="87" t="n"/>
      <c r="Q788" s="87" t="n"/>
      <c r="R788" s="87" t="n"/>
      <c r="S788" s="87" t="n"/>
      <c r="T788" s="87" t="n"/>
      <c r="U788" s="87" t="n"/>
      <c r="V788" s="87" t="n"/>
      <c r="W788" s="87" t="n"/>
      <c r="X788" s="87" t="n"/>
      <c r="Y788" s="87" t="n"/>
      <c r="Z788" s="87" t="n"/>
    </row>
    <row r="789" ht="15.75" customHeight="1">
      <c r="A789" s="87" t="n"/>
      <c r="B789" s="87" t="n"/>
      <c r="C789" s="87" t="n"/>
      <c r="D789" s="87" t="n"/>
      <c r="E789" s="87" t="n"/>
      <c r="F789" s="87" t="n"/>
      <c r="G789" s="87" t="n"/>
      <c r="H789" s="87" t="n"/>
      <c r="I789" s="87" t="n"/>
      <c r="J789" s="87" t="n"/>
      <c r="K789" s="87" t="n"/>
      <c r="L789" s="87" t="n"/>
      <c r="M789" s="87" t="n"/>
      <c r="N789" s="87" t="n"/>
      <c r="O789" s="87" t="n"/>
      <c r="P789" s="87" t="n"/>
      <c r="Q789" s="87" t="n"/>
      <c r="R789" s="87" t="n"/>
      <c r="S789" s="87" t="n"/>
      <c r="T789" s="87" t="n"/>
      <c r="U789" s="87" t="n"/>
      <c r="V789" s="87" t="n"/>
      <c r="W789" s="87" t="n"/>
      <c r="X789" s="87" t="n"/>
      <c r="Y789" s="87" t="n"/>
      <c r="Z789" s="87" t="n"/>
    </row>
    <row r="790" ht="15.75" customHeight="1">
      <c r="A790" s="87" t="n"/>
      <c r="B790" s="87" t="n"/>
      <c r="C790" s="87" t="n"/>
      <c r="D790" s="87" t="n"/>
      <c r="E790" s="87" t="n"/>
      <c r="F790" s="87" t="n"/>
      <c r="G790" s="87" t="n"/>
      <c r="H790" s="87" t="n"/>
      <c r="I790" s="87" t="n"/>
      <c r="J790" s="87" t="n"/>
      <c r="K790" s="87" t="n"/>
      <c r="L790" s="87" t="n"/>
      <c r="M790" s="87" t="n"/>
      <c r="N790" s="87" t="n"/>
      <c r="O790" s="87" t="n"/>
      <c r="P790" s="87" t="n"/>
      <c r="Q790" s="87" t="n"/>
      <c r="R790" s="87" t="n"/>
      <c r="S790" s="87" t="n"/>
      <c r="T790" s="87" t="n"/>
      <c r="U790" s="87" t="n"/>
      <c r="V790" s="87" t="n"/>
      <c r="W790" s="87" t="n"/>
      <c r="X790" s="87" t="n"/>
      <c r="Y790" s="87" t="n"/>
      <c r="Z790" s="87" t="n"/>
    </row>
    <row r="791" ht="15.75" customHeight="1">
      <c r="A791" s="87" t="n"/>
      <c r="B791" s="87" t="n"/>
      <c r="C791" s="87" t="n"/>
      <c r="D791" s="87" t="n"/>
      <c r="E791" s="87" t="n"/>
      <c r="F791" s="87" t="n"/>
      <c r="G791" s="87" t="n"/>
      <c r="H791" s="87" t="n"/>
      <c r="I791" s="87" t="n"/>
      <c r="J791" s="87" t="n"/>
      <c r="K791" s="87" t="n"/>
      <c r="L791" s="87" t="n"/>
      <c r="M791" s="87" t="n"/>
      <c r="N791" s="87" t="n"/>
      <c r="O791" s="87" t="n"/>
      <c r="P791" s="87" t="n"/>
      <c r="Q791" s="87" t="n"/>
      <c r="R791" s="87" t="n"/>
      <c r="S791" s="87" t="n"/>
      <c r="T791" s="87" t="n"/>
      <c r="U791" s="87" t="n"/>
      <c r="V791" s="87" t="n"/>
      <c r="W791" s="87" t="n"/>
      <c r="X791" s="87" t="n"/>
      <c r="Y791" s="87" t="n"/>
      <c r="Z791" s="87" t="n"/>
    </row>
    <row r="792" ht="15.75" customHeight="1">
      <c r="A792" s="87" t="n"/>
      <c r="B792" s="87" t="n"/>
      <c r="C792" s="87" t="n"/>
      <c r="D792" s="87" t="n"/>
      <c r="E792" s="87" t="n"/>
      <c r="F792" s="87" t="n"/>
      <c r="G792" s="87" t="n"/>
      <c r="H792" s="87" t="n"/>
      <c r="I792" s="87" t="n"/>
      <c r="J792" s="87" t="n"/>
      <c r="K792" s="87" t="n"/>
      <c r="L792" s="87" t="n"/>
      <c r="M792" s="87" t="n"/>
      <c r="N792" s="87" t="n"/>
      <c r="O792" s="87" t="n"/>
      <c r="P792" s="87" t="n"/>
      <c r="Q792" s="87" t="n"/>
      <c r="R792" s="87" t="n"/>
      <c r="S792" s="87" t="n"/>
      <c r="T792" s="87" t="n"/>
      <c r="U792" s="87" t="n"/>
      <c r="V792" s="87" t="n"/>
      <c r="W792" s="87" t="n"/>
      <c r="X792" s="87" t="n"/>
      <c r="Y792" s="87" t="n"/>
      <c r="Z792" s="87" t="n"/>
    </row>
    <row r="793" ht="15.75" customHeight="1">
      <c r="A793" s="87" t="n"/>
      <c r="B793" s="87" t="n"/>
      <c r="C793" s="87" t="n"/>
      <c r="D793" s="87" t="n"/>
      <c r="E793" s="87" t="n"/>
      <c r="F793" s="87" t="n"/>
      <c r="G793" s="87" t="n"/>
      <c r="H793" s="87" t="n"/>
      <c r="I793" s="87" t="n"/>
      <c r="J793" s="87" t="n"/>
      <c r="K793" s="87" t="n"/>
      <c r="L793" s="87" t="n"/>
      <c r="M793" s="87" t="n"/>
      <c r="N793" s="87" t="n"/>
      <c r="O793" s="87" t="n"/>
      <c r="P793" s="87" t="n"/>
      <c r="Q793" s="87" t="n"/>
      <c r="R793" s="87" t="n"/>
      <c r="S793" s="87" t="n"/>
      <c r="T793" s="87" t="n"/>
      <c r="U793" s="87" t="n"/>
      <c r="V793" s="87" t="n"/>
      <c r="W793" s="87" t="n"/>
      <c r="X793" s="87" t="n"/>
      <c r="Y793" s="87" t="n"/>
      <c r="Z793" s="87" t="n"/>
    </row>
    <row r="794" ht="15.75" customHeight="1">
      <c r="A794" s="87" t="n"/>
      <c r="B794" s="87" t="n"/>
      <c r="C794" s="87" t="n"/>
      <c r="D794" s="87" t="n"/>
      <c r="E794" s="87" t="n"/>
      <c r="F794" s="87" t="n"/>
      <c r="G794" s="87" t="n"/>
      <c r="H794" s="87" t="n"/>
      <c r="I794" s="87" t="n"/>
      <c r="J794" s="87" t="n"/>
      <c r="K794" s="87" t="n"/>
      <c r="L794" s="87" t="n"/>
      <c r="M794" s="87" t="n"/>
      <c r="N794" s="87" t="n"/>
      <c r="O794" s="87" t="n"/>
      <c r="P794" s="87" t="n"/>
      <c r="Q794" s="87" t="n"/>
      <c r="R794" s="87" t="n"/>
      <c r="S794" s="87" t="n"/>
      <c r="T794" s="87" t="n"/>
      <c r="U794" s="87" t="n"/>
      <c r="V794" s="87" t="n"/>
      <c r="W794" s="87" t="n"/>
      <c r="X794" s="87" t="n"/>
      <c r="Y794" s="87" t="n"/>
      <c r="Z794" s="87" t="n"/>
    </row>
    <row r="795" ht="15.75" customHeight="1">
      <c r="A795" s="87" t="n"/>
      <c r="B795" s="87" t="n"/>
      <c r="C795" s="87" t="n"/>
      <c r="D795" s="87" t="n"/>
      <c r="E795" s="87" t="n"/>
      <c r="F795" s="87" t="n"/>
      <c r="G795" s="87" t="n"/>
      <c r="H795" s="87" t="n"/>
      <c r="I795" s="87" t="n"/>
      <c r="J795" s="87" t="n"/>
      <c r="K795" s="87" t="n"/>
      <c r="L795" s="87" t="n"/>
      <c r="M795" s="87" t="n"/>
      <c r="N795" s="87" t="n"/>
      <c r="O795" s="87" t="n"/>
      <c r="P795" s="87" t="n"/>
      <c r="Q795" s="87" t="n"/>
      <c r="R795" s="87" t="n"/>
      <c r="S795" s="87" t="n"/>
      <c r="T795" s="87" t="n"/>
      <c r="U795" s="87" t="n"/>
      <c r="V795" s="87" t="n"/>
      <c r="W795" s="87" t="n"/>
      <c r="X795" s="87" t="n"/>
      <c r="Y795" s="87" t="n"/>
      <c r="Z795" s="87" t="n"/>
    </row>
    <row r="796" ht="15.75" customHeight="1">
      <c r="A796" s="87" t="n"/>
      <c r="B796" s="87" t="n"/>
      <c r="C796" s="87" t="n"/>
      <c r="D796" s="87" t="n"/>
      <c r="E796" s="87" t="n"/>
      <c r="F796" s="87" t="n"/>
      <c r="G796" s="87" t="n"/>
      <c r="H796" s="87" t="n"/>
      <c r="I796" s="87" t="n"/>
      <c r="J796" s="87" t="n"/>
      <c r="K796" s="87" t="n"/>
      <c r="L796" s="87" t="n"/>
      <c r="M796" s="87" t="n"/>
      <c r="N796" s="87" t="n"/>
      <c r="O796" s="87" t="n"/>
      <c r="P796" s="87" t="n"/>
      <c r="Q796" s="87" t="n"/>
      <c r="R796" s="87" t="n"/>
      <c r="S796" s="87" t="n"/>
      <c r="T796" s="87" t="n"/>
      <c r="U796" s="87" t="n"/>
      <c r="V796" s="87" t="n"/>
      <c r="W796" s="87" t="n"/>
      <c r="X796" s="87" t="n"/>
      <c r="Y796" s="87" t="n"/>
      <c r="Z796" s="87" t="n"/>
    </row>
    <row r="797" ht="15.75" customHeight="1">
      <c r="A797" s="87" t="n"/>
      <c r="B797" s="87" t="n"/>
      <c r="C797" s="87" t="n"/>
      <c r="D797" s="87" t="n"/>
      <c r="E797" s="87" t="n"/>
      <c r="F797" s="87" t="n"/>
      <c r="G797" s="87" t="n"/>
      <c r="H797" s="87" t="n"/>
      <c r="I797" s="87" t="n"/>
      <c r="J797" s="87" t="n"/>
      <c r="K797" s="87" t="n"/>
      <c r="L797" s="87" t="n"/>
      <c r="M797" s="87" t="n"/>
      <c r="N797" s="87" t="n"/>
      <c r="O797" s="87" t="n"/>
      <c r="P797" s="87" t="n"/>
      <c r="Q797" s="87" t="n"/>
      <c r="R797" s="87" t="n"/>
      <c r="S797" s="87" t="n"/>
      <c r="T797" s="87" t="n"/>
      <c r="U797" s="87" t="n"/>
      <c r="V797" s="87" t="n"/>
      <c r="W797" s="87" t="n"/>
      <c r="X797" s="87" t="n"/>
      <c r="Y797" s="87" t="n"/>
      <c r="Z797" s="87" t="n"/>
    </row>
    <row r="798" ht="15.75" customHeight="1">
      <c r="A798" s="87" t="n"/>
      <c r="B798" s="87" t="n"/>
      <c r="C798" s="87" t="n"/>
      <c r="D798" s="87" t="n"/>
      <c r="E798" s="87" t="n"/>
      <c r="F798" s="87" t="n"/>
      <c r="G798" s="87" t="n"/>
      <c r="H798" s="87" t="n"/>
      <c r="I798" s="87" t="n"/>
      <c r="J798" s="87" t="n"/>
      <c r="K798" s="87" t="n"/>
      <c r="L798" s="87" t="n"/>
      <c r="M798" s="87" t="n"/>
      <c r="N798" s="87" t="n"/>
      <c r="O798" s="87" t="n"/>
      <c r="P798" s="87" t="n"/>
      <c r="Q798" s="87" t="n"/>
      <c r="R798" s="87" t="n"/>
      <c r="S798" s="87" t="n"/>
      <c r="T798" s="87" t="n"/>
      <c r="U798" s="87" t="n"/>
      <c r="V798" s="87" t="n"/>
      <c r="W798" s="87" t="n"/>
      <c r="X798" s="87" t="n"/>
      <c r="Y798" s="87" t="n"/>
      <c r="Z798" s="87" t="n"/>
    </row>
    <row r="799" ht="15.75" customHeight="1">
      <c r="A799" s="87" t="n"/>
      <c r="B799" s="87" t="n"/>
      <c r="C799" s="87" t="n"/>
      <c r="D799" s="87" t="n"/>
      <c r="E799" s="87" t="n"/>
      <c r="F799" s="87" t="n"/>
      <c r="G799" s="87" t="n"/>
      <c r="H799" s="87" t="n"/>
      <c r="I799" s="87" t="n"/>
      <c r="J799" s="87" t="n"/>
      <c r="K799" s="87" t="n"/>
      <c r="L799" s="87" t="n"/>
      <c r="M799" s="87" t="n"/>
      <c r="N799" s="87" t="n"/>
      <c r="O799" s="87" t="n"/>
      <c r="P799" s="87" t="n"/>
      <c r="Q799" s="87" t="n"/>
      <c r="R799" s="87" t="n"/>
      <c r="S799" s="87" t="n"/>
      <c r="T799" s="87" t="n"/>
      <c r="U799" s="87" t="n"/>
      <c r="V799" s="87" t="n"/>
      <c r="W799" s="87" t="n"/>
      <c r="X799" s="87" t="n"/>
      <c r="Y799" s="87" t="n"/>
      <c r="Z799" s="87" t="n"/>
    </row>
    <row r="800" ht="15.75" customHeight="1">
      <c r="A800" s="87" t="n"/>
      <c r="B800" s="87" t="n"/>
      <c r="C800" s="87" t="n"/>
      <c r="D800" s="87" t="n"/>
      <c r="E800" s="87" t="n"/>
      <c r="F800" s="87" t="n"/>
      <c r="G800" s="87" t="n"/>
      <c r="H800" s="87" t="n"/>
      <c r="I800" s="87" t="n"/>
      <c r="J800" s="87" t="n"/>
      <c r="K800" s="87" t="n"/>
      <c r="L800" s="87" t="n"/>
      <c r="M800" s="87" t="n"/>
      <c r="N800" s="87" t="n"/>
      <c r="O800" s="87" t="n"/>
      <c r="P800" s="87" t="n"/>
      <c r="Q800" s="87" t="n"/>
      <c r="R800" s="87" t="n"/>
      <c r="S800" s="87" t="n"/>
      <c r="T800" s="87" t="n"/>
      <c r="U800" s="87" t="n"/>
      <c r="V800" s="87" t="n"/>
      <c r="W800" s="87" t="n"/>
      <c r="X800" s="87" t="n"/>
      <c r="Y800" s="87" t="n"/>
      <c r="Z800" s="87" t="n"/>
    </row>
    <row r="801" ht="15.75" customHeight="1">
      <c r="A801" s="87" t="n"/>
      <c r="B801" s="87" t="n"/>
      <c r="C801" s="87" t="n"/>
      <c r="D801" s="87" t="n"/>
      <c r="E801" s="87" t="n"/>
      <c r="F801" s="87" t="n"/>
      <c r="G801" s="87" t="n"/>
      <c r="H801" s="87" t="n"/>
      <c r="I801" s="87" t="n"/>
      <c r="J801" s="87" t="n"/>
      <c r="K801" s="87" t="n"/>
      <c r="L801" s="87" t="n"/>
      <c r="M801" s="87" t="n"/>
      <c r="N801" s="87" t="n"/>
      <c r="O801" s="87" t="n"/>
      <c r="P801" s="87" t="n"/>
      <c r="Q801" s="87" t="n"/>
      <c r="R801" s="87" t="n"/>
      <c r="S801" s="87" t="n"/>
      <c r="T801" s="87" t="n"/>
      <c r="U801" s="87" t="n"/>
      <c r="V801" s="87" t="n"/>
      <c r="W801" s="87" t="n"/>
      <c r="X801" s="87" t="n"/>
      <c r="Y801" s="87" t="n"/>
      <c r="Z801" s="87" t="n"/>
    </row>
    <row r="802" ht="15.75" customHeight="1">
      <c r="A802" s="87" t="n"/>
      <c r="B802" s="87" t="n"/>
      <c r="C802" s="87" t="n"/>
      <c r="D802" s="87" t="n"/>
      <c r="E802" s="87" t="n"/>
      <c r="F802" s="87" t="n"/>
      <c r="G802" s="87" t="n"/>
      <c r="H802" s="87" t="n"/>
      <c r="I802" s="87" t="n"/>
      <c r="J802" s="87" t="n"/>
      <c r="K802" s="87" t="n"/>
      <c r="L802" s="87" t="n"/>
      <c r="M802" s="87" t="n"/>
      <c r="N802" s="87" t="n"/>
      <c r="O802" s="87" t="n"/>
      <c r="P802" s="87" t="n"/>
      <c r="Q802" s="87" t="n"/>
      <c r="R802" s="87" t="n"/>
      <c r="S802" s="87" t="n"/>
      <c r="T802" s="87" t="n"/>
      <c r="U802" s="87" t="n"/>
      <c r="V802" s="87" t="n"/>
      <c r="W802" s="87" t="n"/>
      <c r="X802" s="87" t="n"/>
      <c r="Y802" s="87" t="n"/>
      <c r="Z802" s="87" t="n"/>
    </row>
    <row r="803" ht="15.75" customHeight="1">
      <c r="A803" s="87" t="n"/>
      <c r="B803" s="87" t="n"/>
      <c r="C803" s="87" t="n"/>
      <c r="D803" s="87" t="n"/>
      <c r="E803" s="87" t="n"/>
      <c r="F803" s="87" t="n"/>
      <c r="G803" s="87" t="n"/>
      <c r="H803" s="87" t="n"/>
      <c r="I803" s="87" t="n"/>
      <c r="J803" s="87" t="n"/>
      <c r="K803" s="87" t="n"/>
      <c r="L803" s="87" t="n"/>
      <c r="M803" s="87" t="n"/>
      <c r="N803" s="87" t="n"/>
      <c r="O803" s="87" t="n"/>
      <c r="P803" s="87" t="n"/>
      <c r="Q803" s="87" t="n"/>
      <c r="R803" s="87" t="n"/>
      <c r="S803" s="87" t="n"/>
      <c r="T803" s="87" t="n"/>
      <c r="U803" s="87" t="n"/>
      <c r="V803" s="87" t="n"/>
      <c r="W803" s="87" t="n"/>
      <c r="X803" s="87" t="n"/>
      <c r="Y803" s="87" t="n"/>
      <c r="Z803" s="87" t="n"/>
    </row>
    <row r="804" ht="15.75" customHeight="1">
      <c r="A804" s="87" t="n"/>
      <c r="B804" s="87" t="n"/>
      <c r="C804" s="87" t="n"/>
      <c r="D804" s="87" t="n"/>
      <c r="E804" s="87" t="n"/>
      <c r="F804" s="87" t="n"/>
      <c r="G804" s="87" t="n"/>
      <c r="H804" s="87" t="n"/>
      <c r="I804" s="87" t="n"/>
      <c r="J804" s="87" t="n"/>
      <c r="K804" s="87" t="n"/>
      <c r="L804" s="87" t="n"/>
      <c r="M804" s="87" t="n"/>
      <c r="N804" s="87" t="n"/>
      <c r="O804" s="87" t="n"/>
      <c r="P804" s="87" t="n"/>
      <c r="Q804" s="87" t="n"/>
      <c r="R804" s="87" t="n"/>
      <c r="S804" s="87" t="n"/>
      <c r="T804" s="87" t="n"/>
      <c r="U804" s="87" t="n"/>
      <c r="V804" s="87" t="n"/>
      <c r="W804" s="87" t="n"/>
      <c r="X804" s="87" t="n"/>
      <c r="Y804" s="87" t="n"/>
      <c r="Z804" s="87" t="n"/>
    </row>
    <row r="805" ht="15.75" customHeight="1">
      <c r="A805" s="87" t="n"/>
      <c r="B805" s="87" t="n"/>
      <c r="C805" s="87" t="n"/>
      <c r="D805" s="87" t="n"/>
      <c r="E805" s="87" t="n"/>
      <c r="F805" s="87" t="n"/>
      <c r="G805" s="87" t="n"/>
      <c r="H805" s="87" t="n"/>
      <c r="I805" s="87" t="n"/>
      <c r="J805" s="87" t="n"/>
      <c r="K805" s="87" t="n"/>
      <c r="L805" s="87" t="n"/>
      <c r="M805" s="87" t="n"/>
      <c r="N805" s="87" t="n"/>
      <c r="O805" s="87" t="n"/>
      <c r="P805" s="87" t="n"/>
      <c r="Q805" s="87" t="n"/>
      <c r="R805" s="87" t="n"/>
      <c r="S805" s="87" t="n"/>
      <c r="T805" s="87" t="n"/>
      <c r="U805" s="87" t="n"/>
      <c r="V805" s="87" t="n"/>
      <c r="W805" s="87" t="n"/>
      <c r="X805" s="87" t="n"/>
      <c r="Y805" s="87" t="n"/>
      <c r="Z805" s="87" t="n"/>
    </row>
    <row r="806" ht="15.75" customHeight="1">
      <c r="A806" s="87" t="n"/>
      <c r="B806" s="87" t="n"/>
      <c r="C806" s="87" t="n"/>
      <c r="D806" s="87" t="n"/>
      <c r="E806" s="87" t="n"/>
      <c r="F806" s="87" t="n"/>
      <c r="G806" s="87" t="n"/>
      <c r="H806" s="87" t="n"/>
      <c r="I806" s="87" t="n"/>
      <c r="J806" s="87" t="n"/>
      <c r="K806" s="87" t="n"/>
      <c r="L806" s="87" t="n"/>
      <c r="M806" s="87" t="n"/>
      <c r="N806" s="87" t="n"/>
      <c r="O806" s="87" t="n"/>
      <c r="P806" s="87" t="n"/>
      <c r="Q806" s="87" t="n"/>
      <c r="R806" s="87" t="n"/>
      <c r="S806" s="87" t="n"/>
      <c r="T806" s="87" t="n"/>
      <c r="U806" s="87" t="n"/>
      <c r="V806" s="87" t="n"/>
      <c r="W806" s="87" t="n"/>
      <c r="X806" s="87" t="n"/>
      <c r="Y806" s="87" t="n"/>
      <c r="Z806" s="87" t="n"/>
    </row>
    <row r="807" ht="15.75" customHeight="1">
      <c r="A807" s="87" t="n"/>
      <c r="B807" s="87" t="n"/>
      <c r="C807" s="87" t="n"/>
      <c r="D807" s="87" t="n"/>
      <c r="E807" s="87" t="n"/>
      <c r="F807" s="87" t="n"/>
      <c r="G807" s="87" t="n"/>
      <c r="H807" s="87" t="n"/>
      <c r="I807" s="87" t="n"/>
      <c r="J807" s="87" t="n"/>
      <c r="K807" s="87" t="n"/>
      <c r="L807" s="87" t="n"/>
      <c r="M807" s="87" t="n"/>
      <c r="N807" s="87" t="n"/>
      <c r="O807" s="87" t="n"/>
      <c r="P807" s="87" t="n"/>
      <c r="Q807" s="87" t="n"/>
      <c r="R807" s="87" t="n"/>
      <c r="S807" s="87" t="n"/>
      <c r="T807" s="87" t="n"/>
      <c r="U807" s="87" t="n"/>
      <c r="V807" s="87" t="n"/>
      <c r="W807" s="87" t="n"/>
      <c r="X807" s="87" t="n"/>
      <c r="Y807" s="87" t="n"/>
      <c r="Z807" s="87" t="n"/>
    </row>
    <row r="808" ht="15.75" customHeight="1">
      <c r="A808" s="87" t="n"/>
      <c r="B808" s="87" t="n"/>
      <c r="C808" s="87" t="n"/>
      <c r="D808" s="87" t="n"/>
      <c r="E808" s="87" t="n"/>
      <c r="F808" s="87" t="n"/>
      <c r="G808" s="87" t="n"/>
      <c r="H808" s="87" t="n"/>
      <c r="I808" s="87" t="n"/>
      <c r="J808" s="87" t="n"/>
      <c r="K808" s="87" t="n"/>
      <c r="L808" s="87" t="n"/>
      <c r="M808" s="87" t="n"/>
      <c r="N808" s="87" t="n"/>
      <c r="O808" s="87" t="n"/>
      <c r="P808" s="87" t="n"/>
      <c r="Q808" s="87" t="n"/>
      <c r="R808" s="87" t="n"/>
      <c r="S808" s="87" t="n"/>
      <c r="T808" s="87" t="n"/>
      <c r="U808" s="87" t="n"/>
      <c r="V808" s="87" t="n"/>
      <c r="W808" s="87" t="n"/>
      <c r="X808" s="87" t="n"/>
      <c r="Y808" s="87" t="n"/>
      <c r="Z808" s="87" t="n"/>
    </row>
    <row r="809" ht="15.75" customHeight="1">
      <c r="A809" s="87" t="n"/>
      <c r="B809" s="87" t="n"/>
      <c r="C809" s="87" t="n"/>
      <c r="D809" s="87" t="n"/>
      <c r="E809" s="87" t="n"/>
      <c r="F809" s="87" t="n"/>
      <c r="G809" s="87" t="n"/>
      <c r="H809" s="87" t="n"/>
      <c r="I809" s="87" t="n"/>
      <c r="J809" s="87" t="n"/>
      <c r="K809" s="87" t="n"/>
      <c r="L809" s="87" t="n"/>
      <c r="M809" s="87" t="n"/>
      <c r="N809" s="87" t="n"/>
      <c r="O809" s="87" t="n"/>
      <c r="P809" s="87" t="n"/>
      <c r="Q809" s="87" t="n"/>
      <c r="R809" s="87" t="n"/>
      <c r="S809" s="87" t="n"/>
      <c r="T809" s="87" t="n"/>
      <c r="U809" s="87" t="n"/>
      <c r="V809" s="87" t="n"/>
      <c r="W809" s="87" t="n"/>
      <c r="X809" s="87" t="n"/>
      <c r="Y809" s="87" t="n"/>
      <c r="Z809" s="87" t="n"/>
    </row>
    <row r="810" ht="15.75" customHeight="1">
      <c r="A810" s="87" t="n"/>
      <c r="B810" s="87" t="n"/>
      <c r="C810" s="87" t="n"/>
      <c r="D810" s="87" t="n"/>
      <c r="E810" s="87" t="n"/>
      <c r="F810" s="87" t="n"/>
      <c r="G810" s="87" t="n"/>
      <c r="H810" s="87" t="n"/>
      <c r="I810" s="87" t="n"/>
      <c r="J810" s="87" t="n"/>
      <c r="K810" s="87" t="n"/>
      <c r="L810" s="87" t="n"/>
      <c r="M810" s="87" t="n"/>
      <c r="N810" s="87" t="n"/>
      <c r="O810" s="87" t="n"/>
      <c r="P810" s="87" t="n"/>
      <c r="Q810" s="87" t="n"/>
      <c r="R810" s="87" t="n"/>
      <c r="S810" s="87" t="n"/>
      <c r="T810" s="87" t="n"/>
      <c r="U810" s="87" t="n"/>
      <c r="V810" s="87" t="n"/>
      <c r="W810" s="87" t="n"/>
      <c r="X810" s="87" t="n"/>
      <c r="Y810" s="87" t="n"/>
      <c r="Z810" s="87" t="n"/>
    </row>
    <row r="811" ht="15.75" customHeight="1">
      <c r="A811" s="87" t="n"/>
      <c r="B811" s="87" t="n"/>
      <c r="C811" s="87" t="n"/>
      <c r="D811" s="87" t="n"/>
      <c r="E811" s="87" t="n"/>
      <c r="F811" s="87" t="n"/>
      <c r="G811" s="87" t="n"/>
      <c r="H811" s="87" t="n"/>
      <c r="I811" s="87" t="n"/>
      <c r="J811" s="87" t="n"/>
      <c r="K811" s="87" t="n"/>
      <c r="L811" s="87" t="n"/>
      <c r="M811" s="87" t="n"/>
      <c r="N811" s="87" t="n"/>
      <c r="O811" s="87" t="n"/>
      <c r="P811" s="87" t="n"/>
      <c r="Q811" s="87" t="n"/>
      <c r="R811" s="87" t="n"/>
      <c r="S811" s="87" t="n"/>
      <c r="T811" s="87" t="n"/>
      <c r="U811" s="87" t="n"/>
      <c r="V811" s="87" t="n"/>
      <c r="W811" s="87" t="n"/>
      <c r="X811" s="87" t="n"/>
      <c r="Y811" s="87" t="n"/>
      <c r="Z811" s="87" t="n"/>
    </row>
    <row r="812" ht="15.75" customHeight="1">
      <c r="A812" s="87" t="n"/>
      <c r="B812" s="87" t="n"/>
      <c r="C812" s="87" t="n"/>
      <c r="D812" s="87" t="n"/>
      <c r="E812" s="87" t="n"/>
      <c r="F812" s="87" t="n"/>
      <c r="G812" s="87" t="n"/>
      <c r="H812" s="87" t="n"/>
      <c r="I812" s="87" t="n"/>
      <c r="J812" s="87" t="n"/>
      <c r="K812" s="87" t="n"/>
      <c r="L812" s="87" t="n"/>
      <c r="M812" s="87" t="n"/>
      <c r="N812" s="87" t="n"/>
      <c r="O812" s="87" t="n"/>
      <c r="P812" s="87" t="n"/>
      <c r="Q812" s="87" t="n"/>
      <c r="R812" s="87" t="n"/>
      <c r="S812" s="87" t="n"/>
      <c r="T812" s="87" t="n"/>
      <c r="U812" s="87" t="n"/>
      <c r="V812" s="87" t="n"/>
      <c r="W812" s="87" t="n"/>
      <c r="X812" s="87" t="n"/>
      <c r="Y812" s="87" t="n"/>
      <c r="Z812" s="87" t="n"/>
    </row>
    <row r="813" ht="15.75" customHeight="1">
      <c r="A813" s="87" t="n"/>
      <c r="B813" s="87" t="n"/>
      <c r="C813" s="87" t="n"/>
      <c r="D813" s="87" t="n"/>
      <c r="E813" s="87" t="n"/>
      <c r="F813" s="87" t="n"/>
      <c r="G813" s="87" t="n"/>
      <c r="H813" s="87" t="n"/>
      <c r="I813" s="87" t="n"/>
      <c r="J813" s="87" t="n"/>
      <c r="K813" s="87" t="n"/>
      <c r="L813" s="87" t="n"/>
      <c r="M813" s="87" t="n"/>
      <c r="N813" s="87" t="n"/>
      <c r="O813" s="87" t="n"/>
      <c r="P813" s="87" t="n"/>
      <c r="Q813" s="87" t="n"/>
      <c r="R813" s="87" t="n"/>
      <c r="S813" s="87" t="n"/>
      <c r="T813" s="87" t="n"/>
      <c r="U813" s="87" t="n"/>
      <c r="V813" s="87" t="n"/>
      <c r="W813" s="87" t="n"/>
      <c r="X813" s="87" t="n"/>
      <c r="Y813" s="87" t="n"/>
      <c r="Z813" s="87" t="n"/>
    </row>
    <row r="814" ht="15.75" customHeight="1">
      <c r="A814" s="87" t="n"/>
      <c r="B814" s="87" t="n"/>
      <c r="C814" s="87" t="n"/>
      <c r="D814" s="87" t="n"/>
      <c r="E814" s="87" t="n"/>
      <c r="F814" s="87" t="n"/>
      <c r="G814" s="87" t="n"/>
      <c r="H814" s="87" t="n"/>
      <c r="I814" s="87" t="n"/>
      <c r="J814" s="87" t="n"/>
      <c r="K814" s="87" t="n"/>
      <c r="L814" s="87" t="n"/>
      <c r="M814" s="87" t="n"/>
      <c r="N814" s="87" t="n"/>
      <c r="O814" s="87" t="n"/>
      <c r="P814" s="87" t="n"/>
      <c r="Q814" s="87" t="n"/>
      <c r="R814" s="87" t="n"/>
      <c r="S814" s="87" t="n"/>
      <c r="T814" s="87" t="n"/>
      <c r="U814" s="87" t="n"/>
      <c r="V814" s="87" t="n"/>
      <c r="W814" s="87" t="n"/>
      <c r="X814" s="87" t="n"/>
      <c r="Y814" s="87" t="n"/>
      <c r="Z814" s="87" t="n"/>
    </row>
    <row r="815" ht="15.75" customHeight="1">
      <c r="A815" s="87" t="n"/>
      <c r="B815" s="87" t="n"/>
      <c r="C815" s="87" t="n"/>
      <c r="D815" s="87" t="n"/>
      <c r="E815" s="87" t="n"/>
      <c r="F815" s="87" t="n"/>
      <c r="G815" s="87" t="n"/>
      <c r="H815" s="87" t="n"/>
      <c r="I815" s="87" t="n"/>
      <c r="J815" s="87" t="n"/>
      <c r="K815" s="87" t="n"/>
      <c r="L815" s="87" t="n"/>
      <c r="M815" s="87" t="n"/>
      <c r="N815" s="87" t="n"/>
      <c r="O815" s="87" t="n"/>
      <c r="P815" s="87" t="n"/>
      <c r="Q815" s="87" t="n"/>
      <c r="R815" s="87" t="n"/>
      <c r="S815" s="87" t="n"/>
      <c r="T815" s="87" t="n"/>
      <c r="U815" s="87" t="n"/>
      <c r="V815" s="87" t="n"/>
      <c r="W815" s="87" t="n"/>
      <c r="X815" s="87" t="n"/>
      <c r="Y815" s="87" t="n"/>
      <c r="Z815" s="87" t="n"/>
    </row>
    <row r="816" ht="15.75" customHeight="1">
      <c r="A816" s="87" t="n"/>
      <c r="B816" s="87" t="n"/>
      <c r="C816" s="87" t="n"/>
      <c r="D816" s="87" t="n"/>
      <c r="E816" s="87" t="n"/>
      <c r="F816" s="87" t="n"/>
      <c r="G816" s="87" t="n"/>
      <c r="H816" s="87" t="n"/>
      <c r="I816" s="87" t="n"/>
      <c r="J816" s="87" t="n"/>
      <c r="K816" s="87" t="n"/>
      <c r="L816" s="87" t="n"/>
      <c r="M816" s="87" t="n"/>
      <c r="N816" s="87" t="n"/>
      <c r="O816" s="87" t="n"/>
      <c r="P816" s="87" t="n"/>
      <c r="Q816" s="87" t="n"/>
      <c r="R816" s="87" t="n"/>
      <c r="S816" s="87" t="n"/>
      <c r="T816" s="87" t="n"/>
      <c r="U816" s="87" t="n"/>
      <c r="V816" s="87" t="n"/>
      <c r="W816" s="87" t="n"/>
      <c r="X816" s="87" t="n"/>
      <c r="Y816" s="87" t="n"/>
      <c r="Z816" s="87" t="n"/>
    </row>
    <row r="817" ht="15.75" customHeight="1">
      <c r="A817" s="87" t="n"/>
      <c r="B817" s="87" t="n"/>
      <c r="C817" s="87" t="n"/>
      <c r="D817" s="87" t="n"/>
      <c r="E817" s="87" t="n"/>
      <c r="F817" s="87" t="n"/>
      <c r="G817" s="87" t="n"/>
      <c r="H817" s="87" t="n"/>
      <c r="I817" s="87" t="n"/>
      <c r="J817" s="87" t="n"/>
      <c r="K817" s="87" t="n"/>
      <c r="L817" s="87" t="n"/>
      <c r="M817" s="87" t="n"/>
      <c r="N817" s="87" t="n"/>
      <c r="O817" s="87" t="n"/>
      <c r="P817" s="87" t="n"/>
      <c r="Q817" s="87" t="n"/>
      <c r="R817" s="87" t="n"/>
      <c r="S817" s="87" t="n"/>
      <c r="T817" s="87" t="n"/>
      <c r="U817" s="87" t="n"/>
      <c r="V817" s="87" t="n"/>
      <c r="W817" s="87" t="n"/>
      <c r="X817" s="87" t="n"/>
      <c r="Y817" s="87" t="n"/>
      <c r="Z817" s="87" t="n"/>
    </row>
    <row r="818" ht="15.75" customHeight="1">
      <c r="A818" s="87" t="n"/>
      <c r="B818" s="87" t="n"/>
      <c r="C818" s="87" t="n"/>
      <c r="D818" s="87" t="n"/>
      <c r="E818" s="87" t="n"/>
      <c r="F818" s="87" t="n"/>
      <c r="G818" s="87" t="n"/>
      <c r="H818" s="87" t="n"/>
      <c r="I818" s="87" t="n"/>
      <c r="J818" s="87" t="n"/>
      <c r="K818" s="87" t="n"/>
      <c r="L818" s="87" t="n"/>
      <c r="M818" s="87" t="n"/>
      <c r="N818" s="87" t="n"/>
      <c r="O818" s="87" t="n"/>
      <c r="P818" s="87" t="n"/>
      <c r="Q818" s="87" t="n"/>
      <c r="R818" s="87" t="n"/>
      <c r="S818" s="87" t="n"/>
      <c r="T818" s="87" t="n"/>
      <c r="U818" s="87" t="n"/>
      <c r="V818" s="87" t="n"/>
      <c r="W818" s="87" t="n"/>
      <c r="X818" s="87" t="n"/>
      <c r="Y818" s="87" t="n"/>
      <c r="Z818" s="87" t="n"/>
    </row>
    <row r="819" ht="15.75" customHeight="1">
      <c r="A819" s="87" t="n"/>
      <c r="B819" s="87" t="n"/>
      <c r="C819" s="87" t="n"/>
      <c r="D819" s="87" t="n"/>
      <c r="E819" s="87" t="n"/>
      <c r="F819" s="87" t="n"/>
      <c r="G819" s="87" t="n"/>
      <c r="H819" s="87" t="n"/>
      <c r="I819" s="87" t="n"/>
      <c r="J819" s="87" t="n"/>
      <c r="K819" s="87" t="n"/>
      <c r="L819" s="87" t="n"/>
      <c r="M819" s="87" t="n"/>
      <c r="N819" s="87" t="n"/>
      <c r="O819" s="87" t="n"/>
      <c r="P819" s="87" t="n"/>
      <c r="Q819" s="87" t="n"/>
      <c r="R819" s="87" t="n"/>
      <c r="S819" s="87" t="n"/>
      <c r="T819" s="87" t="n"/>
      <c r="U819" s="87" t="n"/>
      <c r="V819" s="87" t="n"/>
      <c r="W819" s="87" t="n"/>
      <c r="X819" s="87" t="n"/>
      <c r="Y819" s="87" t="n"/>
      <c r="Z819" s="87" t="n"/>
    </row>
    <row r="820" ht="15.75" customHeight="1">
      <c r="A820" s="87" t="n"/>
      <c r="B820" s="87" t="n"/>
      <c r="C820" s="87" t="n"/>
      <c r="D820" s="87" t="n"/>
      <c r="E820" s="87" t="n"/>
      <c r="F820" s="87" t="n"/>
      <c r="G820" s="87" t="n"/>
      <c r="H820" s="87" t="n"/>
      <c r="I820" s="87" t="n"/>
      <c r="J820" s="87" t="n"/>
      <c r="K820" s="87" t="n"/>
      <c r="L820" s="87" t="n"/>
      <c r="M820" s="87" t="n"/>
      <c r="N820" s="87" t="n"/>
      <c r="O820" s="87" t="n"/>
      <c r="P820" s="87" t="n"/>
      <c r="Q820" s="87" t="n"/>
      <c r="R820" s="87" t="n"/>
      <c r="S820" s="87" t="n"/>
      <c r="T820" s="87" t="n"/>
      <c r="U820" s="87" t="n"/>
      <c r="V820" s="87" t="n"/>
      <c r="W820" s="87" t="n"/>
      <c r="X820" s="87" t="n"/>
      <c r="Y820" s="87" t="n"/>
      <c r="Z820" s="87" t="n"/>
    </row>
    <row r="821" ht="15.75" customHeight="1">
      <c r="A821" s="87" t="n"/>
      <c r="B821" s="87" t="n"/>
      <c r="C821" s="87" t="n"/>
      <c r="D821" s="87" t="n"/>
      <c r="E821" s="87" t="n"/>
      <c r="F821" s="87" t="n"/>
      <c r="G821" s="87" t="n"/>
      <c r="H821" s="87" t="n"/>
      <c r="I821" s="87" t="n"/>
      <c r="J821" s="87" t="n"/>
      <c r="K821" s="87" t="n"/>
      <c r="L821" s="87" t="n"/>
      <c r="M821" s="87" t="n"/>
      <c r="N821" s="87" t="n"/>
      <c r="O821" s="87" t="n"/>
      <c r="P821" s="87" t="n"/>
      <c r="Q821" s="87" t="n"/>
      <c r="R821" s="87" t="n"/>
      <c r="S821" s="87" t="n"/>
      <c r="T821" s="87" t="n"/>
      <c r="U821" s="87" t="n"/>
      <c r="V821" s="87" t="n"/>
      <c r="W821" s="87" t="n"/>
      <c r="X821" s="87" t="n"/>
      <c r="Y821" s="87" t="n"/>
      <c r="Z821" s="87" t="n"/>
    </row>
    <row r="822" ht="15.75" customHeight="1">
      <c r="A822" s="87" t="n"/>
      <c r="B822" s="87" t="n"/>
      <c r="C822" s="87" t="n"/>
      <c r="D822" s="87" t="n"/>
      <c r="E822" s="87" t="n"/>
      <c r="F822" s="87" t="n"/>
      <c r="G822" s="87" t="n"/>
      <c r="H822" s="87" t="n"/>
      <c r="I822" s="87" t="n"/>
      <c r="J822" s="87" t="n"/>
      <c r="K822" s="87" t="n"/>
      <c r="L822" s="87" t="n"/>
      <c r="M822" s="87" t="n"/>
      <c r="N822" s="87" t="n"/>
      <c r="O822" s="87" t="n"/>
      <c r="P822" s="87" t="n"/>
      <c r="Q822" s="87" t="n"/>
      <c r="R822" s="87" t="n"/>
      <c r="S822" s="87" t="n"/>
      <c r="T822" s="87" t="n"/>
      <c r="U822" s="87" t="n"/>
      <c r="V822" s="87" t="n"/>
      <c r="W822" s="87" t="n"/>
      <c r="X822" s="87" t="n"/>
      <c r="Y822" s="87" t="n"/>
      <c r="Z822" s="87" t="n"/>
    </row>
    <row r="823" ht="15.75" customHeight="1">
      <c r="A823" s="87" t="n"/>
      <c r="B823" s="87" t="n"/>
      <c r="C823" s="87" t="n"/>
      <c r="D823" s="87" t="n"/>
      <c r="E823" s="87" t="n"/>
      <c r="F823" s="87" t="n"/>
      <c r="G823" s="87" t="n"/>
      <c r="H823" s="87" t="n"/>
      <c r="I823" s="87" t="n"/>
      <c r="J823" s="87" t="n"/>
      <c r="K823" s="87" t="n"/>
      <c r="L823" s="87" t="n"/>
      <c r="M823" s="87" t="n"/>
      <c r="N823" s="87" t="n"/>
      <c r="O823" s="87" t="n"/>
      <c r="P823" s="87" t="n"/>
      <c r="Q823" s="87" t="n"/>
      <c r="R823" s="87" t="n"/>
      <c r="S823" s="87" t="n"/>
      <c r="T823" s="87" t="n"/>
      <c r="U823" s="87" t="n"/>
      <c r="V823" s="87" t="n"/>
      <c r="W823" s="87" t="n"/>
      <c r="X823" s="87" t="n"/>
      <c r="Y823" s="87" t="n"/>
      <c r="Z823" s="87" t="n"/>
    </row>
    <row r="824" ht="15.75" customHeight="1">
      <c r="A824" s="87" t="n"/>
      <c r="B824" s="87" t="n"/>
      <c r="C824" s="87" t="n"/>
      <c r="D824" s="87" t="n"/>
      <c r="E824" s="87" t="n"/>
      <c r="F824" s="87" t="n"/>
      <c r="G824" s="87" t="n"/>
      <c r="H824" s="87" t="n"/>
      <c r="I824" s="87" t="n"/>
      <c r="J824" s="87" t="n"/>
      <c r="K824" s="87" t="n"/>
      <c r="L824" s="87" t="n"/>
      <c r="M824" s="87" t="n"/>
      <c r="N824" s="87" t="n"/>
      <c r="O824" s="87" t="n"/>
      <c r="P824" s="87" t="n"/>
      <c r="Q824" s="87" t="n"/>
      <c r="R824" s="87" t="n"/>
      <c r="S824" s="87" t="n"/>
      <c r="T824" s="87" t="n"/>
      <c r="U824" s="87" t="n"/>
      <c r="V824" s="87" t="n"/>
      <c r="W824" s="87" t="n"/>
      <c r="X824" s="87" t="n"/>
      <c r="Y824" s="87" t="n"/>
      <c r="Z824" s="87" t="n"/>
    </row>
    <row r="825" ht="15.75" customHeight="1">
      <c r="A825" s="87" t="n"/>
      <c r="B825" s="87" t="n"/>
      <c r="C825" s="87" t="n"/>
      <c r="D825" s="87" t="n"/>
      <c r="E825" s="87" t="n"/>
      <c r="F825" s="87" t="n"/>
      <c r="G825" s="87" t="n"/>
      <c r="H825" s="87" t="n"/>
      <c r="I825" s="87" t="n"/>
      <c r="J825" s="87" t="n"/>
      <c r="K825" s="87" t="n"/>
      <c r="L825" s="87" t="n"/>
      <c r="M825" s="87" t="n"/>
      <c r="N825" s="87" t="n"/>
      <c r="O825" s="87" t="n"/>
      <c r="P825" s="87" t="n"/>
      <c r="Q825" s="87" t="n"/>
      <c r="R825" s="87" t="n"/>
      <c r="S825" s="87" t="n"/>
      <c r="T825" s="87" t="n"/>
      <c r="U825" s="87" t="n"/>
      <c r="V825" s="87" t="n"/>
      <c r="W825" s="87" t="n"/>
      <c r="X825" s="87" t="n"/>
      <c r="Y825" s="87" t="n"/>
      <c r="Z825" s="87" t="n"/>
    </row>
    <row r="826" ht="15.75" customHeight="1">
      <c r="A826" s="87" t="n"/>
      <c r="B826" s="87" t="n"/>
      <c r="C826" s="87" t="n"/>
      <c r="D826" s="87" t="n"/>
      <c r="E826" s="87" t="n"/>
      <c r="F826" s="87" t="n"/>
      <c r="G826" s="87" t="n"/>
      <c r="H826" s="87" t="n"/>
      <c r="I826" s="87" t="n"/>
      <c r="J826" s="87" t="n"/>
      <c r="K826" s="87" t="n"/>
      <c r="L826" s="87" t="n"/>
      <c r="M826" s="87" t="n"/>
      <c r="N826" s="87" t="n"/>
      <c r="O826" s="87" t="n"/>
      <c r="P826" s="87" t="n"/>
      <c r="Q826" s="87" t="n"/>
      <c r="R826" s="87" t="n"/>
      <c r="S826" s="87" t="n"/>
      <c r="T826" s="87" t="n"/>
      <c r="U826" s="87" t="n"/>
      <c r="V826" s="87" t="n"/>
      <c r="W826" s="87" t="n"/>
      <c r="X826" s="87" t="n"/>
      <c r="Y826" s="87" t="n"/>
      <c r="Z826" s="87" t="n"/>
    </row>
    <row r="827" ht="15.75" customHeight="1">
      <c r="A827" s="87" t="n"/>
      <c r="B827" s="87" t="n"/>
      <c r="C827" s="87" t="n"/>
      <c r="D827" s="87" t="n"/>
      <c r="E827" s="87" t="n"/>
      <c r="F827" s="87" t="n"/>
      <c r="G827" s="87" t="n"/>
      <c r="H827" s="87" t="n"/>
      <c r="I827" s="87" t="n"/>
      <c r="J827" s="87" t="n"/>
      <c r="K827" s="87" t="n"/>
      <c r="L827" s="87" t="n"/>
      <c r="M827" s="87" t="n"/>
      <c r="N827" s="87" t="n"/>
      <c r="O827" s="87" t="n"/>
      <c r="P827" s="87" t="n"/>
      <c r="Q827" s="87" t="n"/>
      <c r="R827" s="87" t="n"/>
      <c r="S827" s="87" t="n"/>
      <c r="T827" s="87" t="n"/>
      <c r="U827" s="87" t="n"/>
      <c r="V827" s="87" t="n"/>
      <c r="W827" s="87" t="n"/>
      <c r="X827" s="87" t="n"/>
      <c r="Y827" s="87" t="n"/>
      <c r="Z827" s="87" t="n"/>
    </row>
    <row r="828" ht="15.75" customHeight="1">
      <c r="A828" s="87" t="n"/>
      <c r="B828" s="87" t="n"/>
      <c r="C828" s="87" t="n"/>
      <c r="D828" s="87" t="n"/>
      <c r="E828" s="87" t="n"/>
      <c r="F828" s="87" t="n"/>
      <c r="G828" s="87" t="n"/>
      <c r="H828" s="87" t="n"/>
      <c r="I828" s="87" t="n"/>
      <c r="J828" s="87" t="n"/>
      <c r="K828" s="87" t="n"/>
      <c r="L828" s="87" t="n"/>
      <c r="M828" s="87" t="n"/>
      <c r="N828" s="87" t="n"/>
      <c r="O828" s="87" t="n"/>
      <c r="P828" s="87" t="n"/>
      <c r="Q828" s="87" t="n"/>
      <c r="R828" s="87" t="n"/>
      <c r="S828" s="87" t="n"/>
      <c r="T828" s="87" t="n"/>
      <c r="U828" s="87" t="n"/>
      <c r="V828" s="87" t="n"/>
      <c r="W828" s="87" t="n"/>
      <c r="X828" s="87" t="n"/>
      <c r="Y828" s="87" t="n"/>
      <c r="Z828" s="87" t="n"/>
    </row>
    <row r="829" ht="15.75" customHeight="1">
      <c r="A829" s="87" t="n"/>
      <c r="B829" s="87" t="n"/>
      <c r="C829" s="87" t="n"/>
      <c r="D829" s="87" t="n"/>
      <c r="E829" s="87" t="n"/>
      <c r="F829" s="87" t="n"/>
      <c r="G829" s="87" t="n"/>
      <c r="H829" s="87" t="n"/>
      <c r="I829" s="87" t="n"/>
      <c r="J829" s="87" t="n"/>
      <c r="K829" s="87" t="n"/>
      <c r="L829" s="87" t="n"/>
      <c r="M829" s="87" t="n"/>
      <c r="N829" s="87" t="n"/>
      <c r="O829" s="87" t="n"/>
      <c r="P829" s="87" t="n"/>
      <c r="Q829" s="87" t="n"/>
      <c r="R829" s="87" t="n"/>
      <c r="S829" s="87" t="n"/>
      <c r="T829" s="87" t="n"/>
      <c r="U829" s="87" t="n"/>
      <c r="V829" s="87" t="n"/>
      <c r="W829" s="87" t="n"/>
      <c r="X829" s="87" t="n"/>
      <c r="Y829" s="87" t="n"/>
      <c r="Z829" s="87" t="n"/>
    </row>
    <row r="830" ht="15.75" customHeight="1">
      <c r="A830" s="87" t="n"/>
      <c r="B830" s="87" t="n"/>
      <c r="C830" s="87" t="n"/>
      <c r="D830" s="87" t="n"/>
      <c r="E830" s="87" t="n"/>
      <c r="F830" s="87" t="n"/>
      <c r="G830" s="87" t="n"/>
      <c r="H830" s="87" t="n"/>
      <c r="I830" s="87" t="n"/>
      <c r="J830" s="87" t="n"/>
      <c r="K830" s="87" t="n"/>
      <c r="L830" s="87" t="n"/>
      <c r="M830" s="87" t="n"/>
      <c r="N830" s="87" t="n"/>
      <c r="O830" s="87" t="n"/>
      <c r="P830" s="87" t="n"/>
      <c r="Q830" s="87" t="n"/>
      <c r="R830" s="87" t="n"/>
      <c r="S830" s="87" t="n"/>
      <c r="T830" s="87" t="n"/>
      <c r="U830" s="87" t="n"/>
      <c r="V830" s="87" t="n"/>
      <c r="W830" s="87" t="n"/>
      <c r="X830" s="87" t="n"/>
      <c r="Y830" s="87" t="n"/>
      <c r="Z830" s="87" t="n"/>
    </row>
    <row r="831" ht="15.75" customHeight="1">
      <c r="A831" s="87" t="n"/>
      <c r="B831" s="87" t="n"/>
      <c r="C831" s="87" t="n"/>
      <c r="D831" s="87" t="n"/>
      <c r="E831" s="87" t="n"/>
      <c r="F831" s="87" t="n"/>
      <c r="G831" s="87" t="n"/>
      <c r="H831" s="87" t="n"/>
      <c r="I831" s="87" t="n"/>
      <c r="J831" s="87" t="n"/>
      <c r="K831" s="87" t="n"/>
      <c r="L831" s="87" t="n"/>
      <c r="M831" s="87" t="n"/>
      <c r="N831" s="87" t="n"/>
      <c r="O831" s="87" t="n"/>
      <c r="P831" s="87" t="n"/>
      <c r="Q831" s="87" t="n"/>
      <c r="R831" s="87" t="n"/>
      <c r="S831" s="87" t="n"/>
      <c r="T831" s="87" t="n"/>
      <c r="U831" s="87" t="n"/>
      <c r="V831" s="87" t="n"/>
      <c r="W831" s="87" t="n"/>
      <c r="X831" s="87" t="n"/>
      <c r="Y831" s="87" t="n"/>
      <c r="Z831" s="87" t="n"/>
    </row>
    <row r="832" ht="15.75" customHeight="1">
      <c r="A832" s="87" t="n"/>
      <c r="B832" s="87" t="n"/>
      <c r="C832" s="87" t="n"/>
      <c r="D832" s="87" t="n"/>
      <c r="E832" s="87" t="n"/>
      <c r="F832" s="87" t="n"/>
      <c r="G832" s="87" t="n"/>
      <c r="H832" s="87" t="n"/>
      <c r="I832" s="87" t="n"/>
      <c r="J832" s="87" t="n"/>
      <c r="K832" s="87" t="n"/>
      <c r="L832" s="87" t="n"/>
      <c r="M832" s="87" t="n"/>
      <c r="N832" s="87" t="n"/>
      <c r="O832" s="87" t="n"/>
      <c r="P832" s="87" t="n"/>
      <c r="Q832" s="87" t="n"/>
      <c r="R832" s="87" t="n"/>
      <c r="S832" s="87" t="n"/>
      <c r="T832" s="87" t="n"/>
      <c r="U832" s="87" t="n"/>
      <c r="V832" s="87" t="n"/>
      <c r="W832" s="87" t="n"/>
      <c r="X832" s="87" t="n"/>
      <c r="Y832" s="87" t="n"/>
      <c r="Z832" s="87" t="n"/>
    </row>
    <row r="833" ht="15.75" customHeight="1">
      <c r="A833" s="87" t="n"/>
      <c r="B833" s="87" t="n"/>
      <c r="C833" s="87" t="n"/>
      <c r="D833" s="87" t="n"/>
      <c r="E833" s="87" t="n"/>
      <c r="F833" s="87" t="n"/>
      <c r="G833" s="87" t="n"/>
      <c r="H833" s="87" t="n"/>
      <c r="I833" s="87" t="n"/>
      <c r="J833" s="87" t="n"/>
      <c r="K833" s="87" t="n"/>
      <c r="L833" s="87" t="n"/>
      <c r="M833" s="87" t="n"/>
      <c r="N833" s="87" t="n"/>
      <c r="O833" s="87" t="n"/>
      <c r="P833" s="87" t="n"/>
      <c r="Q833" s="87" t="n"/>
      <c r="R833" s="87" t="n"/>
      <c r="S833" s="87" t="n"/>
      <c r="T833" s="87" t="n"/>
      <c r="U833" s="87" t="n"/>
      <c r="V833" s="87" t="n"/>
      <c r="W833" s="87" t="n"/>
      <c r="X833" s="87" t="n"/>
      <c r="Y833" s="87" t="n"/>
      <c r="Z833" s="87" t="n"/>
    </row>
    <row r="834" ht="15.75" customHeight="1">
      <c r="A834" s="87" t="n"/>
      <c r="B834" s="87" t="n"/>
      <c r="C834" s="87" t="n"/>
      <c r="D834" s="87" t="n"/>
      <c r="E834" s="87" t="n"/>
      <c r="F834" s="87" t="n"/>
      <c r="G834" s="87" t="n"/>
      <c r="H834" s="87" t="n"/>
      <c r="I834" s="87" t="n"/>
      <c r="J834" s="87" t="n"/>
      <c r="K834" s="87" t="n"/>
      <c r="L834" s="87" t="n"/>
      <c r="M834" s="87" t="n"/>
      <c r="N834" s="87" t="n"/>
      <c r="O834" s="87" t="n"/>
      <c r="P834" s="87" t="n"/>
      <c r="Q834" s="87" t="n"/>
      <c r="R834" s="87" t="n"/>
      <c r="S834" s="87" t="n"/>
      <c r="T834" s="87" t="n"/>
      <c r="U834" s="87" t="n"/>
      <c r="V834" s="87" t="n"/>
      <c r="W834" s="87" t="n"/>
      <c r="X834" s="87" t="n"/>
      <c r="Y834" s="87" t="n"/>
      <c r="Z834" s="87" t="n"/>
    </row>
    <row r="835" ht="15.75" customHeight="1">
      <c r="A835" s="87" t="n"/>
      <c r="B835" s="87" t="n"/>
      <c r="C835" s="87" t="n"/>
      <c r="D835" s="87" t="n"/>
      <c r="E835" s="87" t="n"/>
      <c r="F835" s="87" t="n"/>
      <c r="G835" s="87" t="n"/>
      <c r="H835" s="87" t="n"/>
      <c r="I835" s="87" t="n"/>
      <c r="J835" s="87" t="n"/>
      <c r="K835" s="87" t="n"/>
      <c r="L835" s="87" t="n"/>
      <c r="M835" s="87" t="n"/>
      <c r="N835" s="87" t="n"/>
      <c r="O835" s="87" t="n"/>
      <c r="P835" s="87" t="n"/>
      <c r="Q835" s="87" t="n"/>
      <c r="R835" s="87" t="n"/>
      <c r="S835" s="87" t="n"/>
      <c r="T835" s="87" t="n"/>
      <c r="U835" s="87" t="n"/>
      <c r="V835" s="87" t="n"/>
      <c r="W835" s="87" t="n"/>
      <c r="X835" s="87" t="n"/>
      <c r="Y835" s="87" t="n"/>
      <c r="Z835" s="87" t="n"/>
    </row>
    <row r="836" ht="15.75" customHeight="1">
      <c r="A836" s="87" t="n"/>
      <c r="B836" s="87" t="n"/>
      <c r="C836" s="87" t="n"/>
      <c r="D836" s="87" t="n"/>
      <c r="E836" s="87" t="n"/>
      <c r="F836" s="87" t="n"/>
      <c r="G836" s="87" t="n"/>
      <c r="H836" s="87" t="n"/>
      <c r="I836" s="87" t="n"/>
      <c r="J836" s="87" t="n"/>
      <c r="K836" s="87" t="n"/>
      <c r="L836" s="87" t="n"/>
      <c r="M836" s="87" t="n"/>
      <c r="N836" s="87" t="n"/>
      <c r="O836" s="87" t="n"/>
      <c r="P836" s="87" t="n"/>
      <c r="Q836" s="87" t="n"/>
      <c r="R836" s="87" t="n"/>
      <c r="S836" s="87" t="n"/>
      <c r="T836" s="87" t="n"/>
      <c r="U836" s="87" t="n"/>
      <c r="V836" s="87" t="n"/>
      <c r="W836" s="87" t="n"/>
      <c r="X836" s="87" t="n"/>
      <c r="Y836" s="87" t="n"/>
      <c r="Z836" s="87" t="n"/>
    </row>
    <row r="837" ht="15.75" customHeight="1">
      <c r="A837" s="87" t="n"/>
      <c r="B837" s="87" t="n"/>
      <c r="C837" s="87" t="n"/>
      <c r="D837" s="87" t="n"/>
      <c r="E837" s="87" t="n"/>
      <c r="F837" s="87" t="n"/>
      <c r="G837" s="87" t="n"/>
      <c r="H837" s="87" t="n"/>
      <c r="I837" s="87" t="n"/>
      <c r="J837" s="87" t="n"/>
      <c r="K837" s="87" t="n"/>
      <c r="L837" s="87" t="n"/>
      <c r="M837" s="87" t="n"/>
      <c r="N837" s="87" t="n"/>
      <c r="O837" s="87" t="n"/>
      <c r="P837" s="87" t="n"/>
      <c r="Q837" s="87" t="n"/>
      <c r="R837" s="87" t="n"/>
      <c r="S837" s="87" t="n"/>
      <c r="T837" s="87" t="n"/>
      <c r="U837" s="87" t="n"/>
      <c r="V837" s="87" t="n"/>
      <c r="W837" s="87" t="n"/>
      <c r="X837" s="87" t="n"/>
      <c r="Y837" s="87" t="n"/>
      <c r="Z837" s="87" t="n"/>
    </row>
    <row r="838" ht="15.75" customHeight="1">
      <c r="A838" s="87" t="n"/>
      <c r="B838" s="87" t="n"/>
      <c r="C838" s="87" t="n"/>
      <c r="D838" s="87" t="n"/>
      <c r="E838" s="87" t="n"/>
      <c r="F838" s="87" t="n"/>
      <c r="G838" s="87" t="n"/>
      <c r="H838" s="87" t="n"/>
      <c r="I838" s="87" t="n"/>
      <c r="J838" s="87" t="n"/>
      <c r="K838" s="87" t="n"/>
      <c r="L838" s="87" t="n"/>
      <c r="M838" s="87" t="n"/>
      <c r="N838" s="87" t="n"/>
      <c r="O838" s="87" t="n"/>
      <c r="P838" s="87" t="n"/>
      <c r="Q838" s="87" t="n"/>
      <c r="R838" s="87" t="n"/>
      <c r="S838" s="87" t="n"/>
      <c r="T838" s="87" t="n"/>
      <c r="U838" s="87" t="n"/>
      <c r="V838" s="87" t="n"/>
      <c r="W838" s="87" t="n"/>
      <c r="X838" s="87" t="n"/>
      <c r="Y838" s="87" t="n"/>
      <c r="Z838" s="87" t="n"/>
    </row>
    <row r="839" ht="15.75" customHeight="1">
      <c r="A839" s="87" t="n"/>
      <c r="B839" s="87" t="n"/>
      <c r="C839" s="87" t="n"/>
      <c r="D839" s="87" t="n"/>
      <c r="E839" s="87" t="n"/>
      <c r="F839" s="87" t="n"/>
      <c r="G839" s="87" t="n"/>
      <c r="H839" s="87" t="n"/>
      <c r="I839" s="87" t="n"/>
      <c r="J839" s="87" t="n"/>
      <c r="K839" s="87" t="n"/>
      <c r="L839" s="87" t="n"/>
      <c r="M839" s="87" t="n"/>
      <c r="N839" s="87" t="n"/>
      <c r="O839" s="87" t="n"/>
      <c r="P839" s="87" t="n"/>
      <c r="Q839" s="87" t="n"/>
      <c r="R839" s="87" t="n"/>
      <c r="S839" s="87" t="n"/>
      <c r="T839" s="87" t="n"/>
      <c r="U839" s="87" t="n"/>
      <c r="V839" s="87" t="n"/>
      <c r="W839" s="87" t="n"/>
      <c r="X839" s="87" t="n"/>
      <c r="Y839" s="87" t="n"/>
      <c r="Z839" s="87" t="n"/>
    </row>
    <row r="840" ht="15.75" customHeight="1">
      <c r="A840" s="87" t="n"/>
      <c r="B840" s="87" t="n"/>
      <c r="C840" s="87" t="n"/>
      <c r="D840" s="87" t="n"/>
      <c r="E840" s="87" t="n"/>
      <c r="F840" s="87" t="n"/>
      <c r="G840" s="87" t="n"/>
      <c r="H840" s="87" t="n"/>
      <c r="I840" s="87" t="n"/>
      <c r="J840" s="87" t="n"/>
      <c r="K840" s="87" t="n"/>
      <c r="L840" s="87" t="n"/>
      <c r="M840" s="87" t="n"/>
      <c r="N840" s="87" t="n"/>
      <c r="O840" s="87" t="n"/>
      <c r="P840" s="87" t="n"/>
      <c r="Q840" s="87" t="n"/>
      <c r="R840" s="87" t="n"/>
      <c r="S840" s="87" t="n"/>
      <c r="T840" s="87" t="n"/>
      <c r="U840" s="87" t="n"/>
      <c r="V840" s="87" t="n"/>
      <c r="W840" s="87" t="n"/>
      <c r="X840" s="87" t="n"/>
      <c r="Y840" s="87" t="n"/>
      <c r="Z840" s="87" t="n"/>
    </row>
    <row r="841" ht="15.75" customHeight="1">
      <c r="A841" s="87" t="n"/>
      <c r="B841" s="87" t="n"/>
      <c r="C841" s="87" t="n"/>
      <c r="D841" s="87" t="n"/>
      <c r="E841" s="87" t="n"/>
      <c r="F841" s="87" t="n"/>
      <c r="G841" s="87" t="n"/>
      <c r="H841" s="87" t="n"/>
      <c r="I841" s="87" t="n"/>
      <c r="J841" s="87" t="n"/>
      <c r="K841" s="87" t="n"/>
      <c r="L841" s="87" t="n"/>
      <c r="M841" s="87" t="n"/>
      <c r="N841" s="87" t="n"/>
      <c r="O841" s="87" t="n"/>
      <c r="P841" s="87" t="n"/>
      <c r="Q841" s="87" t="n"/>
      <c r="R841" s="87" t="n"/>
      <c r="S841" s="87" t="n"/>
      <c r="T841" s="87" t="n"/>
      <c r="U841" s="87" t="n"/>
      <c r="V841" s="87" t="n"/>
      <c r="W841" s="87" t="n"/>
      <c r="X841" s="87" t="n"/>
      <c r="Y841" s="87" t="n"/>
      <c r="Z841" s="87" t="n"/>
    </row>
    <row r="842" ht="15.75" customHeight="1">
      <c r="A842" s="87" t="n"/>
      <c r="B842" s="87" t="n"/>
      <c r="C842" s="87" t="n"/>
      <c r="D842" s="87" t="n"/>
      <c r="E842" s="87" t="n"/>
      <c r="F842" s="87" t="n"/>
      <c r="G842" s="87" t="n"/>
      <c r="H842" s="87" t="n"/>
      <c r="I842" s="87" t="n"/>
      <c r="J842" s="87" t="n"/>
      <c r="K842" s="87" t="n"/>
      <c r="L842" s="87" t="n"/>
      <c r="M842" s="87" t="n"/>
      <c r="N842" s="87" t="n"/>
      <c r="O842" s="87" t="n"/>
      <c r="P842" s="87" t="n"/>
      <c r="Q842" s="87" t="n"/>
      <c r="R842" s="87" t="n"/>
      <c r="S842" s="87" t="n"/>
      <c r="T842" s="87" t="n"/>
      <c r="U842" s="87" t="n"/>
      <c r="V842" s="87" t="n"/>
      <c r="W842" s="87" t="n"/>
      <c r="X842" s="87" t="n"/>
      <c r="Y842" s="87" t="n"/>
      <c r="Z842" s="87" t="n"/>
    </row>
    <row r="843" ht="15.75" customHeight="1">
      <c r="A843" s="87" t="n"/>
      <c r="B843" s="87" t="n"/>
      <c r="C843" s="87" t="n"/>
      <c r="D843" s="87" t="n"/>
      <c r="E843" s="87" t="n"/>
      <c r="F843" s="87" t="n"/>
      <c r="G843" s="87" t="n"/>
      <c r="H843" s="87" t="n"/>
      <c r="I843" s="87" t="n"/>
      <c r="J843" s="87" t="n"/>
      <c r="K843" s="87" t="n"/>
      <c r="L843" s="87" t="n"/>
      <c r="M843" s="87" t="n"/>
      <c r="N843" s="87" t="n"/>
      <c r="O843" s="87" t="n"/>
      <c r="P843" s="87" t="n"/>
      <c r="Q843" s="87" t="n"/>
      <c r="R843" s="87" t="n"/>
      <c r="S843" s="87" t="n"/>
      <c r="T843" s="87" t="n"/>
      <c r="U843" s="87" t="n"/>
      <c r="V843" s="87" t="n"/>
      <c r="W843" s="87" t="n"/>
      <c r="X843" s="87" t="n"/>
      <c r="Y843" s="87" t="n"/>
      <c r="Z843" s="87" t="n"/>
    </row>
    <row r="844" ht="15.75" customHeight="1">
      <c r="A844" s="87" t="n"/>
      <c r="B844" s="87" t="n"/>
      <c r="C844" s="87" t="n"/>
      <c r="D844" s="87" t="n"/>
      <c r="E844" s="87" t="n"/>
      <c r="F844" s="87" t="n"/>
      <c r="G844" s="87" t="n"/>
      <c r="H844" s="87" t="n"/>
      <c r="I844" s="87" t="n"/>
      <c r="J844" s="87" t="n"/>
      <c r="K844" s="87" t="n"/>
      <c r="L844" s="87" t="n"/>
      <c r="M844" s="87" t="n"/>
      <c r="N844" s="87" t="n"/>
      <c r="O844" s="87" t="n"/>
      <c r="P844" s="87" t="n"/>
      <c r="Q844" s="87" t="n"/>
      <c r="R844" s="87" t="n"/>
      <c r="S844" s="87" t="n"/>
      <c r="T844" s="87" t="n"/>
      <c r="U844" s="87" t="n"/>
      <c r="V844" s="87" t="n"/>
      <c r="W844" s="87" t="n"/>
      <c r="X844" s="87" t="n"/>
      <c r="Y844" s="87" t="n"/>
      <c r="Z844" s="87" t="n"/>
    </row>
    <row r="845" ht="15.75" customHeight="1">
      <c r="A845" s="87" t="n"/>
      <c r="B845" s="87" t="n"/>
      <c r="C845" s="87" t="n"/>
      <c r="D845" s="87" t="n"/>
      <c r="E845" s="87" t="n"/>
      <c r="F845" s="87" t="n"/>
      <c r="G845" s="87" t="n"/>
      <c r="H845" s="87" t="n"/>
      <c r="I845" s="87" t="n"/>
      <c r="J845" s="87" t="n"/>
      <c r="K845" s="87" t="n"/>
      <c r="L845" s="87" t="n"/>
      <c r="M845" s="87" t="n"/>
      <c r="N845" s="87" t="n"/>
      <c r="O845" s="87" t="n"/>
      <c r="P845" s="87" t="n"/>
      <c r="Q845" s="87" t="n"/>
      <c r="R845" s="87" t="n"/>
      <c r="S845" s="87" t="n"/>
      <c r="T845" s="87" t="n"/>
      <c r="U845" s="87" t="n"/>
      <c r="V845" s="87" t="n"/>
      <c r="W845" s="87" t="n"/>
      <c r="X845" s="87" t="n"/>
      <c r="Y845" s="87" t="n"/>
      <c r="Z845" s="87" t="n"/>
    </row>
    <row r="846" ht="15.75" customHeight="1">
      <c r="A846" s="87" t="n"/>
      <c r="B846" s="87" t="n"/>
      <c r="C846" s="87" t="n"/>
      <c r="D846" s="87" t="n"/>
      <c r="E846" s="87" t="n"/>
      <c r="F846" s="87" t="n"/>
      <c r="G846" s="87" t="n"/>
      <c r="H846" s="87" t="n"/>
      <c r="I846" s="87" t="n"/>
      <c r="J846" s="87" t="n"/>
      <c r="K846" s="87" t="n"/>
      <c r="L846" s="87" t="n"/>
      <c r="M846" s="87" t="n"/>
      <c r="N846" s="87" t="n"/>
      <c r="O846" s="87" t="n"/>
      <c r="P846" s="87" t="n"/>
      <c r="Q846" s="87" t="n"/>
      <c r="R846" s="87" t="n"/>
      <c r="S846" s="87" t="n"/>
      <c r="T846" s="87" t="n"/>
      <c r="U846" s="87" t="n"/>
      <c r="V846" s="87" t="n"/>
      <c r="W846" s="87" t="n"/>
      <c r="X846" s="87" t="n"/>
      <c r="Y846" s="87" t="n"/>
      <c r="Z846" s="87" t="n"/>
    </row>
    <row r="847" ht="15.75" customHeight="1">
      <c r="A847" s="87" t="n"/>
      <c r="B847" s="87" t="n"/>
      <c r="C847" s="87" t="n"/>
      <c r="D847" s="87" t="n"/>
      <c r="E847" s="87" t="n"/>
      <c r="F847" s="87" t="n"/>
      <c r="G847" s="87" t="n"/>
      <c r="H847" s="87" t="n"/>
      <c r="I847" s="87" t="n"/>
      <c r="J847" s="87" t="n"/>
      <c r="K847" s="87" t="n"/>
      <c r="L847" s="87" t="n"/>
      <c r="M847" s="87" t="n"/>
      <c r="N847" s="87" t="n"/>
      <c r="O847" s="87" t="n"/>
      <c r="P847" s="87" t="n"/>
      <c r="Q847" s="87" t="n"/>
      <c r="R847" s="87" t="n"/>
      <c r="S847" s="87" t="n"/>
      <c r="T847" s="87" t="n"/>
      <c r="U847" s="87" t="n"/>
      <c r="V847" s="87" t="n"/>
      <c r="W847" s="87" t="n"/>
      <c r="X847" s="87" t="n"/>
      <c r="Y847" s="87" t="n"/>
      <c r="Z847" s="87" t="n"/>
    </row>
    <row r="848" ht="15.75" customHeight="1">
      <c r="A848" s="87" t="n"/>
      <c r="B848" s="87" t="n"/>
      <c r="C848" s="87" t="n"/>
      <c r="D848" s="87" t="n"/>
      <c r="E848" s="87" t="n"/>
      <c r="F848" s="87" t="n"/>
      <c r="G848" s="87" t="n"/>
      <c r="H848" s="87" t="n"/>
      <c r="I848" s="87" t="n"/>
      <c r="J848" s="87" t="n"/>
      <c r="K848" s="87" t="n"/>
      <c r="L848" s="87" t="n"/>
      <c r="M848" s="87" t="n"/>
      <c r="N848" s="87" t="n"/>
      <c r="O848" s="87" t="n"/>
      <c r="P848" s="87" t="n"/>
      <c r="Q848" s="87" t="n"/>
      <c r="R848" s="87" t="n"/>
      <c r="S848" s="87" t="n"/>
      <c r="T848" s="87" t="n"/>
      <c r="U848" s="87" t="n"/>
      <c r="V848" s="87" t="n"/>
      <c r="W848" s="87" t="n"/>
      <c r="X848" s="87" t="n"/>
      <c r="Y848" s="87" t="n"/>
      <c r="Z848" s="87" t="n"/>
    </row>
    <row r="849" ht="15.75" customHeight="1">
      <c r="A849" s="87" t="n"/>
      <c r="B849" s="87" t="n"/>
      <c r="C849" s="87" t="n"/>
      <c r="D849" s="87" t="n"/>
      <c r="E849" s="87" t="n"/>
      <c r="F849" s="87" t="n"/>
      <c r="G849" s="87" t="n"/>
      <c r="H849" s="87" t="n"/>
      <c r="I849" s="87" t="n"/>
      <c r="J849" s="87" t="n"/>
      <c r="K849" s="87" t="n"/>
      <c r="L849" s="87" t="n"/>
      <c r="M849" s="87" t="n"/>
      <c r="N849" s="87" t="n"/>
      <c r="O849" s="87" t="n"/>
      <c r="P849" s="87" t="n"/>
      <c r="Q849" s="87" t="n"/>
      <c r="R849" s="87" t="n"/>
      <c r="S849" s="87" t="n"/>
      <c r="T849" s="87" t="n"/>
      <c r="U849" s="87" t="n"/>
      <c r="V849" s="87" t="n"/>
      <c r="W849" s="87" t="n"/>
      <c r="X849" s="87" t="n"/>
      <c r="Y849" s="87" t="n"/>
      <c r="Z849" s="87" t="n"/>
    </row>
    <row r="850" ht="15.75" customHeight="1">
      <c r="A850" s="87" t="n"/>
      <c r="B850" s="87" t="n"/>
      <c r="C850" s="87" t="n"/>
      <c r="D850" s="87" t="n"/>
      <c r="E850" s="87" t="n"/>
      <c r="F850" s="87" t="n"/>
      <c r="G850" s="87" t="n"/>
      <c r="H850" s="87" t="n"/>
      <c r="I850" s="87" t="n"/>
      <c r="J850" s="87" t="n"/>
      <c r="K850" s="87" t="n"/>
      <c r="L850" s="87" t="n"/>
      <c r="M850" s="87" t="n"/>
      <c r="N850" s="87" t="n"/>
      <c r="O850" s="87" t="n"/>
      <c r="P850" s="87" t="n"/>
      <c r="Q850" s="87" t="n"/>
      <c r="R850" s="87" t="n"/>
      <c r="S850" s="87" t="n"/>
      <c r="T850" s="87" t="n"/>
      <c r="U850" s="87" t="n"/>
      <c r="V850" s="87" t="n"/>
      <c r="W850" s="87" t="n"/>
      <c r="X850" s="87" t="n"/>
      <c r="Y850" s="87" t="n"/>
      <c r="Z850" s="87" t="n"/>
    </row>
    <row r="851" ht="15.75" customHeight="1">
      <c r="A851" s="87" t="n"/>
      <c r="B851" s="87" t="n"/>
      <c r="C851" s="87" t="n"/>
      <c r="D851" s="87" t="n"/>
      <c r="E851" s="87" t="n"/>
      <c r="F851" s="87" t="n"/>
      <c r="G851" s="87" t="n"/>
      <c r="H851" s="87" t="n"/>
      <c r="I851" s="87" t="n"/>
      <c r="J851" s="87" t="n"/>
      <c r="K851" s="87" t="n"/>
      <c r="L851" s="87" t="n"/>
      <c r="M851" s="87" t="n"/>
      <c r="N851" s="87" t="n"/>
      <c r="O851" s="87" t="n"/>
      <c r="P851" s="87" t="n"/>
      <c r="Q851" s="87" t="n"/>
      <c r="R851" s="87" t="n"/>
      <c r="S851" s="87" t="n"/>
      <c r="T851" s="87" t="n"/>
      <c r="U851" s="87" t="n"/>
      <c r="V851" s="87" t="n"/>
      <c r="W851" s="87" t="n"/>
      <c r="X851" s="87" t="n"/>
      <c r="Y851" s="87" t="n"/>
      <c r="Z851" s="87" t="n"/>
    </row>
    <row r="852" ht="15.75" customHeight="1">
      <c r="A852" s="87" t="n"/>
      <c r="B852" s="87" t="n"/>
      <c r="C852" s="87" t="n"/>
      <c r="D852" s="87" t="n"/>
      <c r="E852" s="87" t="n"/>
      <c r="F852" s="87" t="n"/>
      <c r="G852" s="87" t="n"/>
      <c r="H852" s="87" t="n"/>
      <c r="I852" s="87" t="n"/>
      <c r="J852" s="87" t="n"/>
      <c r="K852" s="87" t="n"/>
      <c r="L852" s="87" t="n"/>
      <c r="M852" s="87" t="n"/>
      <c r="N852" s="87" t="n"/>
      <c r="O852" s="87" t="n"/>
      <c r="P852" s="87" t="n"/>
      <c r="Q852" s="87" t="n"/>
      <c r="R852" s="87" t="n"/>
      <c r="S852" s="87" t="n"/>
      <c r="T852" s="87" t="n"/>
      <c r="U852" s="87" t="n"/>
      <c r="V852" s="87" t="n"/>
      <c r="W852" s="87" t="n"/>
      <c r="X852" s="87" t="n"/>
      <c r="Y852" s="87" t="n"/>
      <c r="Z852" s="87" t="n"/>
    </row>
    <row r="853" ht="15.75" customHeight="1">
      <c r="A853" s="87" t="n"/>
      <c r="B853" s="87" t="n"/>
      <c r="C853" s="87" t="n"/>
      <c r="D853" s="87" t="n"/>
      <c r="E853" s="87" t="n"/>
      <c r="F853" s="87" t="n"/>
      <c r="G853" s="87" t="n"/>
      <c r="H853" s="87" t="n"/>
      <c r="I853" s="87" t="n"/>
      <c r="J853" s="87" t="n"/>
      <c r="K853" s="87" t="n"/>
      <c r="L853" s="87" t="n"/>
      <c r="M853" s="87" t="n"/>
      <c r="N853" s="87" t="n"/>
      <c r="O853" s="87" t="n"/>
      <c r="P853" s="87" t="n"/>
      <c r="Q853" s="87" t="n"/>
      <c r="R853" s="87" t="n"/>
      <c r="S853" s="87" t="n"/>
      <c r="T853" s="87" t="n"/>
      <c r="U853" s="87" t="n"/>
      <c r="V853" s="87" t="n"/>
      <c r="W853" s="87" t="n"/>
      <c r="X853" s="87" t="n"/>
      <c r="Y853" s="87" t="n"/>
      <c r="Z853" s="87" t="n"/>
    </row>
    <row r="854" ht="15.75" customHeight="1">
      <c r="A854" s="87" t="n"/>
      <c r="B854" s="87" t="n"/>
      <c r="C854" s="87" t="n"/>
      <c r="D854" s="87" t="n"/>
      <c r="E854" s="87" t="n"/>
      <c r="F854" s="87" t="n"/>
      <c r="G854" s="87" t="n"/>
      <c r="H854" s="87" t="n"/>
      <c r="I854" s="87" t="n"/>
      <c r="J854" s="87" t="n"/>
      <c r="K854" s="87" t="n"/>
      <c r="L854" s="87" t="n"/>
      <c r="M854" s="87" t="n"/>
      <c r="N854" s="87" t="n"/>
      <c r="O854" s="87" t="n"/>
      <c r="P854" s="87" t="n"/>
      <c r="Q854" s="87" t="n"/>
      <c r="R854" s="87" t="n"/>
      <c r="S854" s="87" t="n"/>
      <c r="T854" s="87" t="n"/>
      <c r="U854" s="87" t="n"/>
      <c r="V854" s="87" t="n"/>
      <c r="W854" s="87" t="n"/>
      <c r="X854" s="87" t="n"/>
      <c r="Y854" s="87" t="n"/>
      <c r="Z854" s="87" t="n"/>
    </row>
    <row r="855" ht="15.75" customHeight="1">
      <c r="A855" s="87" t="n"/>
      <c r="B855" s="87" t="n"/>
      <c r="C855" s="87" t="n"/>
      <c r="D855" s="87" t="n"/>
      <c r="E855" s="87" t="n"/>
      <c r="F855" s="87" t="n"/>
      <c r="G855" s="87" t="n"/>
      <c r="H855" s="87" t="n"/>
      <c r="I855" s="87" t="n"/>
      <c r="J855" s="87" t="n"/>
      <c r="K855" s="87" t="n"/>
      <c r="L855" s="87" t="n"/>
      <c r="M855" s="87" t="n"/>
      <c r="N855" s="87" t="n"/>
      <c r="O855" s="87" t="n"/>
      <c r="P855" s="87" t="n"/>
      <c r="Q855" s="87" t="n"/>
      <c r="R855" s="87" t="n"/>
      <c r="S855" s="87" t="n"/>
      <c r="T855" s="87" t="n"/>
      <c r="U855" s="87" t="n"/>
      <c r="V855" s="87" t="n"/>
      <c r="W855" s="87" t="n"/>
      <c r="X855" s="87" t="n"/>
      <c r="Y855" s="87" t="n"/>
      <c r="Z855" s="87" t="n"/>
    </row>
    <row r="856" ht="15.75" customHeight="1">
      <c r="A856" s="87" t="n"/>
      <c r="B856" s="87" t="n"/>
      <c r="C856" s="87" t="n"/>
      <c r="D856" s="87" t="n"/>
      <c r="E856" s="87" t="n"/>
      <c r="F856" s="87" t="n"/>
      <c r="G856" s="87" t="n"/>
      <c r="H856" s="87" t="n"/>
      <c r="I856" s="87" t="n"/>
      <c r="J856" s="87" t="n"/>
      <c r="K856" s="87" t="n"/>
      <c r="L856" s="87" t="n"/>
      <c r="M856" s="87" t="n"/>
      <c r="N856" s="87" t="n"/>
      <c r="O856" s="87" t="n"/>
      <c r="P856" s="87" t="n"/>
      <c r="Q856" s="87" t="n"/>
      <c r="R856" s="87" t="n"/>
      <c r="S856" s="87" t="n"/>
      <c r="T856" s="87" t="n"/>
      <c r="U856" s="87" t="n"/>
      <c r="V856" s="87" t="n"/>
      <c r="W856" s="87" t="n"/>
      <c r="X856" s="87" t="n"/>
      <c r="Y856" s="87" t="n"/>
      <c r="Z856" s="87" t="n"/>
    </row>
    <row r="857" ht="15.75" customHeight="1">
      <c r="A857" s="87" t="n"/>
      <c r="B857" s="87" t="n"/>
      <c r="C857" s="87" t="n"/>
      <c r="D857" s="87" t="n"/>
      <c r="E857" s="87" t="n"/>
      <c r="F857" s="87" t="n"/>
      <c r="G857" s="87" t="n"/>
      <c r="H857" s="87" t="n"/>
      <c r="I857" s="87" t="n"/>
      <c r="J857" s="87" t="n"/>
      <c r="K857" s="87" t="n"/>
      <c r="L857" s="87" t="n"/>
      <c r="M857" s="87" t="n"/>
      <c r="N857" s="87" t="n"/>
      <c r="O857" s="87" t="n"/>
      <c r="P857" s="87" t="n"/>
      <c r="Q857" s="87" t="n"/>
      <c r="R857" s="87" t="n"/>
      <c r="S857" s="87" t="n"/>
      <c r="T857" s="87" t="n"/>
      <c r="U857" s="87" t="n"/>
      <c r="V857" s="87" t="n"/>
      <c r="W857" s="87" t="n"/>
      <c r="X857" s="87" t="n"/>
      <c r="Y857" s="87" t="n"/>
      <c r="Z857" s="87" t="n"/>
    </row>
    <row r="858" ht="15.75" customHeight="1">
      <c r="A858" s="87" t="n"/>
      <c r="B858" s="87" t="n"/>
      <c r="C858" s="87" t="n"/>
      <c r="D858" s="87" t="n"/>
      <c r="E858" s="87" t="n"/>
      <c r="F858" s="87" t="n"/>
      <c r="G858" s="87" t="n"/>
      <c r="H858" s="87" t="n"/>
      <c r="I858" s="87" t="n"/>
      <c r="J858" s="87" t="n"/>
      <c r="K858" s="87" t="n"/>
      <c r="L858" s="87" t="n"/>
      <c r="M858" s="87" t="n"/>
      <c r="N858" s="87" t="n"/>
      <c r="O858" s="87" t="n"/>
      <c r="P858" s="87" t="n"/>
      <c r="Q858" s="87" t="n"/>
      <c r="R858" s="87" t="n"/>
      <c r="S858" s="87" t="n"/>
      <c r="T858" s="87" t="n"/>
      <c r="U858" s="87" t="n"/>
      <c r="V858" s="87" t="n"/>
      <c r="W858" s="87" t="n"/>
      <c r="X858" s="87" t="n"/>
      <c r="Y858" s="87" t="n"/>
      <c r="Z858" s="87" t="n"/>
    </row>
    <row r="859" ht="15.75" customHeight="1">
      <c r="A859" s="87" t="n"/>
      <c r="B859" s="87" t="n"/>
      <c r="C859" s="87" t="n"/>
      <c r="D859" s="87" t="n"/>
      <c r="E859" s="87" t="n"/>
      <c r="F859" s="87" t="n"/>
      <c r="G859" s="87" t="n"/>
      <c r="H859" s="87" t="n"/>
      <c r="I859" s="87" t="n"/>
      <c r="J859" s="87" t="n"/>
      <c r="K859" s="87" t="n"/>
      <c r="L859" s="87" t="n"/>
      <c r="M859" s="87" t="n"/>
      <c r="N859" s="87" t="n"/>
      <c r="O859" s="87" t="n"/>
      <c r="P859" s="87" t="n"/>
      <c r="Q859" s="87" t="n"/>
      <c r="R859" s="87" t="n"/>
      <c r="S859" s="87" t="n"/>
      <c r="T859" s="87" t="n"/>
      <c r="U859" s="87" t="n"/>
      <c r="V859" s="87" t="n"/>
      <c r="W859" s="87" t="n"/>
      <c r="X859" s="87" t="n"/>
      <c r="Y859" s="87" t="n"/>
      <c r="Z859" s="87" t="n"/>
    </row>
    <row r="860" ht="15.75" customHeight="1">
      <c r="A860" s="87" t="n"/>
      <c r="B860" s="87" t="n"/>
      <c r="C860" s="87" t="n"/>
      <c r="D860" s="87" t="n"/>
      <c r="E860" s="87" t="n"/>
      <c r="F860" s="87" t="n"/>
      <c r="G860" s="87" t="n"/>
      <c r="H860" s="87" t="n"/>
      <c r="I860" s="87" t="n"/>
      <c r="J860" s="87" t="n"/>
      <c r="K860" s="87" t="n"/>
      <c r="L860" s="87" t="n"/>
      <c r="M860" s="87" t="n"/>
      <c r="N860" s="87" t="n"/>
      <c r="O860" s="87" t="n"/>
      <c r="P860" s="87" t="n"/>
      <c r="Q860" s="87" t="n"/>
      <c r="R860" s="87" t="n"/>
      <c r="S860" s="87" t="n"/>
      <c r="T860" s="87" t="n"/>
      <c r="U860" s="87" t="n"/>
      <c r="V860" s="87" t="n"/>
      <c r="W860" s="87" t="n"/>
      <c r="X860" s="87" t="n"/>
      <c r="Y860" s="87" t="n"/>
      <c r="Z860" s="87" t="n"/>
    </row>
    <row r="861" ht="15.75" customHeight="1">
      <c r="A861" s="87" t="n"/>
      <c r="B861" s="87" t="n"/>
      <c r="C861" s="87" t="n"/>
      <c r="D861" s="87" t="n"/>
      <c r="E861" s="87" t="n"/>
      <c r="F861" s="87" t="n"/>
      <c r="G861" s="87" t="n"/>
      <c r="H861" s="87" t="n"/>
      <c r="I861" s="87" t="n"/>
      <c r="J861" s="87" t="n"/>
      <c r="K861" s="87" t="n"/>
      <c r="L861" s="87" t="n"/>
      <c r="M861" s="87" t="n"/>
      <c r="N861" s="87" t="n"/>
      <c r="O861" s="87" t="n"/>
      <c r="P861" s="87" t="n"/>
      <c r="Q861" s="87" t="n"/>
      <c r="R861" s="87" t="n"/>
      <c r="S861" s="87" t="n"/>
      <c r="T861" s="87" t="n"/>
      <c r="U861" s="87" t="n"/>
      <c r="V861" s="87" t="n"/>
      <c r="W861" s="87" t="n"/>
      <c r="X861" s="87" t="n"/>
      <c r="Y861" s="87" t="n"/>
      <c r="Z861" s="87" t="n"/>
    </row>
    <row r="862" ht="15.75" customHeight="1">
      <c r="A862" s="87" t="n"/>
      <c r="B862" s="87" t="n"/>
      <c r="C862" s="87" t="n"/>
      <c r="D862" s="87" t="n"/>
      <c r="E862" s="87" t="n"/>
      <c r="F862" s="87" t="n"/>
      <c r="G862" s="87" t="n"/>
      <c r="H862" s="87" t="n"/>
      <c r="I862" s="87" t="n"/>
      <c r="J862" s="87" t="n"/>
      <c r="K862" s="87" t="n"/>
      <c r="L862" s="87" t="n"/>
      <c r="M862" s="87" t="n"/>
      <c r="N862" s="87" t="n"/>
      <c r="O862" s="87" t="n"/>
      <c r="P862" s="87" t="n"/>
      <c r="Q862" s="87" t="n"/>
      <c r="R862" s="87" t="n"/>
      <c r="S862" s="87" t="n"/>
      <c r="T862" s="87" t="n"/>
      <c r="U862" s="87" t="n"/>
      <c r="V862" s="87" t="n"/>
      <c r="W862" s="87" t="n"/>
      <c r="X862" s="87" t="n"/>
      <c r="Y862" s="87" t="n"/>
      <c r="Z862" s="87" t="n"/>
    </row>
    <row r="863" ht="15.75" customHeight="1">
      <c r="A863" s="87" t="n"/>
      <c r="B863" s="87" t="n"/>
      <c r="C863" s="87" t="n"/>
      <c r="D863" s="87" t="n"/>
      <c r="E863" s="87" t="n"/>
      <c r="F863" s="87" t="n"/>
      <c r="G863" s="87" t="n"/>
      <c r="H863" s="87" t="n"/>
      <c r="I863" s="87" t="n"/>
      <c r="J863" s="87" t="n"/>
      <c r="K863" s="87" t="n"/>
      <c r="L863" s="87" t="n"/>
      <c r="M863" s="87" t="n"/>
      <c r="N863" s="87" t="n"/>
      <c r="O863" s="87" t="n"/>
      <c r="P863" s="87" t="n"/>
      <c r="Q863" s="87" t="n"/>
      <c r="R863" s="87" t="n"/>
      <c r="S863" s="87" t="n"/>
      <c r="T863" s="87" t="n"/>
      <c r="U863" s="87" t="n"/>
      <c r="V863" s="87" t="n"/>
      <c r="W863" s="87" t="n"/>
      <c r="X863" s="87" t="n"/>
      <c r="Y863" s="87" t="n"/>
      <c r="Z863" s="87" t="n"/>
    </row>
    <row r="864" ht="15.75" customHeight="1">
      <c r="A864" s="87" t="n"/>
      <c r="B864" s="87" t="n"/>
      <c r="C864" s="87" t="n"/>
      <c r="D864" s="87" t="n"/>
      <c r="E864" s="87" t="n"/>
      <c r="F864" s="87" t="n"/>
      <c r="G864" s="87" t="n"/>
      <c r="H864" s="87" t="n"/>
      <c r="I864" s="87" t="n"/>
      <c r="J864" s="87" t="n"/>
      <c r="K864" s="87" t="n"/>
      <c r="L864" s="87" t="n"/>
      <c r="M864" s="87" t="n"/>
      <c r="N864" s="87" t="n"/>
      <c r="O864" s="87" t="n"/>
      <c r="P864" s="87" t="n"/>
      <c r="Q864" s="87" t="n"/>
      <c r="R864" s="87" t="n"/>
      <c r="S864" s="87" t="n"/>
      <c r="T864" s="87" t="n"/>
      <c r="U864" s="87" t="n"/>
      <c r="V864" s="87" t="n"/>
      <c r="W864" s="87" t="n"/>
      <c r="X864" s="87" t="n"/>
      <c r="Y864" s="87" t="n"/>
      <c r="Z864" s="87" t="n"/>
    </row>
    <row r="865" ht="15.75" customHeight="1">
      <c r="A865" s="87" t="n"/>
      <c r="B865" s="87" t="n"/>
      <c r="C865" s="87" t="n"/>
      <c r="D865" s="87" t="n"/>
      <c r="E865" s="87" t="n"/>
      <c r="F865" s="87" t="n"/>
      <c r="G865" s="87" t="n"/>
      <c r="H865" s="87" t="n"/>
      <c r="I865" s="87" t="n"/>
      <c r="J865" s="87" t="n"/>
      <c r="K865" s="87" t="n"/>
      <c r="L865" s="87" t="n"/>
      <c r="M865" s="87" t="n"/>
      <c r="N865" s="87" t="n"/>
      <c r="O865" s="87" t="n"/>
      <c r="P865" s="87" t="n"/>
      <c r="Q865" s="87" t="n"/>
      <c r="R865" s="87" t="n"/>
      <c r="S865" s="87" t="n"/>
      <c r="T865" s="87" t="n"/>
      <c r="U865" s="87" t="n"/>
      <c r="V865" s="87" t="n"/>
      <c r="W865" s="87" t="n"/>
      <c r="X865" s="87" t="n"/>
      <c r="Y865" s="87" t="n"/>
      <c r="Z865" s="87" t="n"/>
    </row>
    <row r="866" ht="15.75" customHeight="1">
      <c r="A866" s="87" t="n"/>
      <c r="B866" s="87" t="n"/>
      <c r="C866" s="87" t="n"/>
      <c r="D866" s="87" t="n"/>
      <c r="E866" s="87" t="n"/>
      <c r="F866" s="87" t="n"/>
      <c r="G866" s="87" t="n"/>
      <c r="H866" s="87" t="n"/>
      <c r="I866" s="87" t="n"/>
      <c r="J866" s="87" t="n"/>
      <c r="K866" s="87" t="n"/>
      <c r="L866" s="87" t="n"/>
      <c r="M866" s="87" t="n"/>
      <c r="N866" s="87" t="n"/>
      <c r="O866" s="87" t="n"/>
      <c r="P866" s="87" t="n"/>
      <c r="Q866" s="87" t="n"/>
      <c r="R866" s="87" t="n"/>
      <c r="S866" s="87" t="n"/>
      <c r="T866" s="87" t="n"/>
      <c r="U866" s="87" t="n"/>
      <c r="V866" s="87" t="n"/>
      <c r="W866" s="87" t="n"/>
      <c r="X866" s="87" t="n"/>
      <c r="Y866" s="87" t="n"/>
      <c r="Z866" s="87" t="n"/>
    </row>
    <row r="867" ht="15.75" customHeight="1">
      <c r="A867" s="87" t="n"/>
      <c r="B867" s="87" t="n"/>
      <c r="C867" s="87" t="n"/>
      <c r="D867" s="87" t="n"/>
      <c r="E867" s="87" t="n"/>
      <c r="F867" s="87" t="n"/>
      <c r="G867" s="87" t="n"/>
      <c r="H867" s="87" t="n"/>
      <c r="I867" s="87" t="n"/>
      <c r="J867" s="87" t="n"/>
      <c r="K867" s="87" t="n"/>
      <c r="L867" s="87" t="n"/>
      <c r="M867" s="87" t="n"/>
      <c r="N867" s="87" t="n"/>
      <c r="O867" s="87" t="n"/>
      <c r="P867" s="87" t="n"/>
      <c r="Q867" s="87" t="n"/>
      <c r="R867" s="87" t="n"/>
      <c r="S867" s="87" t="n"/>
      <c r="T867" s="87" t="n"/>
      <c r="U867" s="87" t="n"/>
      <c r="V867" s="87" t="n"/>
      <c r="W867" s="87" t="n"/>
      <c r="X867" s="87" t="n"/>
      <c r="Y867" s="87" t="n"/>
      <c r="Z867" s="87" t="n"/>
    </row>
    <row r="868" ht="15.75" customHeight="1">
      <c r="A868" s="87" t="n"/>
      <c r="B868" s="87" t="n"/>
      <c r="C868" s="87" t="n"/>
      <c r="D868" s="87" t="n"/>
      <c r="E868" s="87" t="n"/>
      <c r="F868" s="87" t="n"/>
      <c r="G868" s="87" t="n"/>
      <c r="H868" s="87" t="n"/>
      <c r="I868" s="87" t="n"/>
      <c r="J868" s="87" t="n"/>
      <c r="K868" s="87" t="n"/>
      <c r="L868" s="87" t="n"/>
      <c r="M868" s="87" t="n"/>
      <c r="N868" s="87" t="n"/>
      <c r="O868" s="87" t="n"/>
      <c r="P868" s="87" t="n"/>
      <c r="Q868" s="87" t="n"/>
      <c r="R868" s="87" t="n"/>
      <c r="S868" s="87" t="n"/>
      <c r="T868" s="87" t="n"/>
      <c r="U868" s="87" t="n"/>
      <c r="V868" s="87" t="n"/>
      <c r="W868" s="87" t="n"/>
      <c r="X868" s="87" t="n"/>
      <c r="Y868" s="87" t="n"/>
      <c r="Z868" s="87" t="n"/>
    </row>
    <row r="869" ht="15.75" customHeight="1">
      <c r="A869" s="87" t="n"/>
      <c r="B869" s="87" t="n"/>
      <c r="C869" s="87" t="n"/>
      <c r="D869" s="87" t="n"/>
      <c r="E869" s="87" t="n"/>
      <c r="F869" s="87" t="n"/>
      <c r="G869" s="87" t="n"/>
      <c r="H869" s="87" t="n"/>
      <c r="I869" s="87" t="n"/>
      <c r="J869" s="87" t="n"/>
      <c r="K869" s="87" t="n"/>
      <c r="L869" s="87" t="n"/>
      <c r="M869" s="87" t="n"/>
      <c r="N869" s="87" t="n"/>
      <c r="O869" s="87" t="n"/>
      <c r="P869" s="87" t="n"/>
      <c r="Q869" s="87" t="n"/>
      <c r="R869" s="87" t="n"/>
      <c r="S869" s="87" t="n"/>
      <c r="T869" s="87" t="n"/>
      <c r="U869" s="87" t="n"/>
      <c r="V869" s="87" t="n"/>
      <c r="W869" s="87" t="n"/>
      <c r="X869" s="87" t="n"/>
      <c r="Y869" s="87" t="n"/>
      <c r="Z869" s="87" t="n"/>
    </row>
    <row r="870" ht="15.75" customHeight="1">
      <c r="A870" s="87" t="n"/>
      <c r="B870" s="87" t="n"/>
      <c r="C870" s="87" t="n"/>
      <c r="D870" s="87" t="n"/>
      <c r="E870" s="87" t="n"/>
      <c r="F870" s="87" t="n"/>
      <c r="G870" s="87" t="n"/>
      <c r="H870" s="87" t="n"/>
      <c r="I870" s="87" t="n"/>
      <c r="J870" s="87" t="n"/>
      <c r="K870" s="87" t="n"/>
      <c r="L870" s="87" t="n"/>
      <c r="M870" s="87" t="n"/>
      <c r="N870" s="87" t="n"/>
      <c r="O870" s="87" t="n"/>
      <c r="P870" s="87" t="n"/>
      <c r="Q870" s="87" t="n"/>
      <c r="R870" s="87" t="n"/>
      <c r="S870" s="87" t="n"/>
      <c r="T870" s="87" t="n"/>
      <c r="U870" s="87" t="n"/>
      <c r="V870" s="87" t="n"/>
      <c r="W870" s="87" t="n"/>
      <c r="X870" s="87" t="n"/>
      <c r="Y870" s="87" t="n"/>
      <c r="Z870" s="87" t="n"/>
    </row>
    <row r="871" ht="15.75" customHeight="1">
      <c r="A871" s="87" t="n"/>
      <c r="B871" s="87" t="n"/>
      <c r="C871" s="87" t="n"/>
      <c r="D871" s="87" t="n"/>
      <c r="E871" s="87" t="n"/>
      <c r="F871" s="87" t="n"/>
      <c r="G871" s="87" t="n"/>
      <c r="H871" s="87" t="n"/>
      <c r="I871" s="87" t="n"/>
      <c r="J871" s="87" t="n"/>
      <c r="K871" s="87" t="n"/>
      <c r="L871" s="87" t="n"/>
      <c r="M871" s="87" t="n"/>
      <c r="N871" s="87" t="n"/>
      <c r="O871" s="87" t="n"/>
      <c r="P871" s="87" t="n"/>
      <c r="Q871" s="87" t="n"/>
      <c r="R871" s="87" t="n"/>
      <c r="S871" s="87" t="n"/>
      <c r="T871" s="87" t="n"/>
      <c r="U871" s="87" t="n"/>
      <c r="V871" s="87" t="n"/>
      <c r="W871" s="87" t="n"/>
      <c r="X871" s="87" t="n"/>
      <c r="Y871" s="87" t="n"/>
      <c r="Z871" s="87" t="n"/>
    </row>
    <row r="872" ht="15.75" customHeight="1">
      <c r="A872" s="87" t="n"/>
      <c r="B872" s="87" t="n"/>
      <c r="C872" s="87" t="n"/>
      <c r="D872" s="87" t="n"/>
      <c r="E872" s="87" t="n"/>
      <c r="F872" s="87" t="n"/>
      <c r="G872" s="87" t="n"/>
      <c r="H872" s="87" t="n"/>
      <c r="I872" s="87" t="n"/>
      <c r="J872" s="87" t="n"/>
      <c r="K872" s="87" t="n"/>
      <c r="L872" s="87" t="n"/>
      <c r="M872" s="87" t="n"/>
      <c r="N872" s="87" t="n"/>
      <c r="O872" s="87" t="n"/>
      <c r="P872" s="87" t="n"/>
      <c r="Q872" s="87" t="n"/>
      <c r="R872" s="87" t="n"/>
      <c r="S872" s="87" t="n"/>
      <c r="T872" s="87" t="n"/>
      <c r="U872" s="87" t="n"/>
      <c r="V872" s="87" t="n"/>
      <c r="W872" s="87" t="n"/>
      <c r="X872" s="87" t="n"/>
      <c r="Y872" s="87" t="n"/>
      <c r="Z872" s="87" t="n"/>
    </row>
    <row r="873" ht="15.75" customHeight="1">
      <c r="A873" s="87" t="n"/>
      <c r="B873" s="87" t="n"/>
      <c r="C873" s="87" t="n"/>
      <c r="D873" s="87" t="n"/>
      <c r="E873" s="87" t="n"/>
      <c r="F873" s="87" t="n"/>
      <c r="G873" s="87" t="n"/>
      <c r="H873" s="87" t="n"/>
      <c r="I873" s="87" t="n"/>
      <c r="J873" s="87" t="n"/>
      <c r="K873" s="87" t="n"/>
      <c r="L873" s="87" t="n"/>
      <c r="M873" s="87" t="n"/>
      <c r="N873" s="87" t="n"/>
      <c r="O873" s="87" t="n"/>
      <c r="P873" s="87" t="n"/>
      <c r="Q873" s="87" t="n"/>
      <c r="R873" s="87" t="n"/>
      <c r="S873" s="87" t="n"/>
      <c r="T873" s="87" t="n"/>
      <c r="U873" s="87" t="n"/>
      <c r="V873" s="87" t="n"/>
      <c r="W873" s="87" t="n"/>
      <c r="X873" s="87" t="n"/>
      <c r="Y873" s="87" t="n"/>
      <c r="Z873" s="87" t="n"/>
    </row>
    <row r="874" ht="15.75" customHeight="1">
      <c r="A874" s="87" t="n"/>
      <c r="B874" s="87" t="n"/>
      <c r="C874" s="87" t="n"/>
      <c r="D874" s="87" t="n"/>
      <c r="E874" s="87" t="n"/>
      <c r="F874" s="87" t="n"/>
      <c r="G874" s="87" t="n"/>
      <c r="H874" s="87" t="n"/>
      <c r="I874" s="87" t="n"/>
      <c r="J874" s="87" t="n"/>
      <c r="K874" s="87" t="n"/>
      <c r="L874" s="87" t="n"/>
      <c r="M874" s="87" t="n"/>
      <c r="N874" s="87" t="n"/>
      <c r="O874" s="87" t="n"/>
      <c r="P874" s="87" t="n"/>
      <c r="Q874" s="87" t="n"/>
      <c r="R874" s="87" t="n"/>
      <c r="S874" s="87" t="n"/>
      <c r="T874" s="87" t="n"/>
      <c r="U874" s="87" t="n"/>
      <c r="V874" s="87" t="n"/>
      <c r="W874" s="87" t="n"/>
      <c r="X874" s="87" t="n"/>
      <c r="Y874" s="87" t="n"/>
      <c r="Z874" s="87" t="n"/>
    </row>
    <row r="875" ht="15.75" customHeight="1">
      <c r="A875" s="87" t="n"/>
      <c r="B875" s="87" t="n"/>
      <c r="C875" s="87" t="n"/>
      <c r="D875" s="87" t="n"/>
      <c r="E875" s="87" t="n"/>
      <c r="F875" s="87" t="n"/>
      <c r="G875" s="87" t="n"/>
      <c r="H875" s="87" t="n"/>
      <c r="I875" s="87" t="n"/>
      <c r="J875" s="87" t="n"/>
      <c r="K875" s="87" t="n"/>
      <c r="L875" s="87" t="n"/>
      <c r="M875" s="87" t="n"/>
      <c r="N875" s="87" t="n"/>
      <c r="O875" s="87" t="n"/>
      <c r="P875" s="87" t="n"/>
      <c r="Q875" s="87" t="n"/>
      <c r="R875" s="87" t="n"/>
      <c r="S875" s="87" t="n"/>
      <c r="T875" s="87" t="n"/>
      <c r="U875" s="87" t="n"/>
      <c r="V875" s="87" t="n"/>
      <c r="W875" s="87" t="n"/>
      <c r="X875" s="87" t="n"/>
      <c r="Y875" s="87" t="n"/>
      <c r="Z875" s="87" t="n"/>
    </row>
    <row r="876" ht="15.75" customHeight="1">
      <c r="A876" s="87" t="n"/>
      <c r="B876" s="87" t="n"/>
      <c r="C876" s="87" t="n"/>
      <c r="D876" s="87" t="n"/>
      <c r="E876" s="87" t="n"/>
      <c r="F876" s="87" t="n"/>
      <c r="G876" s="87" t="n"/>
      <c r="H876" s="87" t="n"/>
      <c r="I876" s="87" t="n"/>
      <c r="J876" s="87" t="n"/>
      <c r="K876" s="87" t="n"/>
      <c r="L876" s="87" t="n"/>
      <c r="M876" s="87" t="n"/>
      <c r="N876" s="87" t="n"/>
      <c r="O876" s="87" t="n"/>
      <c r="P876" s="87" t="n"/>
      <c r="Q876" s="87" t="n"/>
      <c r="R876" s="87" t="n"/>
      <c r="S876" s="87" t="n"/>
      <c r="T876" s="87" t="n"/>
      <c r="U876" s="87" t="n"/>
      <c r="V876" s="87" t="n"/>
      <c r="W876" s="87" t="n"/>
      <c r="X876" s="87" t="n"/>
      <c r="Y876" s="87" t="n"/>
      <c r="Z876" s="87" t="n"/>
    </row>
    <row r="877" ht="15.75" customHeight="1">
      <c r="A877" s="87" t="n"/>
      <c r="B877" s="87" t="n"/>
      <c r="C877" s="87" t="n"/>
      <c r="D877" s="87" t="n"/>
      <c r="E877" s="87" t="n"/>
      <c r="F877" s="87" t="n"/>
      <c r="G877" s="87" t="n"/>
      <c r="H877" s="87" t="n"/>
      <c r="I877" s="87" t="n"/>
      <c r="J877" s="87" t="n"/>
      <c r="K877" s="87" t="n"/>
      <c r="L877" s="87" t="n"/>
      <c r="M877" s="87" t="n"/>
      <c r="N877" s="87" t="n"/>
      <c r="O877" s="87" t="n"/>
      <c r="P877" s="87" t="n"/>
      <c r="Q877" s="87" t="n"/>
      <c r="R877" s="87" t="n"/>
      <c r="S877" s="87" t="n"/>
      <c r="T877" s="87" t="n"/>
      <c r="U877" s="87" t="n"/>
      <c r="V877" s="87" t="n"/>
      <c r="W877" s="87" t="n"/>
      <c r="X877" s="87" t="n"/>
      <c r="Y877" s="87" t="n"/>
      <c r="Z877" s="87" t="n"/>
    </row>
    <row r="878" ht="15.75" customHeight="1">
      <c r="A878" s="87" t="n"/>
      <c r="B878" s="87" t="n"/>
      <c r="C878" s="87" t="n"/>
      <c r="D878" s="87" t="n"/>
      <c r="E878" s="87" t="n"/>
      <c r="F878" s="87" t="n"/>
      <c r="G878" s="87" t="n"/>
      <c r="H878" s="87" t="n"/>
      <c r="I878" s="87" t="n"/>
      <c r="J878" s="87" t="n"/>
      <c r="K878" s="87" t="n"/>
      <c r="L878" s="87" t="n"/>
      <c r="M878" s="87" t="n"/>
      <c r="N878" s="87" t="n"/>
      <c r="O878" s="87" t="n"/>
      <c r="P878" s="87" t="n"/>
      <c r="Q878" s="87" t="n"/>
      <c r="R878" s="87" t="n"/>
      <c r="S878" s="87" t="n"/>
      <c r="T878" s="87" t="n"/>
      <c r="U878" s="87" t="n"/>
      <c r="V878" s="87" t="n"/>
      <c r="W878" s="87" t="n"/>
      <c r="X878" s="87" t="n"/>
      <c r="Y878" s="87" t="n"/>
      <c r="Z878" s="87" t="n"/>
    </row>
    <row r="879" ht="15.75" customHeight="1">
      <c r="A879" s="87" t="n"/>
      <c r="B879" s="87" t="n"/>
      <c r="C879" s="87" t="n"/>
      <c r="D879" s="87" t="n"/>
      <c r="E879" s="87" t="n"/>
      <c r="F879" s="87" t="n"/>
      <c r="G879" s="87" t="n"/>
      <c r="H879" s="87" t="n"/>
      <c r="I879" s="87" t="n"/>
      <c r="J879" s="87" t="n"/>
      <c r="K879" s="87" t="n"/>
      <c r="L879" s="87" t="n"/>
      <c r="M879" s="87" t="n"/>
      <c r="N879" s="87" t="n"/>
      <c r="O879" s="87" t="n"/>
      <c r="P879" s="87" t="n"/>
      <c r="Q879" s="87" t="n"/>
      <c r="R879" s="87" t="n"/>
      <c r="S879" s="87" t="n"/>
      <c r="T879" s="87" t="n"/>
      <c r="U879" s="87" t="n"/>
      <c r="V879" s="87" t="n"/>
      <c r="W879" s="87" t="n"/>
      <c r="X879" s="87" t="n"/>
      <c r="Y879" s="87" t="n"/>
      <c r="Z879" s="87" t="n"/>
    </row>
    <row r="880" ht="15.75" customHeight="1">
      <c r="A880" s="87" t="n"/>
      <c r="B880" s="87" t="n"/>
      <c r="C880" s="87" t="n"/>
      <c r="D880" s="87" t="n"/>
      <c r="E880" s="87" t="n"/>
      <c r="F880" s="87" t="n"/>
      <c r="G880" s="87" t="n"/>
      <c r="H880" s="87" t="n"/>
      <c r="I880" s="87" t="n"/>
      <c r="J880" s="87" t="n"/>
      <c r="K880" s="87" t="n"/>
      <c r="L880" s="87" t="n"/>
      <c r="M880" s="87" t="n"/>
      <c r="N880" s="87" t="n"/>
      <c r="O880" s="87" t="n"/>
      <c r="P880" s="87" t="n"/>
      <c r="Q880" s="87" t="n"/>
      <c r="R880" s="87" t="n"/>
      <c r="S880" s="87" t="n"/>
      <c r="T880" s="87" t="n"/>
      <c r="U880" s="87" t="n"/>
      <c r="V880" s="87" t="n"/>
      <c r="W880" s="87" t="n"/>
      <c r="X880" s="87" t="n"/>
      <c r="Y880" s="87" t="n"/>
      <c r="Z880" s="87" t="n"/>
    </row>
    <row r="881" ht="15.75" customHeight="1">
      <c r="A881" s="87" t="n"/>
      <c r="B881" s="87" t="n"/>
      <c r="C881" s="87" t="n"/>
      <c r="D881" s="87" t="n"/>
      <c r="E881" s="87" t="n"/>
      <c r="F881" s="87" t="n"/>
      <c r="G881" s="87" t="n"/>
      <c r="H881" s="87" t="n"/>
      <c r="I881" s="87" t="n"/>
      <c r="J881" s="87" t="n"/>
      <c r="K881" s="87" t="n"/>
      <c r="L881" s="87" t="n"/>
      <c r="M881" s="87" t="n"/>
      <c r="N881" s="87" t="n"/>
      <c r="O881" s="87" t="n"/>
      <c r="P881" s="87" t="n"/>
      <c r="Q881" s="87" t="n"/>
      <c r="R881" s="87" t="n"/>
      <c r="S881" s="87" t="n"/>
      <c r="T881" s="87" t="n"/>
      <c r="U881" s="87" t="n"/>
      <c r="V881" s="87" t="n"/>
      <c r="W881" s="87" t="n"/>
      <c r="X881" s="87" t="n"/>
      <c r="Y881" s="87" t="n"/>
      <c r="Z881" s="87" t="n"/>
    </row>
    <row r="882" ht="15.75" customHeight="1">
      <c r="A882" s="87" t="n"/>
      <c r="B882" s="87" t="n"/>
      <c r="C882" s="87" t="n"/>
      <c r="D882" s="87" t="n"/>
      <c r="E882" s="87" t="n"/>
      <c r="F882" s="87" t="n"/>
      <c r="G882" s="87" t="n"/>
      <c r="H882" s="87" t="n"/>
      <c r="I882" s="87" t="n"/>
      <c r="J882" s="87" t="n"/>
      <c r="K882" s="87" t="n"/>
      <c r="L882" s="87" t="n"/>
      <c r="M882" s="87" t="n"/>
      <c r="N882" s="87" t="n"/>
      <c r="O882" s="87" t="n"/>
      <c r="P882" s="87" t="n"/>
      <c r="Q882" s="87" t="n"/>
      <c r="R882" s="87" t="n"/>
      <c r="S882" s="87" t="n"/>
      <c r="T882" s="87" t="n"/>
      <c r="U882" s="87" t="n"/>
      <c r="V882" s="87" t="n"/>
      <c r="W882" s="87" t="n"/>
      <c r="X882" s="87" t="n"/>
      <c r="Y882" s="87" t="n"/>
      <c r="Z882" s="87" t="n"/>
    </row>
    <row r="883" ht="15.75" customHeight="1">
      <c r="A883" s="87" t="n"/>
      <c r="B883" s="87" t="n"/>
      <c r="C883" s="87" t="n"/>
      <c r="D883" s="87" t="n"/>
      <c r="E883" s="87" t="n"/>
      <c r="F883" s="87" t="n"/>
      <c r="G883" s="87" t="n"/>
      <c r="H883" s="87" t="n"/>
      <c r="I883" s="87" t="n"/>
      <c r="J883" s="87" t="n"/>
      <c r="K883" s="87" t="n"/>
      <c r="L883" s="87" t="n"/>
      <c r="M883" s="87" t="n"/>
      <c r="N883" s="87" t="n"/>
      <c r="O883" s="87" t="n"/>
      <c r="P883" s="87" t="n"/>
      <c r="Q883" s="87" t="n"/>
      <c r="R883" s="87" t="n"/>
      <c r="S883" s="87" t="n"/>
      <c r="T883" s="87" t="n"/>
      <c r="U883" s="87" t="n"/>
      <c r="V883" s="87" t="n"/>
      <c r="W883" s="87" t="n"/>
      <c r="X883" s="87" t="n"/>
      <c r="Y883" s="87" t="n"/>
      <c r="Z883" s="87" t="n"/>
    </row>
    <row r="884" ht="15.75" customHeight="1">
      <c r="A884" s="87" t="n"/>
      <c r="B884" s="87" t="n"/>
      <c r="C884" s="87" t="n"/>
      <c r="D884" s="87" t="n"/>
      <c r="E884" s="87" t="n"/>
      <c r="F884" s="87" t="n"/>
      <c r="G884" s="87" t="n"/>
      <c r="H884" s="87" t="n"/>
      <c r="I884" s="87" t="n"/>
      <c r="J884" s="87" t="n"/>
      <c r="K884" s="87" t="n"/>
      <c r="L884" s="87" t="n"/>
      <c r="M884" s="87" t="n"/>
      <c r="N884" s="87" t="n"/>
      <c r="O884" s="87" t="n"/>
      <c r="P884" s="87" t="n"/>
      <c r="Q884" s="87" t="n"/>
      <c r="R884" s="87" t="n"/>
      <c r="S884" s="87" t="n"/>
      <c r="T884" s="87" t="n"/>
      <c r="U884" s="87" t="n"/>
      <c r="V884" s="87" t="n"/>
      <c r="W884" s="87" t="n"/>
      <c r="X884" s="87" t="n"/>
      <c r="Y884" s="87" t="n"/>
      <c r="Z884" s="87" t="n"/>
    </row>
    <row r="885" ht="15.75" customHeight="1">
      <c r="A885" s="87" t="n"/>
      <c r="B885" s="87" t="n"/>
      <c r="C885" s="87" t="n"/>
      <c r="D885" s="87" t="n"/>
      <c r="E885" s="87" t="n"/>
      <c r="F885" s="87" t="n"/>
      <c r="G885" s="87" t="n"/>
      <c r="H885" s="87" t="n"/>
      <c r="I885" s="87" t="n"/>
      <c r="J885" s="87" t="n"/>
      <c r="K885" s="87" t="n"/>
      <c r="L885" s="87" t="n"/>
      <c r="M885" s="87" t="n"/>
      <c r="N885" s="87" t="n"/>
      <c r="O885" s="87" t="n"/>
      <c r="P885" s="87" t="n"/>
      <c r="Q885" s="87" t="n"/>
      <c r="R885" s="87" t="n"/>
      <c r="S885" s="87" t="n"/>
      <c r="T885" s="87" t="n"/>
      <c r="U885" s="87" t="n"/>
      <c r="V885" s="87" t="n"/>
      <c r="W885" s="87" t="n"/>
      <c r="X885" s="87" t="n"/>
      <c r="Y885" s="87" t="n"/>
      <c r="Z885" s="87" t="n"/>
    </row>
    <row r="886" ht="15.75" customHeight="1">
      <c r="A886" s="87" t="n"/>
      <c r="B886" s="87" t="n"/>
      <c r="C886" s="87" t="n"/>
      <c r="D886" s="87" t="n"/>
      <c r="E886" s="87" t="n"/>
      <c r="F886" s="87" t="n"/>
      <c r="G886" s="87" t="n"/>
      <c r="H886" s="87" t="n"/>
      <c r="I886" s="87" t="n"/>
      <c r="J886" s="87" t="n"/>
      <c r="K886" s="87" t="n"/>
      <c r="L886" s="87" t="n"/>
      <c r="M886" s="87" t="n"/>
      <c r="N886" s="87" t="n"/>
      <c r="O886" s="87" t="n"/>
      <c r="P886" s="87" t="n"/>
      <c r="Q886" s="87" t="n"/>
      <c r="R886" s="87" t="n"/>
      <c r="S886" s="87" t="n"/>
      <c r="T886" s="87" t="n"/>
      <c r="U886" s="87" t="n"/>
      <c r="V886" s="87" t="n"/>
      <c r="W886" s="87" t="n"/>
      <c r="X886" s="87" t="n"/>
      <c r="Y886" s="87" t="n"/>
      <c r="Z886" s="87" t="n"/>
    </row>
    <row r="887" ht="15.75" customHeight="1">
      <c r="A887" s="87" t="n"/>
      <c r="B887" s="87" t="n"/>
      <c r="C887" s="87" t="n"/>
      <c r="D887" s="87" t="n"/>
      <c r="E887" s="87" t="n"/>
      <c r="F887" s="87" t="n"/>
      <c r="G887" s="87" t="n"/>
      <c r="H887" s="87" t="n"/>
      <c r="I887" s="87" t="n"/>
      <c r="J887" s="87" t="n"/>
      <c r="K887" s="87" t="n"/>
      <c r="L887" s="87" t="n"/>
      <c r="M887" s="87" t="n"/>
      <c r="N887" s="87" t="n"/>
      <c r="O887" s="87" t="n"/>
      <c r="P887" s="87" t="n"/>
      <c r="Q887" s="87" t="n"/>
      <c r="R887" s="87" t="n"/>
      <c r="S887" s="87" t="n"/>
      <c r="T887" s="87" t="n"/>
      <c r="U887" s="87" t="n"/>
      <c r="V887" s="87" t="n"/>
      <c r="W887" s="87" t="n"/>
      <c r="X887" s="87" t="n"/>
      <c r="Y887" s="87" t="n"/>
      <c r="Z887" s="87" t="n"/>
    </row>
    <row r="888" ht="15.75" customHeight="1">
      <c r="A888" s="87" t="n"/>
      <c r="B888" s="87" t="n"/>
      <c r="C888" s="87" t="n"/>
      <c r="D888" s="87" t="n"/>
      <c r="E888" s="87" t="n"/>
      <c r="F888" s="87" t="n"/>
      <c r="G888" s="87" t="n"/>
      <c r="H888" s="87" t="n"/>
      <c r="I888" s="87" t="n"/>
      <c r="J888" s="87" t="n"/>
      <c r="K888" s="87" t="n"/>
      <c r="L888" s="87" t="n"/>
      <c r="M888" s="87" t="n"/>
      <c r="N888" s="87" t="n"/>
      <c r="O888" s="87" t="n"/>
      <c r="P888" s="87" t="n"/>
      <c r="Q888" s="87" t="n"/>
      <c r="R888" s="87" t="n"/>
      <c r="S888" s="87" t="n"/>
      <c r="T888" s="87" t="n"/>
      <c r="U888" s="87" t="n"/>
      <c r="V888" s="87" t="n"/>
      <c r="W888" s="87" t="n"/>
      <c r="X888" s="87" t="n"/>
      <c r="Y888" s="87" t="n"/>
      <c r="Z888" s="87" t="n"/>
    </row>
    <row r="889" ht="15.75" customHeight="1">
      <c r="A889" s="87" t="n"/>
      <c r="B889" s="87" t="n"/>
      <c r="C889" s="87" t="n"/>
      <c r="D889" s="87" t="n"/>
      <c r="E889" s="87" t="n"/>
      <c r="F889" s="87" t="n"/>
      <c r="G889" s="87" t="n"/>
      <c r="H889" s="87" t="n"/>
      <c r="I889" s="87" t="n"/>
      <c r="J889" s="87" t="n"/>
      <c r="K889" s="87" t="n"/>
      <c r="L889" s="87" t="n"/>
      <c r="M889" s="87" t="n"/>
      <c r="N889" s="87" t="n"/>
      <c r="O889" s="87" t="n"/>
      <c r="P889" s="87" t="n"/>
      <c r="Q889" s="87" t="n"/>
      <c r="R889" s="87" t="n"/>
      <c r="S889" s="87" t="n"/>
      <c r="T889" s="87" t="n"/>
      <c r="U889" s="87" t="n"/>
      <c r="V889" s="87" t="n"/>
      <c r="W889" s="87" t="n"/>
      <c r="X889" s="87" t="n"/>
      <c r="Y889" s="87" t="n"/>
      <c r="Z889" s="87" t="n"/>
    </row>
    <row r="890" ht="15.75" customHeight="1">
      <c r="A890" s="87" t="n"/>
      <c r="B890" s="87" t="n"/>
      <c r="C890" s="87" t="n"/>
      <c r="D890" s="87" t="n"/>
      <c r="E890" s="87" t="n"/>
      <c r="F890" s="87" t="n"/>
      <c r="G890" s="87" t="n"/>
      <c r="H890" s="87" t="n"/>
      <c r="I890" s="87" t="n"/>
      <c r="J890" s="87" t="n"/>
      <c r="K890" s="87" t="n"/>
      <c r="L890" s="87" t="n"/>
      <c r="M890" s="87" t="n"/>
      <c r="N890" s="87" t="n"/>
      <c r="O890" s="87" t="n"/>
      <c r="P890" s="87" t="n"/>
      <c r="Q890" s="87" t="n"/>
      <c r="R890" s="87" t="n"/>
      <c r="S890" s="87" t="n"/>
      <c r="T890" s="87" t="n"/>
      <c r="U890" s="87" t="n"/>
      <c r="V890" s="87" t="n"/>
      <c r="W890" s="87" t="n"/>
      <c r="X890" s="87" t="n"/>
      <c r="Y890" s="87" t="n"/>
      <c r="Z890" s="87" t="n"/>
    </row>
    <row r="891" ht="15.75" customHeight="1">
      <c r="A891" s="87" t="n"/>
      <c r="B891" s="87" t="n"/>
      <c r="C891" s="87" t="n"/>
      <c r="D891" s="87" t="n"/>
      <c r="E891" s="87" t="n"/>
      <c r="F891" s="87" t="n"/>
      <c r="G891" s="87" t="n"/>
      <c r="H891" s="87" t="n"/>
      <c r="I891" s="87" t="n"/>
      <c r="J891" s="87" t="n"/>
      <c r="K891" s="87" t="n"/>
      <c r="L891" s="87" t="n"/>
      <c r="M891" s="87" t="n"/>
      <c r="N891" s="87" t="n"/>
      <c r="O891" s="87" t="n"/>
      <c r="P891" s="87" t="n"/>
      <c r="Q891" s="87" t="n"/>
      <c r="R891" s="87" t="n"/>
      <c r="S891" s="87" t="n"/>
      <c r="T891" s="87" t="n"/>
      <c r="U891" s="87" t="n"/>
      <c r="V891" s="87" t="n"/>
      <c r="W891" s="87" t="n"/>
      <c r="X891" s="87" t="n"/>
      <c r="Y891" s="87" t="n"/>
      <c r="Z891" s="87" t="n"/>
    </row>
    <row r="892" ht="15.75" customHeight="1">
      <c r="A892" s="87" t="n"/>
      <c r="B892" s="87" t="n"/>
      <c r="C892" s="87" t="n"/>
      <c r="D892" s="87" t="n"/>
      <c r="E892" s="87" t="n"/>
      <c r="F892" s="87" t="n"/>
      <c r="G892" s="87" t="n"/>
      <c r="H892" s="87" t="n"/>
      <c r="I892" s="87" t="n"/>
      <c r="J892" s="87" t="n"/>
      <c r="K892" s="87" t="n"/>
      <c r="L892" s="87" t="n"/>
      <c r="M892" s="87" t="n"/>
      <c r="N892" s="87" t="n"/>
      <c r="O892" s="87" t="n"/>
      <c r="P892" s="87" t="n"/>
      <c r="Q892" s="87" t="n"/>
      <c r="R892" s="87" t="n"/>
      <c r="S892" s="87" t="n"/>
      <c r="T892" s="87" t="n"/>
      <c r="U892" s="87" t="n"/>
      <c r="V892" s="87" t="n"/>
      <c r="W892" s="87" t="n"/>
      <c r="X892" s="87" t="n"/>
      <c r="Y892" s="87" t="n"/>
      <c r="Z892" s="87" t="n"/>
    </row>
    <row r="893" ht="15.75" customHeight="1">
      <c r="A893" s="87" t="n"/>
      <c r="B893" s="87" t="n"/>
      <c r="C893" s="87" t="n"/>
      <c r="D893" s="87" t="n"/>
      <c r="E893" s="87" t="n"/>
      <c r="F893" s="87" t="n"/>
      <c r="G893" s="87" t="n"/>
      <c r="H893" s="87" t="n"/>
      <c r="I893" s="87" t="n"/>
      <c r="J893" s="87" t="n"/>
      <c r="K893" s="87" t="n"/>
      <c r="L893" s="87" t="n"/>
      <c r="M893" s="87" t="n"/>
      <c r="N893" s="87" t="n"/>
      <c r="O893" s="87" t="n"/>
      <c r="P893" s="87" t="n"/>
      <c r="Q893" s="87" t="n"/>
      <c r="R893" s="87" t="n"/>
      <c r="S893" s="87" t="n"/>
      <c r="T893" s="87" t="n"/>
      <c r="U893" s="87" t="n"/>
      <c r="V893" s="87" t="n"/>
      <c r="W893" s="87" t="n"/>
      <c r="X893" s="87" t="n"/>
      <c r="Y893" s="87" t="n"/>
      <c r="Z893" s="87" t="n"/>
    </row>
    <row r="894" ht="15.75" customHeight="1">
      <c r="A894" s="87" t="n"/>
      <c r="B894" s="87" t="n"/>
      <c r="C894" s="87" t="n"/>
      <c r="D894" s="87" t="n"/>
      <c r="E894" s="87" t="n"/>
      <c r="F894" s="87" t="n"/>
      <c r="G894" s="87" t="n"/>
      <c r="H894" s="87" t="n"/>
      <c r="I894" s="87" t="n"/>
      <c r="J894" s="87" t="n"/>
      <c r="K894" s="87" t="n"/>
      <c r="L894" s="87" t="n"/>
      <c r="M894" s="87" t="n"/>
      <c r="N894" s="87" t="n"/>
      <c r="O894" s="87" t="n"/>
      <c r="P894" s="87" t="n"/>
      <c r="Q894" s="87" t="n"/>
      <c r="R894" s="87" t="n"/>
      <c r="S894" s="87" t="n"/>
      <c r="T894" s="87" t="n"/>
      <c r="U894" s="87" t="n"/>
      <c r="V894" s="87" t="n"/>
      <c r="W894" s="87" t="n"/>
      <c r="X894" s="87" t="n"/>
      <c r="Y894" s="87" t="n"/>
      <c r="Z894" s="87" t="n"/>
    </row>
    <row r="895" ht="15.75" customHeight="1">
      <c r="A895" s="87" t="n"/>
      <c r="B895" s="87" t="n"/>
      <c r="C895" s="87" t="n"/>
      <c r="D895" s="87" t="n"/>
      <c r="E895" s="87" t="n"/>
      <c r="F895" s="87" t="n"/>
      <c r="G895" s="87" t="n"/>
      <c r="H895" s="87" t="n"/>
      <c r="I895" s="87" t="n"/>
      <c r="J895" s="87" t="n"/>
      <c r="K895" s="87" t="n"/>
      <c r="L895" s="87" t="n"/>
      <c r="M895" s="87" t="n"/>
      <c r="N895" s="87" t="n"/>
      <c r="O895" s="87" t="n"/>
      <c r="P895" s="87" t="n"/>
      <c r="Q895" s="87" t="n"/>
      <c r="R895" s="87" t="n"/>
      <c r="S895" s="87" t="n"/>
      <c r="T895" s="87" t="n"/>
      <c r="U895" s="87" t="n"/>
      <c r="V895" s="87" t="n"/>
      <c r="W895" s="87" t="n"/>
      <c r="X895" s="87" t="n"/>
      <c r="Y895" s="87" t="n"/>
      <c r="Z895" s="87" t="n"/>
    </row>
    <row r="896" ht="15.75" customHeight="1">
      <c r="A896" s="87" t="n"/>
      <c r="B896" s="87" t="n"/>
      <c r="C896" s="87" t="n"/>
      <c r="D896" s="87" t="n"/>
      <c r="E896" s="87" t="n"/>
      <c r="F896" s="87" t="n"/>
      <c r="G896" s="87" t="n"/>
      <c r="H896" s="87" t="n"/>
      <c r="I896" s="87" t="n"/>
      <c r="J896" s="87" t="n"/>
      <c r="K896" s="87" t="n"/>
      <c r="L896" s="87" t="n"/>
      <c r="M896" s="87" t="n"/>
      <c r="N896" s="87" t="n"/>
      <c r="O896" s="87" t="n"/>
      <c r="P896" s="87" t="n"/>
      <c r="Q896" s="87" t="n"/>
      <c r="R896" s="87" t="n"/>
      <c r="S896" s="87" t="n"/>
      <c r="T896" s="87" t="n"/>
      <c r="U896" s="87" t="n"/>
      <c r="V896" s="87" t="n"/>
      <c r="W896" s="87" t="n"/>
      <c r="X896" s="87" t="n"/>
      <c r="Y896" s="87" t="n"/>
      <c r="Z896" s="87" t="n"/>
    </row>
    <row r="897" ht="15.75" customHeight="1">
      <c r="A897" s="87" t="n"/>
      <c r="B897" s="87" t="n"/>
      <c r="C897" s="87" t="n"/>
      <c r="D897" s="87" t="n"/>
      <c r="E897" s="87" t="n"/>
      <c r="F897" s="87" t="n"/>
      <c r="G897" s="87" t="n"/>
      <c r="H897" s="87" t="n"/>
      <c r="I897" s="87" t="n"/>
      <c r="J897" s="87" t="n"/>
      <c r="K897" s="87" t="n"/>
      <c r="L897" s="87" t="n"/>
      <c r="M897" s="87" t="n"/>
      <c r="N897" s="87" t="n"/>
      <c r="O897" s="87" t="n"/>
      <c r="P897" s="87" t="n"/>
      <c r="Q897" s="87" t="n"/>
      <c r="R897" s="87" t="n"/>
      <c r="S897" s="87" t="n"/>
      <c r="T897" s="87" t="n"/>
      <c r="U897" s="87" t="n"/>
      <c r="V897" s="87" t="n"/>
      <c r="W897" s="87" t="n"/>
      <c r="X897" s="87" t="n"/>
      <c r="Y897" s="87" t="n"/>
      <c r="Z897" s="87" t="n"/>
    </row>
    <row r="898" ht="15.75" customHeight="1">
      <c r="A898" s="87" t="n"/>
      <c r="B898" s="87" t="n"/>
      <c r="C898" s="87" t="n"/>
      <c r="D898" s="87" t="n"/>
      <c r="E898" s="87" t="n"/>
      <c r="F898" s="87" t="n"/>
      <c r="G898" s="87" t="n"/>
      <c r="H898" s="87" t="n"/>
      <c r="I898" s="87" t="n"/>
      <c r="J898" s="87" t="n"/>
      <c r="K898" s="87" t="n"/>
      <c r="L898" s="87" t="n"/>
      <c r="M898" s="87" t="n"/>
      <c r="N898" s="87" t="n"/>
      <c r="O898" s="87" t="n"/>
      <c r="P898" s="87" t="n"/>
      <c r="Q898" s="87" t="n"/>
      <c r="R898" s="87" t="n"/>
      <c r="S898" s="87" t="n"/>
      <c r="T898" s="87" t="n"/>
      <c r="U898" s="87" t="n"/>
      <c r="V898" s="87" t="n"/>
      <c r="W898" s="87" t="n"/>
      <c r="X898" s="87" t="n"/>
      <c r="Y898" s="87" t="n"/>
      <c r="Z898" s="87" t="n"/>
    </row>
    <row r="899" ht="15.75" customHeight="1">
      <c r="A899" s="87" t="n"/>
      <c r="B899" s="87" t="n"/>
      <c r="C899" s="87" t="n"/>
      <c r="D899" s="87" t="n"/>
      <c r="E899" s="87" t="n"/>
      <c r="F899" s="87" t="n"/>
      <c r="G899" s="87" t="n"/>
      <c r="H899" s="87" t="n"/>
      <c r="I899" s="87" t="n"/>
      <c r="J899" s="87" t="n"/>
      <c r="K899" s="87" t="n"/>
      <c r="L899" s="87" t="n"/>
      <c r="M899" s="87" t="n"/>
      <c r="N899" s="87" t="n"/>
      <c r="O899" s="87" t="n"/>
      <c r="P899" s="87" t="n"/>
      <c r="Q899" s="87" t="n"/>
      <c r="R899" s="87" t="n"/>
      <c r="S899" s="87" t="n"/>
      <c r="T899" s="87" t="n"/>
      <c r="U899" s="87" t="n"/>
      <c r="V899" s="87" t="n"/>
      <c r="W899" s="87" t="n"/>
      <c r="X899" s="87" t="n"/>
      <c r="Y899" s="87" t="n"/>
      <c r="Z899" s="87" t="n"/>
    </row>
    <row r="900" ht="15.75" customHeight="1">
      <c r="A900" s="87" t="n"/>
      <c r="B900" s="87" t="n"/>
      <c r="C900" s="87" t="n"/>
      <c r="D900" s="87" t="n"/>
      <c r="E900" s="87" t="n"/>
      <c r="F900" s="87" t="n"/>
      <c r="G900" s="87" t="n"/>
      <c r="H900" s="87" t="n"/>
      <c r="I900" s="87" t="n"/>
      <c r="J900" s="87" t="n"/>
      <c r="K900" s="87" t="n"/>
      <c r="L900" s="87" t="n"/>
      <c r="M900" s="87" t="n"/>
      <c r="N900" s="87" t="n"/>
      <c r="O900" s="87" t="n"/>
      <c r="P900" s="87" t="n"/>
      <c r="Q900" s="87" t="n"/>
      <c r="R900" s="87" t="n"/>
      <c r="S900" s="87" t="n"/>
      <c r="T900" s="87" t="n"/>
      <c r="U900" s="87" t="n"/>
      <c r="V900" s="87" t="n"/>
      <c r="W900" s="87" t="n"/>
      <c r="X900" s="87" t="n"/>
      <c r="Y900" s="87" t="n"/>
      <c r="Z900" s="87" t="n"/>
    </row>
    <row r="901" ht="15.75" customHeight="1">
      <c r="A901" s="87" t="n"/>
      <c r="B901" s="87" t="n"/>
      <c r="C901" s="87" t="n"/>
      <c r="D901" s="87" t="n"/>
      <c r="E901" s="87" t="n"/>
      <c r="F901" s="87" t="n"/>
      <c r="G901" s="87" t="n"/>
      <c r="H901" s="87" t="n"/>
      <c r="I901" s="87" t="n"/>
      <c r="J901" s="87" t="n"/>
      <c r="K901" s="87" t="n"/>
      <c r="L901" s="87" t="n"/>
      <c r="M901" s="87" t="n"/>
      <c r="N901" s="87" t="n"/>
      <c r="O901" s="87" t="n"/>
      <c r="P901" s="87" t="n"/>
      <c r="Q901" s="87" t="n"/>
      <c r="R901" s="87" t="n"/>
      <c r="S901" s="87" t="n"/>
      <c r="T901" s="87" t="n"/>
      <c r="U901" s="87" t="n"/>
      <c r="V901" s="87" t="n"/>
      <c r="W901" s="87" t="n"/>
      <c r="X901" s="87" t="n"/>
      <c r="Y901" s="87" t="n"/>
      <c r="Z901" s="87" t="n"/>
    </row>
    <row r="902" ht="15.75" customHeight="1">
      <c r="A902" s="87" t="n"/>
      <c r="B902" s="87" t="n"/>
      <c r="C902" s="87" t="n"/>
      <c r="D902" s="87" t="n"/>
      <c r="E902" s="87" t="n"/>
      <c r="F902" s="87" t="n"/>
      <c r="G902" s="87" t="n"/>
      <c r="H902" s="87" t="n"/>
      <c r="I902" s="87" t="n"/>
      <c r="J902" s="87" t="n"/>
      <c r="K902" s="87" t="n"/>
      <c r="L902" s="87" t="n"/>
      <c r="M902" s="87" t="n"/>
      <c r="N902" s="87" t="n"/>
      <c r="O902" s="87" t="n"/>
      <c r="P902" s="87" t="n"/>
      <c r="Q902" s="87" t="n"/>
      <c r="R902" s="87" t="n"/>
      <c r="S902" s="87" t="n"/>
      <c r="T902" s="87" t="n"/>
      <c r="U902" s="87" t="n"/>
      <c r="V902" s="87" t="n"/>
      <c r="W902" s="87" t="n"/>
      <c r="X902" s="87" t="n"/>
      <c r="Y902" s="87" t="n"/>
      <c r="Z902" s="87" t="n"/>
    </row>
    <row r="903" ht="15.75" customHeight="1">
      <c r="A903" s="87" t="n"/>
      <c r="B903" s="87" t="n"/>
      <c r="C903" s="87" t="n"/>
      <c r="D903" s="87" t="n"/>
      <c r="E903" s="87" t="n"/>
      <c r="F903" s="87" t="n"/>
      <c r="G903" s="87" t="n"/>
      <c r="H903" s="87" t="n"/>
      <c r="I903" s="87" t="n"/>
      <c r="J903" s="87" t="n"/>
      <c r="K903" s="87" t="n"/>
      <c r="L903" s="87" t="n"/>
      <c r="M903" s="87" t="n"/>
      <c r="N903" s="87" t="n"/>
      <c r="O903" s="87" t="n"/>
      <c r="P903" s="87" t="n"/>
      <c r="Q903" s="87" t="n"/>
      <c r="R903" s="87" t="n"/>
      <c r="S903" s="87" t="n"/>
      <c r="T903" s="87" t="n"/>
      <c r="U903" s="87" t="n"/>
      <c r="V903" s="87" t="n"/>
      <c r="W903" s="87" t="n"/>
      <c r="X903" s="87" t="n"/>
      <c r="Y903" s="87" t="n"/>
      <c r="Z903" s="87" t="n"/>
    </row>
    <row r="904" ht="15.75" customHeight="1">
      <c r="A904" s="87" t="n"/>
      <c r="B904" s="87" t="n"/>
      <c r="C904" s="87" t="n"/>
      <c r="D904" s="87" t="n"/>
      <c r="E904" s="87" t="n"/>
      <c r="F904" s="87" t="n"/>
      <c r="G904" s="87" t="n"/>
      <c r="H904" s="87" t="n"/>
      <c r="I904" s="87" t="n"/>
      <c r="J904" s="87" t="n"/>
      <c r="K904" s="87" t="n"/>
      <c r="L904" s="87" t="n"/>
      <c r="M904" s="87" t="n"/>
      <c r="N904" s="87" t="n"/>
      <c r="O904" s="87" t="n"/>
      <c r="P904" s="87" t="n"/>
      <c r="Q904" s="87" t="n"/>
      <c r="R904" s="87" t="n"/>
      <c r="S904" s="87" t="n"/>
      <c r="T904" s="87" t="n"/>
      <c r="U904" s="87" t="n"/>
      <c r="V904" s="87" t="n"/>
      <c r="W904" s="87" t="n"/>
      <c r="X904" s="87" t="n"/>
      <c r="Y904" s="87" t="n"/>
      <c r="Z904" s="87" t="n"/>
    </row>
    <row r="905" ht="15.75" customHeight="1">
      <c r="A905" s="87" t="n"/>
      <c r="B905" s="87" t="n"/>
      <c r="C905" s="87" t="n"/>
      <c r="D905" s="87" t="n"/>
      <c r="E905" s="87" t="n"/>
      <c r="F905" s="87" t="n"/>
      <c r="G905" s="87" t="n"/>
      <c r="H905" s="87" t="n"/>
      <c r="I905" s="87" t="n"/>
      <c r="J905" s="87" t="n"/>
      <c r="K905" s="87" t="n"/>
      <c r="L905" s="87" t="n"/>
      <c r="M905" s="87" t="n"/>
      <c r="N905" s="87" t="n"/>
      <c r="O905" s="87" t="n"/>
      <c r="P905" s="87" t="n"/>
      <c r="Q905" s="87" t="n"/>
      <c r="R905" s="87" t="n"/>
      <c r="S905" s="87" t="n"/>
      <c r="T905" s="87" t="n"/>
      <c r="U905" s="87" t="n"/>
      <c r="V905" s="87" t="n"/>
      <c r="W905" s="87" t="n"/>
      <c r="X905" s="87" t="n"/>
      <c r="Y905" s="87" t="n"/>
      <c r="Z905" s="87" t="n"/>
    </row>
    <row r="906" ht="15.75" customHeight="1">
      <c r="A906" s="87" t="n"/>
      <c r="B906" s="87" t="n"/>
      <c r="C906" s="87" t="n"/>
      <c r="D906" s="87" t="n"/>
      <c r="E906" s="87" t="n"/>
      <c r="F906" s="87" t="n"/>
      <c r="G906" s="87" t="n"/>
      <c r="H906" s="87" t="n"/>
      <c r="I906" s="87" t="n"/>
      <c r="J906" s="87" t="n"/>
      <c r="K906" s="87" t="n"/>
      <c r="L906" s="87" t="n"/>
      <c r="M906" s="87" t="n"/>
      <c r="N906" s="87" t="n"/>
      <c r="O906" s="87" t="n"/>
      <c r="P906" s="87" t="n"/>
      <c r="Q906" s="87" t="n"/>
      <c r="R906" s="87" t="n"/>
      <c r="S906" s="87" t="n"/>
      <c r="T906" s="87" t="n"/>
      <c r="U906" s="87" t="n"/>
      <c r="V906" s="87" t="n"/>
      <c r="W906" s="87" t="n"/>
      <c r="X906" s="87" t="n"/>
      <c r="Y906" s="87" t="n"/>
      <c r="Z906" s="87" t="n"/>
    </row>
    <row r="907" ht="15.75" customHeight="1">
      <c r="A907" s="87" t="n"/>
      <c r="B907" s="87" t="n"/>
      <c r="C907" s="87" t="n"/>
      <c r="D907" s="87" t="n"/>
      <c r="E907" s="87" t="n"/>
      <c r="F907" s="87" t="n"/>
      <c r="G907" s="87" t="n"/>
      <c r="H907" s="87" t="n"/>
      <c r="I907" s="87" t="n"/>
      <c r="J907" s="87" t="n"/>
      <c r="K907" s="87" t="n"/>
      <c r="L907" s="87" t="n"/>
      <c r="M907" s="87" t="n"/>
      <c r="N907" s="87" t="n"/>
      <c r="O907" s="87" t="n"/>
      <c r="P907" s="87" t="n"/>
      <c r="Q907" s="87" t="n"/>
      <c r="R907" s="87" t="n"/>
      <c r="S907" s="87" t="n"/>
      <c r="T907" s="87" t="n"/>
      <c r="U907" s="87" t="n"/>
      <c r="V907" s="87" t="n"/>
      <c r="W907" s="87" t="n"/>
      <c r="X907" s="87" t="n"/>
      <c r="Y907" s="87" t="n"/>
      <c r="Z907" s="87" t="n"/>
    </row>
    <row r="908" ht="15.75" customHeight="1">
      <c r="A908" s="87" t="n"/>
      <c r="B908" s="87" t="n"/>
      <c r="C908" s="87" t="n"/>
      <c r="D908" s="87" t="n"/>
      <c r="E908" s="87" t="n"/>
      <c r="F908" s="87" t="n"/>
      <c r="G908" s="87" t="n"/>
      <c r="H908" s="87" t="n"/>
      <c r="I908" s="87" t="n"/>
      <c r="J908" s="87" t="n"/>
      <c r="K908" s="87" t="n"/>
      <c r="L908" s="87" t="n"/>
      <c r="M908" s="87" t="n"/>
      <c r="N908" s="87" t="n"/>
      <c r="O908" s="87" t="n"/>
      <c r="P908" s="87" t="n"/>
      <c r="Q908" s="87" t="n"/>
      <c r="R908" s="87" t="n"/>
      <c r="S908" s="87" t="n"/>
      <c r="T908" s="87" t="n"/>
      <c r="U908" s="87" t="n"/>
      <c r="V908" s="87" t="n"/>
      <c r="W908" s="87" t="n"/>
      <c r="X908" s="87" t="n"/>
      <c r="Y908" s="87" t="n"/>
      <c r="Z908" s="87" t="n"/>
    </row>
    <row r="909" ht="15.75" customHeight="1">
      <c r="A909" s="87" t="n"/>
      <c r="B909" s="87" t="n"/>
      <c r="C909" s="87" t="n"/>
      <c r="D909" s="87" t="n"/>
      <c r="E909" s="87" t="n"/>
      <c r="F909" s="87" t="n"/>
      <c r="G909" s="87" t="n"/>
      <c r="H909" s="87" t="n"/>
      <c r="I909" s="87" t="n"/>
      <c r="J909" s="87" t="n"/>
      <c r="K909" s="87" t="n"/>
      <c r="L909" s="87" t="n"/>
      <c r="M909" s="87" t="n"/>
      <c r="N909" s="87" t="n"/>
      <c r="O909" s="87" t="n"/>
      <c r="P909" s="87" t="n"/>
      <c r="Q909" s="87" t="n"/>
      <c r="R909" s="87" t="n"/>
      <c r="S909" s="87" t="n"/>
      <c r="T909" s="87" t="n"/>
      <c r="U909" s="87" t="n"/>
      <c r="V909" s="87" t="n"/>
      <c r="W909" s="87" t="n"/>
      <c r="X909" s="87" t="n"/>
      <c r="Y909" s="87" t="n"/>
      <c r="Z909" s="87" t="n"/>
    </row>
    <row r="910" ht="15.75" customHeight="1">
      <c r="A910" s="87" t="n"/>
      <c r="B910" s="87" t="n"/>
      <c r="C910" s="87" t="n"/>
      <c r="D910" s="87" t="n"/>
      <c r="E910" s="87" t="n"/>
      <c r="F910" s="87" t="n"/>
      <c r="G910" s="87" t="n"/>
      <c r="H910" s="87" t="n"/>
      <c r="I910" s="87" t="n"/>
      <c r="J910" s="87" t="n"/>
      <c r="K910" s="87" t="n"/>
      <c r="L910" s="87" t="n"/>
      <c r="M910" s="87" t="n"/>
      <c r="N910" s="87" t="n"/>
      <c r="O910" s="87" t="n"/>
      <c r="P910" s="87" t="n"/>
      <c r="Q910" s="87" t="n"/>
      <c r="R910" s="87" t="n"/>
      <c r="S910" s="87" t="n"/>
      <c r="T910" s="87" t="n"/>
      <c r="U910" s="87" t="n"/>
      <c r="V910" s="87" t="n"/>
      <c r="W910" s="87" t="n"/>
      <c r="X910" s="87" t="n"/>
      <c r="Y910" s="87" t="n"/>
      <c r="Z910" s="87" t="n"/>
    </row>
    <row r="911" ht="15.75" customHeight="1">
      <c r="A911" s="87" t="n"/>
      <c r="B911" s="87" t="n"/>
      <c r="C911" s="87" t="n"/>
      <c r="D911" s="87" t="n"/>
      <c r="E911" s="87" t="n"/>
      <c r="F911" s="87" t="n"/>
      <c r="G911" s="87" t="n"/>
      <c r="H911" s="87" t="n"/>
      <c r="I911" s="87" t="n"/>
      <c r="J911" s="87" t="n"/>
      <c r="K911" s="87" t="n"/>
      <c r="L911" s="87" t="n"/>
      <c r="M911" s="87" t="n"/>
      <c r="N911" s="87" t="n"/>
      <c r="O911" s="87" t="n"/>
      <c r="P911" s="87" t="n"/>
      <c r="Q911" s="87" t="n"/>
      <c r="R911" s="87" t="n"/>
      <c r="S911" s="87" t="n"/>
      <c r="T911" s="87" t="n"/>
      <c r="U911" s="87" t="n"/>
      <c r="V911" s="87" t="n"/>
      <c r="W911" s="87" t="n"/>
      <c r="X911" s="87" t="n"/>
      <c r="Y911" s="87" t="n"/>
      <c r="Z911" s="87" t="n"/>
    </row>
    <row r="912" ht="15.75" customHeight="1">
      <c r="A912" s="87" t="n"/>
      <c r="B912" s="87" t="n"/>
      <c r="C912" s="87" t="n"/>
      <c r="D912" s="87" t="n"/>
      <c r="E912" s="87" t="n"/>
      <c r="F912" s="87" t="n"/>
      <c r="G912" s="87" t="n"/>
      <c r="H912" s="87" t="n"/>
      <c r="I912" s="87" t="n"/>
      <c r="J912" s="87" t="n"/>
      <c r="K912" s="87" t="n"/>
      <c r="L912" s="87" t="n"/>
      <c r="M912" s="87" t="n"/>
      <c r="N912" s="87" t="n"/>
      <c r="O912" s="87" t="n"/>
      <c r="P912" s="87" t="n"/>
      <c r="Q912" s="87" t="n"/>
      <c r="R912" s="87" t="n"/>
      <c r="S912" s="87" t="n"/>
      <c r="T912" s="87" t="n"/>
      <c r="U912" s="87" t="n"/>
      <c r="V912" s="87" t="n"/>
      <c r="W912" s="87" t="n"/>
      <c r="X912" s="87" t="n"/>
      <c r="Y912" s="87" t="n"/>
      <c r="Z912" s="87" t="n"/>
    </row>
    <row r="913" ht="15.75" customHeight="1">
      <c r="A913" s="87" t="n"/>
      <c r="B913" s="87" t="n"/>
      <c r="C913" s="87" t="n"/>
      <c r="D913" s="87" t="n"/>
      <c r="E913" s="87" t="n"/>
      <c r="F913" s="87" t="n"/>
      <c r="G913" s="87" t="n"/>
      <c r="H913" s="87" t="n"/>
      <c r="I913" s="87" t="n"/>
      <c r="J913" s="87" t="n"/>
      <c r="K913" s="87" t="n"/>
      <c r="L913" s="87" t="n"/>
      <c r="M913" s="87" t="n"/>
      <c r="N913" s="87" t="n"/>
      <c r="O913" s="87" t="n"/>
      <c r="P913" s="87" t="n"/>
      <c r="Q913" s="87" t="n"/>
      <c r="R913" s="87" t="n"/>
      <c r="S913" s="87" t="n"/>
      <c r="T913" s="87" t="n"/>
      <c r="U913" s="87" t="n"/>
      <c r="V913" s="87" t="n"/>
      <c r="W913" s="87" t="n"/>
      <c r="X913" s="87" t="n"/>
      <c r="Y913" s="87" t="n"/>
      <c r="Z913" s="87" t="n"/>
    </row>
    <row r="914" ht="15.75" customHeight="1">
      <c r="A914" s="87" t="n"/>
      <c r="B914" s="87" t="n"/>
      <c r="C914" s="87" t="n"/>
      <c r="D914" s="87" t="n"/>
      <c r="E914" s="87" t="n"/>
      <c r="F914" s="87" t="n"/>
      <c r="G914" s="87" t="n"/>
      <c r="H914" s="87" t="n"/>
      <c r="I914" s="87" t="n"/>
      <c r="J914" s="87" t="n"/>
      <c r="K914" s="87" t="n"/>
      <c r="L914" s="87" t="n"/>
      <c r="M914" s="87" t="n"/>
      <c r="N914" s="87" t="n"/>
      <c r="O914" s="87" t="n"/>
      <c r="P914" s="87" t="n"/>
      <c r="Q914" s="87" t="n"/>
      <c r="R914" s="87" t="n"/>
      <c r="S914" s="87" t="n"/>
      <c r="T914" s="87" t="n"/>
      <c r="U914" s="87" t="n"/>
      <c r="V914" s="87" t="n"/>
      <c r="W914" s="87" t="n"/>
      <c r="X914" s="87" t="n"/>
      <c r="Y914" s="87" t="n"/>
      <c r="Z914" s="87" t="n"/>
    </row>
    <row r="915" ht="15.75" customHeight="1">
      <c r="A915" s="87" t="n"/>
      <c r="B915" s="87" t="n"/>
      <c r="C915" s="87" t="n"/>
      <c r="D915" s="87" t="n"/>
      <c r="E915" s="87" t="n"/>
      <c r="F915" s="87" t="n"/>
      <c r="G915" s="87" t="n"/>
      <c r="H915" s="87" t="n"/>
      <c r="I915" s="87" t="n"/>
      <c r="J915" s="87" t="n"/>
      <c r="K915" s="87" t="n"/>
      <c r="L915" s="87" t="n"/>
      <c r="M915" s="87" t="n"/>
      <c r="N915" s="87" t="n"/>
      <c r="O915" s="87" t="n"/>
      <c r="P915" s="87" t="n"/>
      <c r="Q915" s="87" t="n"/>
      <c r="R915" s="87" t="n"/>
      <c r="S915" s="87" t="n"/>
      <c r="T915" s="87" t="n"/>
      <c r="U915" s="87" t="n"/>
      <c r="V915" s="87" t="n"/>
      <c r="W915" s="87" t="n"/>
      <c r="X915" s="87" t="n"/>
      <c r="Y915" s="87" t="n"/>
      <c r="Z915" s="87" t="n"/>
    </row>
    <row r="916" ht="15.75" customHeight="1">
      <c r="A916" s="87" t="n"/>
      <c r="B916" s="87" t="n"/>
      <c r="C916" s="87" t="n"/>
      <c r="D916" s="87" t="n"/>
      <c r="E916" s="87" t="n"/>
      <c r="F916" s="87" t="n"/>
      <c r="G916" s="87" t="n"/>
      <c r="H916" s="87" t="n"/>
      <c r="I916" s="87" t="n"/>
      <c r="J916" s="87" t="n"/>
      <c r="K916" s="87" t="n"/>
      <c r="L916" s="87" t="n"/>
      <c r="M916" s="87" t="n"/>
      <c r="N916" s="87" t="n"/>
      <c r="O916" s="87" t="n"/>
      <c r="P916" s="87" t="n"/>
      <c r="Q916" s="87" t="n"/>
      <c r="R916" s="87" t="n"/>
      <c r="S916" s="87" t="n"/>
      <c r="T916" s="87" t="n"/>
      <c r="U916" s="87" t="n"/>
      <c r="V916" s="87" t="n"/>
      <c r="W916" s="87" t="n"/>
      <c r="X916" s="87" t="n"/>
      <c r="Y916" s="87" t="n"/>
      <c r="Z916" s="87" t="n"/>
    </row>
    <row r="917" ht="15.75" customHeight="1">
      <c r="A917" s="87" t="n"/>
      <c r="B917" s="87" t="n"/>
      <c r="C917" s="87" t="n"/>
      <c r="D917" s="87" t="n"/>
      <c r="E917" s="87" t="n"/>
      <c r="F917" s="87" t="n"/>
      <c r="G917" s="87" t="n"/>
      <c r="H917" s="87" t="n"/>
      <c r="I917" s="87" t="n"/>
      <c r="J917" s="87" t="n"/>
      <c r="K917" s="87" t="n"/>
      <c r="L917" s="87" t="n"/>
      <c r="M917" s="87" t="n"/>
      <c r="N917" s="87" t="n"/>
      <c r="O917" s="87" t="n"/>
      <c r="P917" s="87" t="n"/>
      <c r="Q917" s="87" t="n"/>
      <c r="R917" s="87" t="n"/>
      <c r="S917" s="87" t="n"/>
      <c r="T917" s="87" t="n"/>
      <c r="U917" s="87" t="n"/>
      <c r="V917" s="87" t="n"/>
      <c r="W917" s="87" t="n"/>
      <c r="X917" s="87" t="n"/>
      <c r="Y917" s="87" t="n"/>
      <c r="Z917" s="87" t="n"/>
    </row>
    <row r="918" ht="15.75" customHeight="1">
      <c r="A918" s="87" t="n"/>
      <c r="B918" s="87" t="n"/>
      <c r="C918" s="87" t="n"/>
      <c r="D918" s="87" t="n"/>
      <c r="E918" s="87" t="n"/>
      <c r="F918" s="87" t="n"/>
      <c r="G918" s="87" t="n"/>
      <c r="H918" s="87" t="n"/>
      <c r="I918" s="87" t="n"/>
      <c r="J918" s="87" t="n"/>
      <c r="K918" s="87" t="n"/>
      <c r="L918" s="87" t="n"/>
      <c r="M918" s="87" t="n"/>
      <c r="N918" s="87" t="n"/>
      <c r="O918" s="87" t="n"/>
      <c r="P918" s="87" t="n"/>
      <c r="Q918" s="87" t="n"/>
      <c r="R918" s="87" t="n"/>
      <c r="S918" s="87" t="n"/>
      <c r="T918" s="87" t="n"/>
      <c r="U918" s="87" t="n"/>
      <c r="V918" s="87" t="n"/>
      <c r="W918" s="87" t="n"/>
      <c r="X918" s="87" t="n"/>
      <c r="Y918" s="87" t="n"/>
      <c r="Z918" s="87" t="n"/>
    </row>
    <row r="919" ht="15.75" customHeight="1">
      <c r="A919" s="87" t="n"/>
      <c r="B919" s="87" t="n"/>
      <c r="C919" s="87" t="n"/>
      <c r="D919" s="87" t="n"/>
      <c r="E919" s="87" t="n"/>
      <c r="F919" s="87" t="n"/>
      <c r="G919" s="87" t="n"/>
      <c r="H919" s="87" t="n"/>
      <c r="I919" s="87" t="n"/>
      <c r="J919" s="87" t="n"/>
      <c r="K919" s="87" t="n"/>
      <c r="L919" s="87" t="n"/>
      <c r="M919" s="87" t="n"/>
      <c r="N919" s="87" t="n"/>
      <c r="O919" s="87" t="n"/>
      <c r="P919" s="87" t="n"/>
      <c r="Q919" s="87" t="n"/>
      <c r="R919" s="87" t="n"/>
      <c r="S919" s="87" t="n"/>
      <c r="T919" s="87" t="n"/>
      <c r="U919" s="87" t="n"/>
      <c r="V919" s="87" t="n"/>
      <c r="W919" s="87" t="n"/>
      <c r="X919" s="87" t="n"/>
      <c r="Y919" s="87" t="n"/>
      <c r="Z919" s="87" t="n"/>
    </row>
    <row r="920" ht="15.75" customHeight="1">
      <c r="A920" s="87" t="n"/>
      <c r="B920" s="87" t="n"/>
      <c r="C920" s="87" t="n"/>
      <c r="D920" s="87" t="n"/>
      <c r="E920" s="87" t="n"/>
      <c r="F920" s="87" t="n"/>
      <c r="G920" s="87" t="n"/>
      <c r="H920" s="87" t="n"/>
      <c r="I920" s="87" t="n"/>
      <c r="J920" s="87" t="n"/>
      <c r="K920" s="87" t="n"/>
      <c r="L920" s="87" t="n"/>
      <c r="M920" s="87" t="n"/>
      <c r="N920" s="87" t="n"/>
      <c r="O920" s="87" t="n"/>
      <c r="P920" s="87" t="n"/>
      <c r="Q920" s="87" t="n"/>
      <c r="R920" s="87" t="n"/>
      <c r="S920" s="87" t="n"/>
      <c r="T920" s="87" t="n"/>
      <c r="U920" s="87" t="n"/>
      <c r="V920" s="87" t="n"/>
      <c r="W920" s="87" t="n"/>
      <c r="X920" s="87" t="n"/>
      <c r="Y920" s="87" t="n"/>
      <c r="Z920" s="87" t="n"/>
    </row>
    <row r="921" ht="15.75" customHeight="1">
      <c r="A921" s="87" t="n"/>
      <c r="B921" s="87" t="n"/>
      <c r="C921" s="87" t="n"/>
      <c r="D921" s="87" t="n"/>
      <c r="E921" s="87" t="n"/>
      <c r="F921" s="87" t="n"/>
      <c r="G921" s="87" t="n"/>
      <c r="H921" s="87" t="n"/>
      <c r="I921" s="87" t="n"/>
      <c r="J921" s="87" t="n"/>
      <c r="K921" s="87" t="n"/>
      <c r="L921" s="87" t="n"/>
      <c r="M921" s="87" t="n"/>
      <c r="N921" s="87" t="n"/>
      <c r="O921" s="87" t="n"/>
      <c r="P921" s="87" t="n"/>
      <c r="Q921" s="87" t="n"/>
      <c r="R921" s="87" t="n"/>
      <c r="S921" s="87" t="n"/>
      <c r="T921" s="87" t="n"/>
      <c r="U921" s="87" t="n"/>
      <c r="V921" s="87" t="n"/>
      <c r="W921" s="87" t="n"/>
      <c r="X921" s="87" t="n"/>
      <c r="Y921" s="87" t="n"/>
      <c r="Z921" s="87" t="n"/>
    </row>
    <row r="922" ht="15.75" customHeight="1">
      <c r="A922" s="87" t="n"/>
      <c r="B922" s="87" t="n"/>
      <c r="C922" s="87" t="n"/>
      <c r="D922" s="87" t="n"/>
      <c r="E922" s="87" t="n"/>
      <c r="F922" s="87" t="n"/>
      <c r="G922" s="87" t="n"/>
      <c r="H922" s="87" t="n"/>
      <c r="I922" s="87" t="n"/>
      <c r="J922" s="87" t="n"/>
      <c r="K922" s="87" t="n"/>
      <c r="L922" s="87" t="n"/>
      <c r="M922" s="87" t="n"/>
      <c r="N922" s="87" t="n"/>
      <c r="O922" s="87" t="n"/>
      <c r="P922" s="87" t="n"/>
      <c r="Q922" s="87" t="n"/>
      <c r="R922" s="87" t="n"/>
      <c r="S922" s="87" t="n"/>
      <c r="T922" s="87" t="n"/>
      <c r="U922" s="87" t="n"/>
      <c r="V922" s="87" t="n"/>
      <c r="W922" s="87" t="n"/>
      <c r="X922" s="87" t="n"/>
      <c r="Y922" s="87" t="n"/>
      <c r="Z922" s="87" t="n"/>
    </row>
    <row r="923" ht="15.75" customHeight="1">
      <c r="A923" s="87" t="n"/>
      <c r="B923" s="87" t="n"/>
      <c r="C923" s="87" t="n"/>
      <c r="D923" s="87" t="n"/>
      <c r="E923" s="87" t="n"/>
      <c r="F923" s="87" t="n"/>
      <c r="G923" s="87" t="n"/>
      <c r="H923" s="87" t="n"/>
      <c r="I923" s="87" t="n"/>
      <c r="J923" s="87" t="n"/>
      <c r="K923" s="87" t="n"/>
      <c r="L923" s="87" t="n"/>
      <c r="M923" s="87" t="n"/>
      <c r="N923" s="87" t="n"/>
      <c r="O923" s="87" t="n"/>
      <c r="P923" s="87" t="n"/>
      <c r="Q923" s="87" t="n"/>
      <c r="R923" s="87" t="n"/>
      <c r="S923" s="87" t="n"/>
      <c r="T923" s="87" t="n"/>
      <c r="U923" s="87" t="n"/>
      <c r="V923" s="87" t="n"/>
      <c r="W923" s="87" t="n"/>
      <c r="X923" s="87" t="n"/>
      <c r="Y923" s="87" t="n"/>
      <c r="Z923" s="87" t="n"/>
    </row>
    <row r="924" ht="15.75" customHeight="1">
      <c r="A924" s="87" t="n"/>
      <c r="B924" s="87" t="n"/>
      <c r="C924" s="87" t="n"/>
      <c r="D924" s="87" t="n"/>
      <c r="E924" s="87" t="n"/>
      <c r="F924" s="87" t="n"/>
      <c r="G924" s="87" t="n"/>
      <c r="H924" s="87" t="n"/>
      <c r="I924" s="87" t="n"/>
      <c r="J924" s="87" t="n"/>
      <c r="K924" s="87" t="n"/>
      <c r="L924" s="87" t="n"/>
      <c r="M924" s="87" t="n"/>
      <c r="N924" s="87" t="n"/>
      <c r="O924" s="87" t="n"/>
      <c r="P924" s="87" t="n"/>
      <c r="Q924" s="87" t="n"/>
      <c r="R924" s="87" t="n"/>
      <c r="S924" s="87" t="n"/>
      <c r="T924" s="87" t="n"/>
      <c r="U924" s="87" t="n"/>
      <c r="V924" s="87" t="n"/>
      <c r="W924" s="87" t="n"/>
      <c r="X924" s="87" t="n"/>
      <c r="Y924" s="87" t="n"/>
      <c r="Z924" s="87" t="n"/>
    </row>
    <row r="925" ht="15.75" customHeight="1">
      <c r="A925" s="87" t="n"/>
      <c r="B925" s="87" t="n"/>
      <c r="C925" s="87" t="n"/>
      <c r="D925" s="87" t="n"/>
      <c r="E925" s="87" t="n"/>
      <c r="F925" s="87" t="n"/>
      <c r="G925" s="87" t="n"/>
      <c r="H925" s="87" t="n"/>
      <c r="I925" s="87" t="n"/>
      <c r="J925" s="87" t="n"/>
      <c r="K925" s="87" t="n"/>
      <c r="L925" s="87" t="n"/>
      <c r="M925" s="87" t="n"/>
      <c r="N925" s="87" t="n"/>
      <c r="O925" s="87" t="n"/>
      <c r="P925" s="87" t="n"/>
      <c r="Q925" s="87" t="n"/>
      <c r="R925" s="87" t="n"/>
      <c r="S925" s="87" t="n"/>
      <c r="T925" s="87" t="n"/>
      <c r="U925" s="87" t="n"/>
      <c r="V925" s="87" t="n"/>
      <c r="W925" s="87" t="n"/>
      <c r="X925" s="87" t="n"/>
      <c r="Y925" s="87" t="n"/>
      <c r="Z925" s="87" t="n"/>
    </row>
    <row r="926" ht="15.75" customHeight="1">
      <c r="A926" s="87" t="n"/>
      <c r="B926" s="87" t="n"/>
      <c r="C926" s="87" t="n"/>
      <c r="D926" s="87" t="n"/>
      <c r="E926" s="87" t="n"/>
      <c r="F926" s="87" t="n"/>
      <c r="G926" s="87" t="n"/>
      <c r="H926" s="87" t="n"/>
      <c r="I926" s="87" t="n"/>
      <c r="J926" s="87" t="n"/>
      <c r="K926" s="87" t="n"/>
      <c r="L926" s="87" t="n"/>
      <c r="M926" s="87" t="n"/>
      <c r="N926" s="87" t="n"/>
      <c r="O926" s="87" t="n"/>
      <c r="P926" s="87" t="n"/>
      <c r="Q926" s="87" t="n"/>
      <c r="R926" s="87" t="n"/>
      <c r="S926" s="87" t="n"/>
      <c r="T926" s="87" t="n"/>
      <c r="U926" s="87" t="n"/>
      <c r="V926" s="87" t="n"/>
      <c r="W926" s="87" t="n"/>
      <c r="X926" s="87" t="n"/>
      <c r="Y926" s="87" t="n"/>
      <c r="Z926" s="87" t="n"/>
    </row>
    <row r="927" ht="15.75" customHeight="1">
      <c r="A927" s="87" t="n"/>
      <c r="B927" s="87" t="n"/>
      <c r="C927" s="87" t="n"/>
      <c r="D927" s="87" t="n"/>
      <c r="E927" s="87" t="n"/>
      <c r="F927" s="87" t="n"/>
      <c r="G927" s="87" t="n"/>
      <c r="H927" s="87" t="n"/>
      <c r="I927" s="87" t="n"/>
      <c r="J927" s="87" t="n"/>
      <c r="K927" s="87" t="n"/>
      <c r="L927" s="87" t="n"/>
      <c r="M927" s="87" t="n"/>
      <c r="N927" s="87" t="n"/>
      <c r="O927" s="87" t="n"/>
      <c r="P927" s="87" t="n"/>
      <c r="Q927" s="87" t="n"/>
      <c r="R927" s="87" t="n"/>
      <c r="S927" s="87" t="n"/>
      <c r="T927" s="87" t="n"/>
      <c r="U927" s="87" t="n"/>
      <c r="V927" s="87" t="n"/>
      <c r="W927" s="87" t="n"/>
      <c r="X927" s="87" t="n"/>
      <c r="Y927" s="87" t="n"/>
      <c r="Z927" s="87" t="n"/>
    </row>
    <row r="928" ht="15.75" customHeight="1">
      <c r="A928" s="87" t="n"/>
      <c r="B928" s="87" t="n"/>
      <c r="C928" s="87" t="n"/>
      <c r="D928" s="87" t="n"/>
      <c r="E928" s="87" t="n"/>
      <c r="F928" s="87" t="n"/>
      <c r="G928" s="87" t="n"/>
      <c r="H928" s="87" t="n"/>
      <c r="I928" s="87" t="n"/>
      <c r="J928" s="87" t="n"/>
      <c r="K928" s="87" t="n"/>
      <c r="L928" s="87" t="n"/>
      <c r="M928" s="87" t="n"/>
      <c r="N928" s="87" t="n"/>
      <c r="O928" s="87" t="n"/>
      <c r="P928" s="87" t="n"/>
      <c r="Q928" s="87" t="n"/>
      <c r="R928" s="87" t="n"/>
      <c r="S928" s="87" t="n"/>
      <c r="T928" s="87" t="n"/>
      <c r="U928" s="87" t="n"/>
      <c r="V928" s="87" t="n"/>
      <c r="W928" s="87" t="n"/>
      <c r="X928" s="87" t="n"/>
      <c r="Y928" s="87" t="n"/>
      <c r="Z928" s="87" t="n"/>
    </row>
    <row r="929" ht="15.75" customHeight="1">
      <c r="A929" s="87" t="n"/>
      <c r="B929" s="87" t="n"/>
      <c r="C929" s="87" t="n"/>
      <c r="D929" s="87" t="n"/>
      <c r="E929" s="87" t="n"/>
      <c r="F929" s="87" t="n"/>
      <c r="G929" s="87" t="n"/>
      <c r="H929" s="87" t="n"/>
      <c r="I929" s="87" t="n"/>
      <c r="J929" s="87" t="n"/>
      <c r="K929" s="87" t="n"/>
      <c r="L929" s="87" t="n"/>
      <c r="M929" s="87" t="n"/>
      <c r="N929" s="87" t="n"/>
      <c r="O929" s="87" t="n"/>
      <c r="P929" s="87" t="n"/>
      <c r="Q929" s="87" t="n"/>
      <c r="R929" s="87" t="n"/>
      <c r="S929" s="87" t="n"/>
      <c r="T929" s="87" t="n"/>
      <c r="U929" s="87" t="n"/>
      <c r="V929" s="87" t="n"/>
      <c r="W929" s="87" t="n"/>
      <c r="X929" s="87" t="n"/>
      <c r="Y929" s="87" t="n"/>
      <c r="Z929" s="87" t="n"/>
    </row>
    <row r="930" ht="15.75" customHeight="1">
      <c r="A930" s="87" t="n"/>
      <c r="B930" s="87" t="n"/>
      <c r="C930" s="87" t="n"/>
      <c r="D930" s="87" t="n"/>
      <c r="E930" s="87" t="n"/>
      <c r="F930" s="87" t="n"/>
      <c r="G930" s="87" t="n"/>
      <c r="H930" s="87" t="n"/>
      <c r="I930" s="87" t="n"/>
      <c r="J930" s="87" t="n"/>
      <c r="K930" s="87" t="n"/>
      <c r="L930" s="87" t="n"/>
      <c r="M930" s="87" t="n"/>
      <c r="N930" s="87" t="n"/>
      <c r="O930" s="87" t="n"/>
      <c r="P930" s="87" t="n"/>
      <c r="Q930" s="87" t="n"/>
      <c r="R930" s="87" t="n"/>
      <c r="S930" s="87" t="n"/>
      <c r="T930" s="87" t="n"/>
      <c r="U930" s="87" t="n"/>
      <c r="V930" s="87" t="n"/>
      <c r="W930" s="87" t="n"/>
      <c r="X930" s="87" t="n"/>
      <c r="Y930" s="87" t="n"/>
      <c r="Z930" s="87" t="n"/>
    </row>
    <row r="931" ht="15.75" customHeight="1">
      <c r="A931" s="87" t="n"/>
      <c r="B931" s="87" t="n"/>
      <c r="C931" s="87" t="n"/>
      <c r="D931" s="87" t="n"/>
      <c r="E931" s="87" t="n"/>
      <c r="F931" s="87" t="n"/>
      <c r="G931" s="87" t="n"/>
      <c r="H931" s="87" t="n"/>
      <c r="I931" s="87" t="n"/>
      <c r="J931" s="87" t="n"/>
      <c r="K931" s="87" t="n"/>
      <c r="L931" s="87" t="n"/>
      <c r="M931" s="87" t="n"/>
      <c r="N931" s="87" t="n"/>
      <c r="O931" s="87" t="n"/>
      <c r="P931" s="87" t="n"/>
      <c r="Q931" s="87" t="n"/>
      <c r="R931" s="87" t="n"/>
      <c r="S931" s="87" t="n"/>
      <c r="T931" s="87" t="n"/>
      <c r="U931" s="87" t="n"/>
      <c r="V931" s="87" t="n"/>
      <c r="W931" s="87" t="n"/>
      <c r="X931" s="87" t="n"/>
      <c r="Y931" s="87" t="n"/>
      <c r="Z931" s="87" t="n"/>
    </row>
    <row r="932" ht="15.75" customHeight="1">
      <c r="A932" s="87" t="n"/>
      <c r="B932" s="87" t="n"/>
      <c r="C932" s="87" t="n"/>
      <c r="D932" s="87" t="n"/>
      <c r="E932" s="87" t="n"/>
      <c r="F932" s="87" t="n"/>
      <c r="G932" s="87" t="n"/>
      <c r="H932" s="87" t="n"/>
      <c r="I932" s="87" t="n"/>
      <c r="J932" s="87" t="n"/>
      <c r="K932" s="87" t="n"/>
      <c r="L932" s="87" t="n"/>
      <c r="M932" s="87" t="n"/>
      <c r="N932" s="87" t="n"/>
      <c r="O932" s="87" t="n"/>
      <c r="P932" s="87" t="n"/>
      <c r="Q932" s="87" t="n"/>
      <c r="R932" s="87" t="n"/>
      <c r="S932" s="87" t="n"/>
      <c r="T932" s="87" t="n"/>
      <c r="U932" s="87" t="n"/>
      <c r="V932" s="87" t="n"/>
      <c r="W932" s="87" t="n"/>
      <c r="X932" s="87" t="n"/>
      <c r="Y932" s="87" t="n"/>
      <c r="Z932" s="87" t="n"/>
    </row>
    <row r="933" ht="15.75" customHeight="1">
      <c r="A933" s="87" t="n"/>
      <c r="B933" s="87" t="n"/>
      <c r="C933" s="87" t="n"/>
      <c r="D933" s="87" t="n"/>
      <c r="E933" s="87" t="n"/>
      <c r="F933" s="87" t="n"/>
      <c r="G933" s="87" t="n"/>
      <c r="H933" s="87" t="n"/>
      <c r="I933" s="87" t="n"/>
      <c r="J933" s="87" t="n"/>
      <c r="K933" s="87" t="n"/>
      <c r="L933" s="87" t="n"/>
      <c r="M933" s="87" t="n"/>
      <c r="N933" s="87" t="n"/>
      <c r="O933" s="87" t="n"/>
      <c r="P933" s="87" t="n"/>
      <c r="Q933" s="87" t="n"/>
      <c r="R933" s="87" t="n"/>
      <c r="S933" s="87" t="n"/>
      <c r="T933" s="87" t="n"/>
      <c r="U933" s="87" t="n"/>
      <c r="V933" s="87" t="n"/>
      <c r="W933" s="87" t="n"/>
      <c r="X933" s="87" t="n"/>
      <c r="Y933" s="87" t="n"/>
      <c r="Z933" s="87" t="n"/>
    </row>
    <row r="934" ht="15.75" customHeight="1">
      <c r="A934" s="87" t="n"/>
      <c r="B934" s="87" t="n"/>
      <c r="C934" s="87" t="n"/>
      <c r="D934" s="87" t="n"/>
      <c r="E934" s="87" t="n"/>
      <c r="F934" s="87" t="n"/>
      <c r="G934" s="87" t="n"/>
      <c r="H934" s="87" t="n"/>
      <c r="I934" s="87" t="n"/>
      <c r="J934" s="87" t="n"/>
      <c r="K934" s="87" t="n"/>
      <c r="L934" s="87" t="n"/>
      <c r="M934" s="87" t="n"/>
      <c r="N934" s="87" t="n"/>
      <c r="O934" s="87" t="n"/>
      <c r="P934" s="87" t="n"/>
      <c r="Q934" s="87" t="n"/>
      <c r="R934" s="87" t="n"/>
      <c r="S934" s="87" t="n"/>
      <c r="T934" s="87" t="n"/>
      <c r="U934" s="87" t="n"/>
      <c r="V934" s="87" t="n"/>
      <c r="W934" s="87" t="n"/>
      <c r="X934" s="87" t="n"/>
      <c r="Y934" s="87" t="n"/>
      <c r="Z934" s="87" t="n"/>
    </row>
    <row r="935" ht="15.75" customHeight="1">
      <c r="A935" s="87" t="n"/>
      <c r="B935" s="87" t="n"/>
      <c r="C935" s="87" t="n"/>
      <c r="D935" s="87" t="n"/>
      <c r="E935" s="87" t="n"/>
      <c r="F935" s="87" t="n"/>
      <c r="G935" s="87" t="n"/>
      <c r="H935" s="87" t="n"/>
      <c r="I935" s="87" t="n"/>
      <c r="J935" s="87" t="n"/>
      <c r="K935" s="87" t="n"/>
      <c r="L935" s="87" t="n"/>
      <c r="M935" s="87" t="n"/>
      <c r="N935" s="87" t="n"/>
      <c r="O935" s="87" t="n"/>
      <c r="P935" s="87" t="n"/>
      <c r="Q935" s="87" t="n"/>
      <c r="R935" s="87" t="n"/>
      <c r="S935" s="87" t="n"/>
      <c r="T935" s="87" t="n"/>
      <c r="U935" s="87" t="n"/>
      <c r="V935" s="87" t="n"/>
      <c r="W935" s="87" t="n"/>
      <c r="X935" s="87" t="n"/>
      <c r="Y935" s="87" t="n"/>
      <c r="Z935" s="87" t="n"/>
    </row>
    <row r="936" ht="15.75" customHeight="1">
      <c r="A936" s="87" t="n"/>
      <c r="B936" s="87" t="n"/>
      <c r="C936" s="87" t="n"/>
      <c r="D936" s="87" t="n"/>
      <c r="E936" s="87" t="n"/>
      <c r="F936" s="87" t="n"/>
      <c r="G936" s="87" t="n"/>
      <c r="H936" s="87" t="n"/>
      <c r="I936" s="87" t="n"/>
      <c r="J936" s="87" t="n"/>
      <c r="K936" s="87" t="n"/>
      <c r="L936" s="87" t="n"/>
      <c r="M936" s="87" t="n"/>
      <c r="N936" s="87" t="n"/>
      <c r="O936" s="87" t="n"/>
      <c r="P936" s="87" t="n"/>
      <c r="Q936" s="87" t="n"/>
      <c r="R936" s="87" t="n"/>
      <c r="S936" s="87" t="n"/>
      <c r="T936" s="87" t="n"/>
      <c r="U936" s="87" t="n"/>
      <c r="V936" s="87" t="n"/>
      <c r="W936" s="87" t="n"/>
      <c r="X936" s="87" t="n"/>
      <c r="Y936" s="87" t="n"/>
      <c r="Z936" s="87" t="n"/>
    </row>
    <row r="937" ht="15.75" customHeight="1">
      <c r="A937" s="87" t="n"/>
      <c r="B937" s="87" t="n"/>
      <c r="C937" s="87" t="n"/>
      <c r="D937" s="87" t="n"/>
      <c r="E937" s="87" t="n"/>
      <c r="F937" s="87" t="n"/>
      <c r="G937" s="87" t="n"/>
      <c r="H937" s="87" t="n"/>
      <c r="I937" s="87" t="n"/>
      <c r="J937" s="87" t="n"/>
      <c r="K937" s="87" t="n"/>
      <c r="L937" s="87" t="n"/>
      <c r="M937" s="87" t="n"/>
      <c r="N937" s="87" t="n"/>
      <c r="O937" s="87" t="n"/>
      <c r="P937" s="87" t="n"/>
      <c r="Q937" s="87" t="n"/>
      <c r="R937" s="87" t="n"/>
      <c r="S937" s="87" t="n"/>
      <c r="T937" s="87" t="n"/>
      <c r="U937" s="87" t="n"/>
      <c r="V937" s="87" t="n"/>
      <c r="W937" s="87" t="n"/>
      <c r="X937" s="87" t="n"/>
      <c r="Y937" s="87" t="n"/>
      <c r="Z937" s="87" t="n"/>
    </row>
    <row r="938" ht="15.75" customHeight="1">
      <c r="A938" s="87" t="n"/>
      <c r="B938" s="87" t="n"/>
      <c r="C938" s="87" t="n"/>
      <c r="D938" s="87" t="n"/>
      <c r="E938" s="87" t="n"/>
      <c r="F938" s="87" t="n"/>
      <c r="G938" s="87" t="n"/>
      <c r="H938" s="87" t="n"/>
      <c r="I938" s="87" t="n"/>
      <c r="J938" s="87" t="n"/>
      <c r="K938" s="87" t="n"/>
      <c r="L938" s="87" t="n"/>
      <c r="M938" s="87" t="n"/>
      <c r="N938" s="87" t="n"/>
      <c r="O938" s="87" t="n"/>
      <c r="P938" s="87" t="n"/>
      <c r="Q938" s="87" t="n"/>
      <c r="R938" s="87" t="n"/>
      <c r="S938" s="87" t="n"/>
      <c r="T938" s="87" t="n"/>
      <c r="U938" s="87" t="n"/>
      <c r="V938" s="87" t="n"/>
      <c r="W938" s="87" t="n"/>
      <c r="X938" s="87" t="n"/>
      <c r="Y938" s="87" t="n"/>
      <c r="Z938" s="87" t="n"/>
    </row>
    <row r="939" ht="15.75" customHeight="1">
      <c r="A939" s="87" t="n"/>
      <c r="B939" s="87" t="n"/>
      <c r="C939" s="87" t="n"/>
      <c r="D939" s="87" t="n"/>
      <c r="E939" s="87" t="n"/>
      <c r="F939" s="87" t="n"/>
      <c r="G939" s="87" t="n"/>
      <c r="H939" s="87" t="n"/>
      <c r="I939" s="87" t="n"/>
      <c r="J939" s="87" t="n"/>
      <c r="K939" s="87" t="n"/>
      <c r="L939" s="87" t="n"/>
      <c r="M939" s="87" t="n"/>
      <c r="N939" s="87" t="n"/>
      <c r="O939" s="87" t="n"/>
      <c r="P939" s="87" t="n"/>
      <c r="Q939" s="87" t="n"/>
      <c r="R939" s="87" t="n"/>
      <c r="S939" s="87" t="n"/>
      <c r="T939" s="87" t="n"/>
      <c r="U939" s="87" t="n"/>
      <c r="V939" s="87" t="n"/>
      <c r="W939" s="87" t="n"/>
      <c r="X939" s="87" t="n"/>
      <c r="Y939" s="87" t="n"/>
      <c r="Z939" s="87" t="n"/>
    </row>
    <row r="940" ht="15.75" customHeight="1">
      <c r="A940" s="87" t="n"/>
      <c r="B940" s="87" t="n"/>
      <c r="C940" s="87" t="n"/>
      <c r="D940" s="87" t="n"/>
      <c r="E940" s="87" t="n"/>
      <c r="F940" s="87" t="n"/>
      <c r="G940" s="87" t="n"/>
      <c r="H940" s="87" t="n"/>
      <c r="I940" s="87" t="n"/>
      <c r="J940" s="87" t="n"/>
      <c r="K940" s="87" t="n"/>
      <c r="L940" s="87" t="n"/>
      <c r="M940" s="87" t="n"/>
      <c r="N940" s="87" t="n"/>
      <c r="O940" s="87" t="n"/>
      <c r="P940" s="87" t="n"/>
      <c r="Q940" s="87" t="n"/>
      <c r="R940" s="87" t="n"/>
      <c r="S940" s="87" t="n"/>
      <c r="T940" s="87" t="n"/>
      <c r="U940" s="87" t="n"/>
      <c r="V940" s="87" t="n"/>
      <c r="W940" s="87" t="n"/>
      <c r="X940" s="87" t="n"/>
      <c r="Y940" s="87" t="n"/>
      <c r="Z940" s="87" t="n"/>
    </row>
    <row r="941" ht="15.75" customHeight="1">
      <c r="A941" s="87" t="n"/>
      <c r="B941" s="87" t="n"/>
      <c r="C941" s="87" t="n"/>
      <c r="D941" s="87" t="n"/>
      <c r="E941" s="87" t="n"/>
      <c r="F941" s="87" t="n"/>
      <c r="G941" s="87" t="n"/>
      <c r="H941" s="87" t="n"/>
      <c r="I941" s="87" t="n"/>
      <c r="J941" s="87" t="n"/>
      <c r="K941" s="87" t="n"/>
      <c r="L941" s="87" t="n"/>
      <c r="M941" s="87" t="n"/>
      <c r="N941" s="87" t="n"/>
      <c r="O941" s="87" t="n"/>
      <c r="P941" s="87" t="n"/>
      <c r="Q941" s="87" t="n"/>
      <c r="R941" s="87" t="n"/>
      <c r="S941" s="87" t="n"/>
      <c r="T941" s="87" t="n"/>
      <c r="U941" s="87" t="n"/>
      <c r="V941" s="87" t="n"/>
      <c r="W941" s="87" t="n"/>
      <c r="X941" s="87" t="n"/>
      <c r="Y941" s="87" t="n"/>
      <c r="Z941" s="87" t="n"/>
    </row>
    <row r="942" ht="15.75" customHeight="1">
      <c r="A942" s="87" t="n"/>
      <c r="B942" s="87" t="n"/>
      <c r="C942" s="87" t="n"/>
      <c r="D942" s="87" t="n"/>
      <c r="E942" s="87" t="n"/>
      <c r="F942" s="87" t="n"/>
      <c r="G942" s="87" t="n"/>
      <c r="H942" s="87" t="n"/>
      <c r="I942" s="87" t="n"/>
      <c r="J942" s="87" t="n"/>
      <c r="K942" s="87" t="n"/>
      <c r="L942" s="87" t="n"/>
      <c r="M942" s="87" t="n"/>
      <c r="N942" s="87" t="n"/>
      <c r="O942" s="87" t="n"/>
      <c r="P942" s="87" t="n"/>
      <c r="Q942" s="87" t="n"/>
      <c r="R942" s="87" t="n"/>
      <c r="S942" s="87" t="n"/>
      <c r="T942" s="87" t="n"/>
      <c r="U942" s="87" t="n"/>
      <c r="V942" s="87" t="n"/>
      <c r="W942" s="87" t="n"/>
      <c r="X942" s="87" t="n"/>
      <c r="Y942" s="87" t="n"/>
      <c r="Z942" s="87" t="n"/>
    </row>
    <row r="943" ht="15.75" customHeight="1">
      <c r="A943" s="87" t="n"/>
      <c r="B943" s="87" t="n"/>
      <c r="C943" s="87" t="n"/>
      <c r="D943" s="87" t="n"/>
      <c r="E943" s="87" t="n"/>
      <c r="F943" s="87" t="n"/>
      <c r="G943" s="87" t="n"/>
      <c r="H943" s="87" t="n"/>
      <c r="I943" s="87" t="n"/>
      <c r="J943" s="87" t="n"/>
      <c r="K943" s="87" t="n"/>
      <c r="L943" s="87" t="n"/>
      <c r="M943" s="87" t="n"/>
      <c r="N943" s="87" t="n"/>
      <c r="O943" s="87" t="n"/>
      <c r="P943" s="87" t="n"/>
      <c r="Q943" s="87" t="n"/>
      <c r="R943" s="87" t="n"/>
      <c r="S943" s="87" t="n"/>
      <c r="T943" s="87" t="n"/>
      <c r="U943" s="87" t="n"/>
      <c r="V943" s="87" t="n"/>
      <c r="W943" s="87" t="n"/>
      <c r="X943" s="87" t="n"/>
      <c r="Y943" s="87" t="n"/>
      <c r="Z943" s="87" t="n"/>
    </row>
    <row r="944" ht="15.75" customHeight="1">
      <c r="A944" s="87" t="n"/>
      <c r="B944" s="87" t="n"/>
      <c r="C944" s="87" t="n"/>
      <c r="D944" s="87" t="n"/>
      <c r="E944" s="87" t="n"/>
      <c r="F944" s="87" t="n"/>
      <c r="G944" s="87" t="n"/>
      <c r="H944" s="87" t="n"/>
      <c r="I944" s="87" t="n"/>
      <c r="J944" s="87" t="n"/>
      <c r="K944" s="87" t="n"/>
      <c r="L944" s="87" t="n"/>
      <c r="M944" s="87" t="n"/>
      <c r="N944" s="87" t="n"/>
      <c r="O944" s="87" t="n"/>
      <c r="P944" s="87" t="n"/>
      <c r="Q944" s="87" t="n"/>
      <c r="R944" s="87" t="n"/>
      <c r="S944" s="87" t="n"/>
      <c r="T944" s="87" t="n"/>
      <c r="U944" s="87" t="n"/>
      <c r="V944" s="87" t="n"/>
      <c r="W944" s="87" t="n"/>
      <c r="X944" s="87" t="n"/>
      <c r="Y944" s="87" t="n"/>
      <c r="Z944" s="87" t="n"/>
    </row>
    <row r="945" ht="15.75" customHeight="1">
      <c r="A945" s="87" t="n"/>
      <c r="B945" s="87" t="n"/>
      <c r="C945" s="87" t="n"/>
      <c r="D945" s="87" t="n"/>
      <c r="E945" s="87" t="n"/>
      <c r="F945" s="87" t="n"/>
      <c r="G945" s="87" t="n"/>
      <c r="H945" s="87" t="n"/>
      <c r="I945" s="87" t="n"/>
      <c r="J945" s="87" t="n"/>
      <c r="K945" s="87" t="n"/>
      <c r="L945" s="87" t="n"/>
      <c r="M945" s="87" t="n"/>
      <c r="N945" s="87" t="n"/>
      <c r="O945" s="87" t="n"/>
      <c r="P945" s="87" t="n"/>
      <c r="Q945" s="87" t="n"/>
      <c r="R945" s="87" t="n"/>
      <c r="S945" s="87" t="n"/>
      <c r="T945" s="87" t="n"/>
      <c r="U945" s="87" t="n"/>
      <c r="V945" s="87" t="n"/>
      <c r="W945" s="87" t="n"/>
      <c r="X945" s="87" t="n"/>
      <c r="Y945" s="87" t="n"/>
      <c r="Z945" s="87" t="n"/>
    </row>
    <row r="946" ht="15.75" customHeight="1">
      <c r="A946" s="87" t="n"/>
      <c r="B946" s="87" t="n"/>
      <c r="C946" s="87" t="n"/>
      <c r="D946" s="87" t="n"/>
      <c r="E946" s="87" t="n"/>
      <c r="F946" s="87" t="n"/>
      <c r="G946" s="87" t="n"/>
      <c r="H946" s="87" t="n"/>
      <c r="I946" s="87" t="n"/>
      <c r="J946" s="87" t="n"/>
      <c r="K946" s="87" t="n"/>
      <c r="L946" s="87" t="n"/>
      <c r="M946" s="87" t="n"/>
      <c r="N946" s="87" t="n"/>
      <c r="O946" s="87" t="n"/>
      <c r="P946" s="87" t="n"/>
      <c r="Q946" s="87" t="n"/>
      <c r="R946" s="87" t="n"/>
      <c r="S946" s="87" t="n"/>
      <c r="T946" s="87" t="n"/>
      <c r="U946" s="87" t="n"/>
      <c r="V946" s="87" t="n"/>
      <c r="W946" s="87" t="n"/>
      <c r="X946" s="87" t="n"/>
      <c r="Y946" s="87" t="n"/>
      <c r="Z946" s="87" t="n"/>
    </row>
    <row r="947" ht="15.75" customHeight="1">
      <c r="A947" s="87" t="n"/>
      <c r="B947" s="87" t="n"/>
      <c r="C947" s="87" t="n"/>
      <c r="D947" s="87" t="n"/>
      <c r="E947" s="87" t="n"/>
      <c r="F947" s="87" t="n"/>
      <c r="G947" s="87" t="n"/>
      <c r="H947" s="87" t="n"/>
      <c r="I947" s="87" t="n"/>
      <c r="J947" s="87" t="n"/>
      <c r="K947" s="87" t="n"/>
      <c r="L947" s="87" t="n"/>
      <c r="M947" s="87" t="n"/>
      <c r="N947" s="87" t="n"/>
      <c r="O947" s="87" t="n"/>
      <c r="P947" s="87" t="n"/>
      <c r="Q947" s="87" t="n"/>
      <c r="R947" s="87" t="n"/>
      <c r="S947" s="87" t="n"/>
      <c r="T947" s="87" t="n"/>
      <c r="U947" s="87" t="n"/>
      <c r="V947" s="87" t="n"/>
      <c r="W947" s="87" t="n"/>
      <c r="X947" s="87" t="n"/>
      <c r="Y947" s="87" t="n"/>
      <c r="Z947" s="87" t="n"/>
    </row>
    <row r="948" ht="15.75" customHeight="1">
      <c r="A948" s="87" t="n"/>
      <c r="B948" s="87" t="n"/>
      <c r="C948" s="87" t="n"/>
      <c r="D948" s="87" t="n"/>
      <c r="E948" s="87" t="n"/>
      <c r="F948" s="87" t="n"/>
      <c r="G948" s="87" t="n"/>
      <c r="H948" s="87" t="n"/>
      <c r="I948" s="87" t="n"/>
      <c r="J948" s="87" t="n"/>
      <c r="K948" s="87" t="n"/>
      <c r="L948" s="87" t="n"/>
      <c r="M948" s="87" t="n"/>
      <c r="N948" s="87" t="n"/>
      <c r="O948" s="87" t="n"/>
      <c r="P948" s="87" t="n"/>
      <c r="Q948" s="87" t="n"/>
      <c r="R948" s="87" t="n"/>
      <c r="S948" s="87" t="n"/>
      <c r="T948" s="87" t="n"/>
      <c r="U948" s="87" t="n"/>
      <c r="V948" s="87" t="n"/>
      <c r="W948" s="87" t="n"/>
      <c r="X948" s="87" t="n"/>
      <c r="Y948" s="87" t="n"/>
      <c r="Z948" s="87" t="n"/>
    </row>
    <row r="949" ht="15.75" customHeight="1">
      <c r="A949" s="87" t="n"/>
      <c r="B949" s="87" t="n"/>
      <c r="C949" s="87" t="n"/>
      <c r="D949" s="87" t="n"/>
      <c r="E949" s="87" t="n"/>
      <c r="F949" s="87" t="n"/>
      <c r="G949" s="87" t="n"/>
      <c r="H949" s="87" t="n"/>
      <c r="I949" s="87" t="n"/>
      <c r="J949" s="87" t="n"/>
      <c r="K949" s="87" t="n"/>
      <c r="L949" s="87" t="n"/>
      <c r="M949" s="87" t="n"/>
      <c r="N949" s="87" t="n"/>
      <c r="O949" s="87" t="n"/>
      <c r="P949" s="87" t="n"/>
      <c r="Q949" s="87" t="n"/>
      <c r="R949" s="87" t="n"/>
      <c r="S949" s="87" t="n"/>
      <c r="T949" s="87" t="n"/>
      <c r="U949" s="87" t="n"/>
      <c r="V949" s="87" t="n"/>
      <c r="W949" s="87" t="n"/>
      <c r="X949" s="87" t="n"/>
      <c r="Y949" s="87" t="n"/>
      <c r="Z949" s="87" t="n"/>
    </row>
    <row r="950" ht="15.75" customHeight="1">
      <c r="A950" s="87" t="n"/>
      <c r="B950" s="87" t="n"/>
      <c r="C950" s="87" t="n"/>
      <c r="D950" s="87" t="n"/>
      <c r="E950" s="87" t="n"/>
      <c r="F950" s="87" t="n"/>
      <c r="G950" s="87" t="n"/>
      <c r="H950" s="87" t="n"/>
      <c r="I950" s="87" t="n"/>
      <c r="J950" s="87" t="n"/>
      <c r="K950" s="87" t="n"/>
      <c r="L950" s="87" t="n"/>
      <c r="M950" s="87" t="n"/>
      <c r="N950" s="87" t="n"/>
      <c r="O950" s="87" t="n"/>
      <c r="P950" s="87" t="n"/>
      <c r="Q950" s="87" t="n"/>
      <c r="R950" s="87" t="n"/>
      <c r="S950" s="87" t="n"/>
      <c r="T950" s="87" t="n"/>
      <c r="U950" s="87" t="n"/>
      <c r="V950" s="87" t="n"/>
      <c r="W950" s="87" t="n"/>
      <c r="X950" s="87" t="n"/>
      <c r="Y950" s="87" t="n"/>
      <c r="Z950" s="87" t="n"/>
    </row>
    <row r="951" ht="15.75" customHeight="1">
      <c r="A951" s="87" t="n"/>
      <c r="B951" s="87" t="n"/>
      <c r="C951" s="87" t="n"/>
      <c r="D951" s="87" t="n"/>
      <c r="E951" s="87" t="n"/>
      <c r="F951" s="87" t="n"/>
      <c r="G951" s="87" t="n"/>
      <c r="H951" s="87" t="n"/>
      <c r="I951" s="87" t="n"/>
      <c r="J951" s="87" t="n"/>
      <c r="K951" s="87" t="n"/>
      <c r="L951" s="87" t="n"/>
      <c r="M951" s="87" t="n"/>
      <c r="N951" s="87" t="n"/>
      <c r="O951" s="87" t="n"/>
      <c r="P951" s="87" t="n"/>
      <c r="Q951" s="87" t="n"/>
      <c r="R951" s="87" t="n"/>
      <c r="S951" s="87" t="n"/>
      <c r="T951" s="87" t="n"/>
      <c r="U951" s="87" t="n"/>
      <c r="V951" s="87" t="n"/>
      <c r="W951" s="87" t="n"/>
      <c r="X951" s="87" t="n"/>
      <c r="Y951" s="87" t="n"/>
      <c r="Z951" s="87" t="n"/>
    </row>
    <row r="952" ht="15.75" customHeight="1">
      <c r="A952" s="87" t="n"/>
      <c r="B952" s="87" t="n"/>
      <c r="C952" s="87" t="n"/>
      <c r="D952" s="87" t="n"/>
      <c r="E952" s="87" t="n"/>
      <c r="F952" s="87" t="n"/>
      <c r="G952" s="87" t="n"/>
      <c r="H952" s="87" t="n"/>
      <c r="I952" s="87" t="n"/>
      <c r="J952" s="87" t="n"/>
      <c r="K952" s="87" t="n"/>
      <c r="L952" s="87" t="n"/>
      <c r="M952" s="87" t="n"/>
      <c r="N952" s="87" t="n"/>
      <c r="O952" s="87" t="n"/>
      <c r="P952" s="87" t="n"/>
      <c r="Q952" s="87" t="n"/>
      <c r="R952" s="87" t="n"/>
      <c r="S952" s="87" t="n"/>
      <c r="T952" s="87" t="n"/>
      <c r="U952" s="87" t="n"/>
      <c r="V952" s="87" t="n"/>
      <c r="W952" s="87" t="n"/>
      <c r="X952" s="87" t="n"/>
      <c r="Y952" s="87" t="n"/>
      <c r="Z952" s="87" t="n"/>
    </row>
    <row r="953" ht="15.75" customHeight="1">
      <c r="A953" s="87" t="n"/>
      <c r="B953" s="87" t="n"/>
      <c r="C953" s="87" t="n"/>
      <c r="D953" s="87" t="n"/>
      <c r="E953" s="87" t="n"/>
      <c r="F953" s="87" t="n"/>
      <c r="G953" s="87" t="n"/>
      <c r="H953" s="87" t="n"/>
      <c r="I953" s="87" t="n"/>
      <c r="J953" s="87" t="n"/>
      <c r="K953" s="87" t="n"/>
      <c r="L953" s="87" t="n"/>
      <c r="M953" s="87" t="n"/>
      <c r="N953" s="87" t="n"/>
      <c r="O953" s="87" t="n"/>
      <c r="P953" s="87" t="n"/>
      <c r="Q953" s="87" t="n"/>
      <c r="R953" s="87" t="n"/>
      <c r="S953" s="87" t="n"/>
      <c r="T953" s="87" t="n"/>
      <c r="U953" s="87" t="n"/>
      <c r="V953" s="87" t="n"/>
      <c r="W953" s="87" t="n"/>
      <c r="X953" s="87" t="n"/>
      <c r="Y953" s="87" t="n"/>
      <c r="Z953" s="87" t="n"/>
    </row>
    <row r="954" ht="15.75" customHeight="1">
      <c r="A954" s="87" t="n"/>
      <c r="B954" s="87" t="n"/>
      <c r="C954" s="87" t="n"/>
      <c r="D954" s="87" t="n"/>
      <c r="E954" s="87" t="n"/>
      <c r="F954" s="87" t="n"/>
      <c r="G954" s="87" t="n"/>
      <c r="H954" s="87" t="n"/>
      <c r="I954" s="87" t="n"/>
      <c r="J954" s="87" t="n"/>
      <c r="K954" s="87" t="n"/>
      <c r="L954" s="87" t="n"/>
      <c r="M954" s="87" t="n"/>
      <c r="N954" s="87" t="n"/>
      <c r="O954" s="87" t="n"/>
      <c r="P954" s="87" t="n"/>
      <c r="Q954" s="87" t="n"/>
      <c r="R954" s="87" t="n"/>
      <c r="S954" s="87" t="n"/>
      <c r="T954" s="87" t="n"/>
      <c r="U954" s="87" t="n"/>
      <c r="V954" s="87" t="n"/>
      <c r="W954" s="87" t="n"/>
      <c r="X954" s="87" t="n"/>
      <c r="Y954" s="87" t="n"/>
      <c r="Z954" s="87" t="n"/>
    </row>
    <row r="955" ht="15.75" customHeight="1">
      <c r="A955" s="87" t="n"/>
      <c r="B955" s="87" t="n"/>
      <c r="C955" s="87" t="n"/>
      <c r="D955" s="87" t="n"/>
      <c r="E955" s="87" t="n"/>
      <c r="F955" s="87" t="n"/>
      <c r="G955" s="87" t="n"/>
      <c r="H955" s="87" t="n"/>
      <c r="I955" s="87" t="n"/>
      <c r="J955" s="87" t="n"/>
      <c r="K955" s="87" t="n"/>
      <c r="L955" s="87" t="n"/>
      <c r="M955" s="87" t="n"/>
      <c r="N955" s="87" t="n"/>
      <c r="O955" s="87" t="n"/>
      <c r="P955" s="87" t="n"/>
      <c r="Q955" s="87" t="n"/>
      <c r="R955" s="87" t="n"/>
      <c r="S955" s="87" t="n"/>
      <c r="T955" s="87" t="n"/>
      <c r="U955" s="87" t="n"/>
      <c r="V955" s="87" t="n"/>
      <c r="W955" s="87" t="n"/>
      <c r="X955" s="87" t="n"/>
      <c r="Y955" s="87" t="n"/>
      <c r="Z955" s="87" t="n"/>
    </row>
    <row r="956" ht="15.75" customHeight="1">
      <c r="A956" s="87" t="n"/>
      <c r="B956" s="87" t="n"/>
      <c r="C956" s="87" t="n"/>
      <c r="D956" s="87" t="n"/>
      <c r="E956" s="87" t="n"/>
      <c r="F956" s="87" t="n"/>
      <c r="G956" s="87" t="n"/>
      <c r="H956" s="87" t="n"/>
      <c r="I956" s="87" t="n"/>
      <c r="J956" s="87" t="n"/>
      <c r="K956" s="87" t="n"/>
      <c r="L956" s="87" t="n"/>
      <c r="M956" s="87" t="n"/>
      <c r="N956" s="87" t="n"/>
      <c r="O956" s="87" t="n"/>
      <c r="P956" s="87" t="n"/>
      <c r="Q956" s="87" t="n"/>
      <c r="R956" s="87" t="n"/>
      <c r="S956" s="87" t="n"/>
      <c r="T956" s="87" t="n"/>
      <c r="U956" s="87" t="n"/>
      <c r="V956" s="87" t="n"/>
      <c r="W956" s="87" t="n"/>
      <c r="X956" s="87" t="n"/>
      <c r="Y956" s="87" t="n"/>
      <c r="Z956" s="87" t="n"/>
    </row>
    <row r="957" ht="15.75" customHeight="1">
      <c r="A957" s="87" t="n"/>
      <c r="B957" s="87" t="n"/>
      <c r="C957" s="87" t="n"/>
      <c r="D957" s="87" t="n"/>
      <c r="E957" s="87" t="n"/>
      <c r="F957" s="87" t="n"/>
      <c r="G957" s="87" t="n"/>
      <c r="H957" s="87" t="n"/>
      <c r="I957" s="87" t="n"/>
      <c r="J957" s="87" t="n"/>
      <c r="K957" s="87" t="n"/>
      <c r="L957" s="87" t="n"/>
      <c r="M957" s="87" t="n"/>
      <c r="N957" s="87" t="n"/>
      <c r="O957" s="87" t="n"/>
      <c r="P957" s="87" t="n"/>
      <c r="Q957" s="87" t="n"/>
      <c r="R957" s="87" t="n"/>
      <c r="S957" s="87" t="n"/>
      <c r="T957" s="87" t="n"/>
      <c r="U957" s="87" t="n"/>
      <c r="V957" s="87" t="n"/>
      <c r="W957" s="87" t="n"/>
      <c r="X957" s="87" t="n"/>
      <c r="Y957" s="87" t="n"/>
      <c r="Z957" s="87" t="n"/>
    </row>
    <row r="958" ht="15.75" customHeight="1">
      <c r="A958" s="87" t="n"/>
      <c r="B958" s="87" t="n"/>
      <c r="C958" s="87" t="n"/>
      <c r="D958" s="87" t="n"/>
      <c r="E958" s="87" t="n"/>
      <c r="F958" s="87" t="n"/>
      <c r="G958" s="87" t="n"/>
      <c r="H958" s="87" t="n"/>
      <c r="I958" s="87" t="n"/>
      <c r="J958" s="87" t="n"/>
      <c r="K958" s="87" t="n"/>
      <c r="L958" s="87" t="n"/>
      <c r="M958" s="87" t="n"/>
      <c r="N958" s="87" t="n"/>
      <c r="O958" s="87" t="n"/>
      <c r="P958" s="87" t="n"/>
      <c r="Q958" s="87" t="n"/>
      <c r="R958" s="87" t="n"/>
      <c r="S958" s="87" t="n"/>
      <c r="T958" s="87" t="n"/>
      <c r="U958" s="87" t="n"/>
      <c r="V958" s="87" t="n"/>
      <c r="W958" s="87" t="n"/>
      <c r="X958" s="87" t="n"/>
      <c r="Y958" s="87" t="n"/>
      <c r="Z958" s="87" t="n"/>
    </row>
    <row r="959" ht="15.75" customHeight="1">
      <c r="A959" s="87" t="n"/>
      <c r="B959" s="87" t="n"/>
      <c r="C959" s="87" t="n"/>
      <c r="D959" s="87" t="n"/>
      <c r="E959" s="87" t="n"/>
      <c r="F959" s="87" t="n"/>
      <c r="G959" s="87" t="n"/>
      <c r="H959" s="87" t="n"/>
      <c r="I959" s="87" t="n"/>
      <c r="J959" s="87" t="n"/>
      <c r="K959" s="87" t="n"/>
      <c r="L959" s="87" t="n"/>
      <c r="M959" s="87" t="n"/>
      <c r="N959" s="87" t="n"/>
      <c r="O959" s="87" t="n"/>
      <c r="P959" s="87" t="n"/>
      <c r="Q959" s="87" t="n"/>
      <c r="R959" s="87" t="n"/>
      <c r="S959" s="87" t="n"/>
      <c r="T959" s="87" t="n"/>
      <c r="U959" s="87" t="n"/>
      <c r="V959" s="87" t="n"/>
      <c r="W959" s="87" t="n"/>
      <c r="X959" s="87" t="n"/>
      <c r="Y959" s="87" t="n"/>
      <c r="Z959" s="87" t="n"/>
    </row>
    <row r="960" ht="15.75" customHeight="1">
      <c r="A960" s="87" t="n"/>
      <c r="B960" s="87" t="n"/>
      <c r="C960" s="87" t="n"/>
      <c r="D960" s="87" t="n"/>
      <c r="E960" s="87" t="n"/>
      <c r="F960" s="87" t="n"/>
      <c r="G960" s="87" t="n"/>
      <c r="H960" s="87" t="n"/>
      <c r="I960" s="87" t="n"/>
      <c r="J960" s="87" t="n"/>
      <c r="K960" s="87" t="n"/>
      <c r="L960" s="87" t="n"/>
      <c r="M960" s="87" t="n"/>
      <c r="N960" s="87" t="n"/>
      <c r="O960" s="87" t="n"/>
      <c r="P960" s="87" t="n"/>
      <c r="Q960" s="87" t="n"/>
      <c r="R960" s="87" t="n"/>
      <c r="S960" s="87" t="n"/>
      <c r="T960" s="87" t="n"/>
      <c r="U960" s="87" t="n"/>
      <c r="V960" s="87" t="n"/>
      <c r="W960" s="87" t="n"/>
      <c r="X960" s="87" t="n"/>
      <c r="Y960" s="87" t="n"/>
      <c r="Z960" s="87" t="n"/>
    </row>
    <row r="961" ht="15.75" customHeight="1">
      <c r="A961" s="87" t="n"/>
      <c r="B961" s="87" t="n"/>
      <c r="C961" s="87" t="n"/>
      <c r="D961" s="87" t="n"/>
      <c r="E961" s="87" t="n"/>
      <c r="F961" s="87" t="n"/>
      <c r="G961" s="87" t="n"/>
      <c r="H961" s="87" t="n"/>
      <c r="I961" s="87" t="n"/>
      <c r="J961" s="87" t="n"/>
      <c r="K961" s="87" t="n"/>
      <c r="L961" s="87" t="n"/>
      <c r="M961" s="87" t="n"/>
      <c r="N961" s="87" t="n"/>
      <c r="O961" s="87" t="n"/>
      <c r="P961" s="87" t="n"/>
      <c r="Q961" s="87" t="n"/>
      <c r="R961" s="87" t="n"/>
      <c r="S961" s="87" t="n"/>
      <c r="T961" s="87" t="n"/>
      <c r="U961" s="87" t="n"/>
      <c r="V961" s="87" t="n"/>
      <c r="W961" s="87" t="n"/>
      <c r="X961" s="87" t="n"/>
      <c r="Y961" s="87" t="n"/>
      <c r="Z961" s="87" t="n"/>
    </row>
    <row r="962" ht="15.75" customHeight="1">
      <c r="A962" s="87" t="n"/>
      <c r="B962" s="87" t="n"/>
      <c r="C962" s="87" t="n"/>
      <c r="D962" s="87" t="n"/>
      <c r="E962" s="87" t="n"/>
      <c r="F962" s="87" t="n"/>
      <c r="G962" s="87" t="n"/>
      <c r="H962" s="87" t="n"/>
      <c r="I962" s="87" t="n"/>
      <c r="J962" s="87" t="n"/>
      <c r="K962" s="87" t="n"/>
      <c r="L962" s="87" t="n"/>
      <c r="M962" s="87" t="n"/>
      <c r="N962" s="87" t="n"/>
      <c r="O962" s="87" t="n"/>
      <c r="P962" s="87" t="n"/>
      <c r="Q962" s="87" t="n"/>
      <c r="R962" s="87" t="n"/>
      <c r="S962" s="87" t="n"/>
      <c r="T962" s="87" t="n"/>
      <c r="U962" s="87" t="n"/>
      <c r="V962" s="87" t="n"/>
      <c r="W962" s="87" t="n"/>
      <c r="X962" s="87" t="n"/>
      <c r="Y962" s="87" t="n"/>
      <c r="Z962" s="87" t="n"/>
    </row>
    <row r="963" ht="15.75" customHeight="1">
      <c r="A963" s="87" t="n"/>
      <c r="B963" s="87" t="n"/>
      <c r="C963" s="87" t="n"/>
      <c r="D963" s="87" t="n"/>
      <c r="E963" s="87" t="n"/>
      <c r="F963" s="87" t="n"/>
      <c r="G963" s="87" t="n"/>
      <c r="H963" s="87" t="n"/>
      <c r="I963" s="87" t="n"/>
      <c r="J963" s="87" t="n"/>
      <c r="K963" s="87" t="n"/>
      <c r="L963" s="87" t="n"/>
      <c r="M963" s="87" t="n"/>
      <c r="N963" s="87" t="n"/>
      <c r="O963" s="87" t="n"/>
      <c r="P963" s="87" t="n"/>
      <c r="Q963" s="87" t="n"/>
      <c r="R963" s="87" t="n"/>
      <c r="S963" s="87" t="n"/>
      <c r="T963" s="87" t="n"/>
      <c r="U963" s="87" t="n"/>
      <c r="V963" s="87" t="n"/>
      <c r="W963" s="87" t="n"/>
      <c r="X963" s="87" t="n"/>
      <c r="Y963" s="87" t="n"/>
      <c r="Z963" s="87" t="n"/>
    </row>
    <row r="964" ht="15.75" customHeight="1">
      <c r="A964" s="87" t="n"/>
      <c r="B964" s="87" t="n"/>
      <c r="C964" s="87" t="n"/>
      <c r="D964" s="87" t="n"/>
      <c r="E964" s="87" t="n"/>
      <c r="F964" s="87" t="n"/>
      <c r="G964" s="87" t="n"/>
      <c r="H964" s="87" t="n"/>
      <c r="I964" s="87" t="n"/>
      <c r="J964" s="87" t="n"/>
      <c r="K964" s="87" t="n"/>
      <c r="L964" s="87" t="n"/>
      <c r="M964" s="87" t="n"/>
      <c r="N964" s="87" t="n"/>
      <c r="O964" s="87" t="n"/>
      <c r="P964" s="87" t="n"/>
      <c r="Q964" s="87" t="n"/>
      <c r="R964" s="87" t="n"/>
      <c r="S964" s="87" t="n"/>
      <c r="T964" s="87" t="n"/>
      <c r="U964" s="87" t="n"/>
      <c r="V964" s="87" t="n"/>
      <c r="W964" s="87" t="n"/>
      <c r="X964" s="87" t="n"/>
      <c r="Y964" s="87" t="n"/>
      <c r="Z964" s="87" t="n"/>
    </row>
    <row r="965" ht="15.75" customHeight="1">
      <c r="A965" s="87" t="n"/>
      <c r="B965" s="87" t="n"/>
      <c r="C965" s="87" t="n"/>
      <c r="D965" s="87" t="n"/>
      <c r="E965" s="87" t="n"/>
      <c r="F965" s="87" t="n"/>
      <c r="G965" s="87" t="n"/>
      <c r="H965" s="87" t="n"/>
      <c r="I965" s="87" t="n"/>
      <c r="J965" s="87" t="n"/>
      <c r="K965" s="87" t="n"/>
      <c r="L965" s="87" t="n"/>
      <c r="M965" s="87" t="n"/>
      <c r="N965" s="87" t="n"/>
      <c r="O965" s="87" t="n"/>
      <c r="P965" s="87" t="n"/>
      <c r="Q965" s="87" t="n"/>
      <c r="R965" s="87" t="n"/>
      <c r="S965" s="87" t="n"/>
      <c r="T965" s="87" t="n"/>
      <c r="U965" s="87" t="n"/>
      <c r="V965" s="87" t="n"/>
      <c r="W965" s="87" t="n"/>
      <c r="X965" s="87" t="n"/>
      <c r="Y965" s="87" t="n"/>
      <c r="Z965" s="87" t="n"/>
    </row>
    <row r="966" ht="15.75" customHeight="1">
      <c r="A966" s="87" t="n"/>
      <c r="B966" s="87" t="n"/>
      <c r="C966" s="87" t="n"/>
      <c r="D966" s="87" t="n"/>
      <c r="E966" s="87" t="n"/>
      <c r="F966" s="87" t="n"/>
      <c r="G966" s="87" t="n"/>
      <c r="H966" s="87" t="n"/>
      <c r="I966" s="87" t="n"/>
      <c r="J966" s="87" t="n"/>
      <c r="K966" s="87" t="n"/>
      <c r="L966" s="87" t="n"/>
      <c r="M966" s="87" t="n"/>
      <c r="N966" s="87" t="n"/>
      <c r="O966" s="87" t="n"/>
      <c r="P966" s="87" t="n"/>
      <c r="Q966" s="87" t="n"/>
      <c r="R966" s="87" t="n"/>
      <c r="S966" s="87" t="n"/>
      <c r="T966" s="87" t="n"/>
      <c r="U966" s="87" t="n"/>
      <c r="V966" s="87" t="n"/>
      <c r="W966" s="87" t="n"/>
      <c r="X966" s="87" t="n"/>
      <c r="Y966" s="87" t="n"/>
      <c r="Z966" s="87" t="n"/>
    </row>
    <row r="967" ht="15.75" customHeight="1">
      <c r="A967" s="87" t="n"/>
      <c r="B967" s="87" t="n"/>
      <c r="C967" s="87" t="n"/>
      <c r="D967" s="87" t="n"/>
      <c r="E967" s="87" t="n"/>
      <c r="F967" s="87" t="n"/>
      <c r="G967" s="87" t="n"/>
      <c r="H967" s="87" t="n"/>
      <c r="I967" s="87" t="n"/>
      <c r="J967" s="87" t="n"/>
      <c r="K967" s="87" t="n"/>
      <c r="L967" s="87" t="n"/>
      <c r="M967" s="87" t="n"/>
      <c r="N967" s="87" t="n"/>
      <c r="O967" s="87" t="n"/>
      <c r="P967" s="87" t="n"/>
      <c r="Q967" s="87" t="n"/>
      <c r="R967" s="87" t="n"/>
      <c r="S967" s="87" t="n"/>
      <c r="T967" s="87" t="n"/>
      <c r="U967" s="87" t="n"/>
      <c r="V967" s="87" t="n"/>
      <c r="W967" s="87" t="n"/>
      <c r="X967" s="87" t="n"/>
      <c r="Y967" s="87" t="n"/>
      <c r="Z967" s="87" t="n"/>
    </row>
    <row r="968" ht="15.75" customHeight="1">
      <c r="A968" s="87" t="n"/>
      <c r="B968" s="87" t="n"/>
      <c r="C968" s="87" t="n"/>
      <c r="D968" s="87" t="n"/>
      <c r="E968" s="87" t="n"/>
      <c r="F968" s="87" t="n"/>
      <c r="G968" s="87" t="n"/>
      <c r="H968" s="87" t="n"/>
      <c r="I968" s="87" t="n"/>
      <c r="J968" s="87" t="n"/>
      <c r="K968" s="87" t="n"/>
      <c r="L968" s="87" t="n"/>
      <c r="M968" s="87" t="n"/>
      <c r="N968" s="87" t="n"/>
      <c r="O968" s="87" t="n"/>
      <c r="P968" s="87" t="n"/>
      <c r="Q968" s="87" t="n"/>
      <c r="R968" s="87" t="n"/>
      <c r="S968" s="87" t="n"/>
      <c r="T968" s="87" t="n"/>
      <c r="U968" s="87" t="n"/>
      <c r="V968" s="87" t="n"/>
      <c r="W968" s="87" t="n"/>
      <c r="X968" s="87" t="n"/>
      <c r="Y968" s="87" t="n"/>
      <c r="Z968" s="87" t="n"/>
    </row>
    <row r="969" ht="15.75" customHeight="1">
      <c r="A969" s="87" t="n"/>
      <c r="B969" s="87" t="n"/>
      <c r="C969" s="87" t="n"/>
      <c r="D969" s="87" t="n"/>
      <c r="E969" s="87" t="n"/>
      <c r="F969" s="87" t="n"/>
      <c r="G969" s="87" t="n"/>
      <c r="H969" s="87" t="n"/>
      <c r="I969" s="87" t="n"/>
      <c r="J969" s="87" t="n"/>
      <c r="K969" s="87" t="n"/>
      <c r="L969" s="87" t="n"/>
      <c r="M969" s="87" t="n"/>
      <c r="N969" s="87" t="n"/>
      <c r="O969" s="87" t="n"/>
      <c r="P969" s="87" t="n"/>
      <c r="Q969" s="87" t="n"/>
      <c r="R969" s="87" t="n"/>
      <c r="S969" s="87" t="n"/>
      <c r="T969" s="87" t="n"/>
      <c r="U969" s="87" t="n"/>
      <c r="V969" s="87" t="n"/>
      <c r="W969" s="87" t="n"/>
      <c r="X969" s="87" t="n"/>
      <c r="Y969" s="87" t="n"/>
      <c r="Z969" s="87" t="n"/>
    </row>
    <row r="970" ht="15.75" customHeight="1">
      <c r="A970" s="87" t="n"/>
      <c r="B970" s="87" t="n"/>
      <c r="C970" s="87" t="n"/>
      <c r="D970" s="87" t="n"/>
      <c r="E970" s="87" t="n"/>
      <c r="F970" s="87" t="n"/>
      <c r="G970" s="87" t="n"/>
      <c r="H970" s="87" t="n"/>
      <c r="I970" s="87" t="n"/>
      <c r="J970" s="87" t="n"/>
      <c r="K970" s="87" t="n"/>
      <c r="L970" s="87" t="n"/>
      <c r="M970" s="87" t="n"/>
      <c r="N970" s="87" t="n"/>
      <c r="O970" s="87" t="n"/>
      <c r="P970" s="87" t="n"/>
      <c r="Q970" s="87" t="n"/>
      <c r="R970" s="87" t="n"/>
      <c r="S970" s="87" t="n"/>
      <c r="T970" s="87" t="n"/>
      <c r="U970" s="87" t="n"/>
      <c r="V970" s="87" t="n"/>
      <c r="W970" s="87" t="n"/>
      <c r="X970" s="87" t="n"/>
      <c r="Y970" s="87" t="n"/>
      <c r="Z970" s="87" t="n"/>
    </row>
    <row r="971" ht="15.75" customHeight="1">
      <c r="A971" s="87" t="n"/>
      <c r="B971" s="87" t="n"/>
      <c r="C971" s="87" t="n"/>
      <c r="D971" s="87" t="n"/>
      <c r="E971" s="87" t="n"/>
      <c r="F971" s="87" t="n"/>
      <c r="G971" s="87" t="n"/>
      <c r="H971" s="87" t="n"/>
      <c r="I971" s="87" t="n"/>
      <c r="J971" s="87" t="n"/>
      <c r="K971" s="87" t="n"/>
      <c r="L971" s="87" t="n"/>
      <c r="M971" s="87" t="n"/>
      <c r="N971" s="87" t="n"/>
      <c r="O971" s="87" t="n"/>
      <c r="P971" s="87" t="n"/>
      <c r="Q971" s="87" t="n"/>
      <c r="R971" s="87" t="n"/>
      <c r="S971" s="87" t="n"/>
      <c r="T971" s="87" t="n"/>
      <c r="U971" s="87" t="n"/>
      <c r="V971" s="87" t="n"/>
      <c r="W971" s="87" t="n"/>
      <c r="X971" s="87" t="n"/>
      <c r="Y971" s="87" t="n"/>
      <c r="Z971" s="87" t="n"/>
    </row>
    <row r="972" ht="15.75" customHeight="1">
      <c r="A972" s="87" t="n"/>
      <c r="B972" s="87" t="n"/>
      <c r="C972" s="87" t="n"/>
      <c r="D972" s="87" t="n"/>
      <c r="E972" s="87" t="n"/>
      <c r="F972" s="87" t="n"/>
      <c r="G972" s="87" t="n"/>
      <c r="H972" s="87" t="n"/>
      <c r="I972" s="87" t="n"/>
      <c r="J972" s="87" t="n"/>
      <c r="K972" s="87" t="n"/>
      <c r="L972" s="87" t="n"/>
      <c r="M972" s="87" t="n"/>
      <c r="N972" s="87" t="n"/>
      <c r="O972" s="87" t="n"/>
      <c r="P972" s="87" t="n"/>
      <c r="Q972" s="87" t="n"/>
      <c r="R972" s="87" t="n"/>
      <c r="S972" s="87" t="n"/>
      <c r="T972" s="87" t="n"/>
      <c r="U972" s="87" t="n"/>
      <c r="V972" s="87" t="n"/>
      <c r="W972" s="87" t="n"/>
      <c r="X972" s="87" t="n"/>
      <c r="Y972" s="87" t="n"/>
      <c r="Z972" s="87" t="n"/>
    </row>
    <row r="973" ht="15.75" customHeight="1">
      <c r="A973" s="87" t="n"/>
      <c r="B973" s="87" t="n"/>
      <c r="C973" s="87" t="n"/>
      <c r="D973" s="87" t="n"/>
      <c r="E973" s="87" t="n"/>
      <c r="F973" s="87" t="n"/>
      <c r="G973" s="87" t="n"/>
      <c r="H973" s="87" t="n"/>
      <c r="I973" s="87" t="n"/>
      <c r="J973" s="87" t="n"/>
      <c r="K973" s="87" t="n"/>
      <c r="L973" s="87" t="n"/>
      <c r="M973" s="87" t="n"/>
      <c r="N973" s="87" t="n"/>
      <c r="O973" s="87" t="n"/>
      <c r="P973" s="87" t="n"/>
      <c r="Q973" s="87" t="n"/>
      <c r="R973" s="87" t="n"/>
      <c r="S973" s="87" t="n"/>
      <c r="T973" s="87" t="n"/>
      <c r="U973" s="87" t="n"/>
      <c r="V973" s="87" t="n"/>
      <c r="W973" s="87" t="n"/>
      <c r="X973" s="87" t="n"/>
      <c r="Y973" s="87" t="n"/>
      <c r="Z973" s="87" t="n"/>
    </row>
    <row r="974" ht="15.75" customHeight="1">
      <c r="A974" s="87" t="n"/>
      <c r="B974" s="87" t="n"/>
      <c r="C974" s="87" t="n"/>
      <c r="D974" s="87" t="n"/>
      <c r="E974" s="87" t="n"/>
      <c r="F974" s="87" t="n"/>
      <c r="G974" s="87" t="n"/>
      <c r="H974" s="87" t="n"/>
      <c r="I974" s="87" t="n"/>
      <c r="J974" s="87" t="n"/>
      <c r="K974" s="87" t="n"/>
      <c r="L974" s="87" t="n"/>
      <c r="M974" s="87" t="n"/>
      <c r="N974" s="87" t="n"/>
      <c r="O974" s="87" t="n"/>
      <c r="P974" s="87" t="n"/>
      <c r="Q974" s="87" t="n"/>
      <c r="R974" s="87" t="n"/>
      <c r="S974" s="87" t="n"/>
      <c r="T974" s="87" t="n"/>
      <c r="U974" s="87" t="n"/>
      <c r="V974" s="87" t="n"/>
      <c r="W974" s="87" t="n"/>
      <c r="X974" s="87" t="n"/>
      <c r="Y974" s="87" t="n"/>
      <c r="Z974" s="87" t="n"/>
    </row>
    <row r="975" ht="15.75" customHeight="1">
      <c r="A975" s="87" t="n"/>
      <c r="B975" s="87" t="n"/>
      <c r="C975" s="87" t="n"/>
      <c r="D975" s="87" t="n"/>
      <c r="E975" s="87" t="n"/>
      <c r="F975" s="87" t="n"/>
      <c r="G975" s="87" t="n"/>
      <c r="H975" s="87" t="n"/>
      <c r="I975" s="87" t="n"/>
      <c r="J975" s="87" t="n"/>
      <c r="K975" s="87" t="n"/>
      <c r="L975" s="87" t="n"/>
      <c r="M975" s="87" t="n"/>
      <c r="N975" s="87" t="n"/>
      <c r="O975" s="87" t="n"/>
      <c r="P975" s="87" t="n"/>
      <c r="Q975" s="87" t="n"/>
      <c r="R975" s="87" t="n"/>
      <c r="S975" s="87" t="n"/>
      <c r="T975" s="87" t="n"/>
      <c r="U975" s="87" t="n"/>
      <c r="V975" s="87" t="n"/>
      <c r="W975" s="87" t="n"/>
      <c r="X975" s="87" t="n"/>
      <c r="Y975" s="87" t="n"/>
      <c r="Z975" s="87" t="n"/>
    </row>
    <row r="976" ht="15.75" customHeight="1">
      <c r="A976" s="87" t="n"/>
      <c r="B976" s="87" t="n"/>
      <c r="C976" s="87" t="n"/>
      <c r="D976" s="87" t="n"/>
      <c r="E976" s="87" t="n"/>
      <c r="F976" s="87" t="n"/>
      <c r="G976" s="87" t="n"/>
      <c r="H976" s="87" t="n"/>
      <c r="I976" s="87" t="n"/>
      <c r="J976" s="87" t="n"/>
      <c r="K976" s="87" t="n"/>
      <c r="L976" s="87" t="n"/>
      <c r="M976" s="87" t="n"/>
      <c r="N976" s="87" t="n"/>
      <c r="O976" s="87" t="n"/>
      <c r="P976" s="87" t="n"/>
      <c r="Q976" s="87" t="n"/>
      <c r="R976" s="87" t="n"/>
      <c r="S976" s="87" t="n"/>
      <c r="T976" s="87" t="n"/>
      <c r="U976" s="87" t="n"/>
      <c r="V976" s="87" t="n"/>
      <c r="W976" s="87" t="n"/>
      <c r="X976" s="87" t="n"/>
      <c r="Y976" s="87" t="n"/>
      <c r="Z976" s="87" t="n"/>
    </row>
    <row r="977" ht="15.75" customHeight="1">
      <c r="A977" s="87" t="n"/>
      <c r="B977" s="87" t="n"/>
      <c r="C977" s="87" t="n"/>
      <c r="D977" s="87" t="n"/>
      <c r="E977" s="87" t="n"/>
      <c r="F977" s="87" t="n"/>
      <c r="G977" s="87" t="n"/>
      <c r="H977" s="87" t="n"/>
      <c r="I977" s="87" t="n"/>
      <c r="J977" s="87" t="n"/>
      <c r="K977" s="87" t="n"/>
      <c r="L977" s="87" t="n"/>
      <c r="M977" s="87" t="n"/>
      <c r="N977" s="87" t="n"/>
      <c r="O977" s="87" t="n"/>
      <c r="P977" s="87" t="n"/>
      <c r="Q977" s="87" t="n"/>
      <c r="R977" s="87" t="n"/>
      <c r="S977" s="87" t="n"/>
      <c r="T977" s="87" t="n"/>
      <c r="U977" s="87" t="n"/>
      <c r="V977" s="87" t="n"/>
      <c r="W977" s="87" t="n"/>
      <c r="X977" s="87" t="n"/>
      <c r="Y977" s="87" t="n"/>
      <c r="Z977" s="87" t="n"/>
    </row>
    <row r="978" ht="15.75" customHeight="1">
      <c r="A978" s="87" t="n"/>
      <c r="B978" s="87" t="n"/>
      <c r="C978" s="87" t="n"/>
      <c r="D978" s="87" t="n"/>
      <c r="E978" s="87" t="n"/>
      <c r="F978" s="87" t="n"/>
      <c r="G978" s="87" t="n"/>
      <c r="H978" s="87" t="n"/>
      <c r="I978" s="87" t="n"/>
      <c r="J978" s="87" t="n"/>
      <c r="K978" s="87" t="n"/>
      <c r="L978" s="87" t="n"/>
      <c r="M978" s="87" t="n"/>
      <c r="N978" s="87" t="n"/>
      <c r="O978" s="87" t="n"/>
      <c r="P978" s="87" t="n"/>
      <c r="Q978" s="87" t="n"/>
      <c r="R978" s="87" t="n"/>
      <c r="S978" s="87" t="n"/>
      <c r="T978" s="87" t="n"/>
      <c r="U978" s="87" t="n"/>
      <c r="V978" s="87" t="n"/>
      <c r="W978" s="87" t="n"/>
      <c r="X978" s="87" t="n"/>
      <c r="Y978" s="87" t="n"/>
      <c r="Z978" s="87" t="n"/>
    </row>
    <row r="979" ht="15.75" customHeight="1">
      <c r="A979" s="87" t="n"/>
      <c r="B979" s="87" t="n"/>
      <c r="C979" s="87" t="n"/>
      <c r="D979" s="87" t="n"/>
      <c r="E979" s="87" t="n"/>
      <c r="F979" s="87" t="n"/>
      <c r="G979" s="87" t="n"/>
      <c r="H979" s="87" t="n"/>
      <c r="I979" s="87" t="n"/>
      <c r="J979" s="87" t="n"/>
      <c r="K979" s="87" t="n"/>
      <c r="L979" s="87" t="n"/>
      <c r="M979" s="87" t="n"/>
      <c r="N979" s="87" t="n"/>
      <c r="O979" s="87" t="n"/>
      <c r="P979" s="87" t="n"/>
      <c r="Q979" s="87" t="n"/>
      <c r="R979" s="87" t="n"/>
      <c r="S979" s="87" t="n"/>
      <c r="T979" s="87" t="n"/>
      <c r="U979" s="87" t="n"/>
      <c r="V979" s="87" t="n"/>
      <c r="W979" s="87" t="n"/>
      <c r="X979" s="87" t="n"/>
      <c r="Y979" s="87" t="n"/>
      <c r="Z979" s="87" t="n"/>
    </row>
    <row r="980" ht="15.75" customHeight="1">
      <c r="A980" s="87" t="n"/>
      <c r="B980" s="87" t="n"/>
      <c r="C980" s="87" t="n"/>
      <c r="D980" s="87" t="n"/>
      <c r="E980" s="87" t="n"/>
      <c r="F980" s="87" t="n"/>
      <c r="G980" s="87" t="n"/>
      <c r="H980" s="87" t="n"/>
      <c r="I980" s="87" t="n"/>
      <c r="J980" s="87" t="n"/>
      <c r="K980" s="87" t="n"/>
      <c r="L980" s="87" t="n"/>
      <c r="M980" s="87" t="n"/>
      <c r="N980" s="87" t="n"/>
      <c r="O980" s="87" t="n"/>
      <c r="P980" s="87" t="n"/>
      <c r="Q980" s="87" t="n"/>
      <c r="R980" s="87" t="n"/>
      <c r="S980" s="87" t="n"/>
      <c r="T980" s="87" t="n"/>
      <c r="U980" s="87" t="n"/>
      <c r="V980" s="87" t="n"/>
      <c r="W980" s="87" t="n"/>
      <c r="X980" s="87" t="n"/>
      <c r="Y980" s="87" t="n"/>
      <c r="Z980" s="87" t="n"/>
    </row>
    <row r="981" ht="15.75" customHeight="1">
      <c r="A981" s="87" t="n"/>
      <c r="B981" s="87" t="n"/>
      <c r="C981" s="87" t="n"/>
      <c r="D981" s="87" t="n"/>
      <c r="E981" s="87" t="n"/>
      <c r="F981" s="87" t="n"/>
      <c r="G981" s="87" t="n"/>
      <c r="H981" s="87" t="n"/>
      <c r="I981" s="87" t="n"/>
      <c r="J981" s="87" t="n"/>
      <c r="K981" s="87" t="n"/>
      <c r="L981" s="87" t="n"/>
      <c r="M981" s="87" t="n"/>
      <c r="N981" s="87" t="n"/>
      <c r="O981" s="87" t="n"/>
      <c r="P981" s="87" t="n"/>
      <c r="Q981" s="87" t="n"/>
      <c r="R981" s="87" t="n"/>
      <c r="S981" s="87" t="n"/>
      <c r="T981" s="87" t="n"/>
      <c r="U981" s="87" t="n"/>
      <c r="V981" s="87" t="n"/>
      <c r="W981" s="87" t="n"/>
      <c r="X981" s="87" t="n"/>
      <c r="Y981" s="87" t="n"/>
      <c r="Z981" s="87" t="n"/>
    </row>
    <row r="982" ht="15.75" customHeight="1">
      <c r="A982" s="87" t="n"/>
      <c r="B982" s="87" t="n"/>
      <c r="C982" s="87" t="n"/>
      <c r="D982" s="87" t="n"/>
      <c r="E982" s="87" t="n"/>
      <c r="F982" s="87" t="n"/>
      <c r="G982" s="87" t="n"/>
      <c r="H982" s="87" t="n"/>
      <c r="I982" s="87" t="n"/>
      <c r="J982" s="87" t="n"/>
      <c r="K982" s="87" t="n"/>
      <c r="L982" s="87" t="n"/>
      <c r="M982" s="87" t="n"/>
      <c r="N982" s="87" t="n"/>
      <c r="O982" s="87" t="n"/>
      <c r="P982" s="87" t="n"/>
      <c r="Q982" s="87" t="n"/>
      <c r="R982" s="87" t="n"/>
      <c r="S982" s="87" t="n"/>
      <c r="T982" s="87" t="n"/>
      <c r="U982" s="87" t="n"/>
      <c r="V982" s="87" t="n"/>
      <c r="W982" s="87" t="n"/>
      <c r="X982" s="87" t="n"/>
      <c r="Y982" s="87" t="n"/>
      <c r="Z982" s="87" t="n"/>
    </row>
    <row r="983" ht="15.75" customHeight="1">
      <c r="A983" s="87" t="n"/>
      <c r="B983" s="87" t="n"/>
      <c r="C983" s="87" t="n"/>
      <c r="D983" s="87" t="n"/>
      <c r="E983" s="87" t="n"/>
      <c r="F983" s="87" t="n"/>
      <c r="G983" s="87" t="n"/>
      <c r="H983" s="87" t="n"/>
      <c r="I983" s="87" t="n"/>
      <c r="J983" s="87" t="n"/>
      <c r="K983" s="87" t="n"/>
      <c r="L983" s="87" t="n"/>
      <c r="M983" s="87" t="n"/>
      <c r="N983" s="87" t="n"/>
      <c r="O983" s="87" t="n"/>
      <c r="P983" s="87" t="n"/>
      <c r="Q983" s="87" t="n"/>
      <c r="R983" s="87" t="n"/>
      <c r="S983" s="87" t="n"/>
      <c r="T983" s="87" t="n"/>
      <c r="U983" s="87" t="n"/>
      <c r="V983" s="87" t="n"/>
      <c r="W983" s="87" t="n"/>
      <c r="X983" s="87" t="n"/>
      <c r="Y983" s="87" t="n"/>
      <c r="Z983" s="87" t="n"/>
    </row>
    <row r="984" ht="15.75" customHeight="1">
      <c r="A984" s="87" t="n"/>
      <c r="B984" s="87" t="n"/>
      <c r="C984" s="87" t="n"/>
      <c r="D984" s="87" t="n"/>
      <c r="E984" s="87" t="n"/>
      <c r="F984" s="87" t="n"/>
      <c r="G984" s="87" t="n"/>
      <c r="H984" s="87" t="n"/>
      <c r="I984" s="87" t="n"/>
      <c r="J984" s="87" t="n"/>
      <c r="K984" s="87" t="n"/>
      <c r="L984" s="87" t="n"/>
      <c r="M984" s="87" t="n"/>
      <c r="N984" s="87" t="n"/>
      <c r="O984" s="87" t="n"/>
      <c r="P984" s="87" t="n"/>
      <c r="Q984" s="87" t="n"/>
      <c r="R984" s="87" t="n"/>
      <c r="S984" s="87" t="n"/>
      <c r="T984" s="87" t="n"/>
      <c r="U984" s="87" t="n"/>
      <c r="V984" s="87" t="n"/>
      <c r="W984" s="87" t="n"/>
      <c r="X984" s="87" t="n"/>
      <c r="Y984" s="87" t="n"/>
      <c r="Z984" s="87" t="n"/>
    </row>
    <row r="985" ht="15.75" customHeight="1">
      <c r="A985" s="87" t="n"/>
      <c r="B985" s="87" t="n"/>
      <c r="C985" s="87" t="n"/>
      <c r="D985" s="87" t="n"/>
      <c r="E985" s="87" t="n"/>
      <c r="F985" s="87" t="n"/>
      <c r="G985" s="87" t="n"/>
      <c r="H985" s="87" t="n"/>
      <c r="I985" s="87" t="n"/>
      <c r="J985" s="87" t="n"/>
      <c r="K985" s="87" t="n"/>
      <c r="L985" s="87" t="n"/>
      <c r="M985" s="87" t="n"/>
      <c r="N985" s="87" t="n"/>
      <c r="O985" s="87" t="n"/>
      <c r="P985" s="87" t="n"/>
      <c r="Q985" s="87" t="n"/>
      <c r="R985" s="87" t="n"/>
      <c r="S985" s="87" t="n"/>
      <c r="T985" s="87" t="n"/>
      <c r="U985" s="87" t="n"/>
      <c r="V985" s="87" t="n"/>
      <c r="W985" s="87" t="n"/>
      <c r="X985" s="87" t="n"/>
      <c r="Y985" s="87" t="n"/>
      <c r="Z985" s="87" t="n"/>
    </row>
    <row r="986" ht="15.75" customHeight="1">
      <c r="A986" s="87" t="n"/>
      <c r="B986" s="87" t="n"/>
      <c r="C986" s="87" t="n"/>
      <c r="D986" s="87" t="n"/>
      <c r="E986" s="87" t="n"/>
      <c r="F986" s="87" t="n"/>
      <c r="G986" s="87" t="n"/>
      <c r="H986" s="87" t="n"/>
      <c r="I986" s="87" t="n"/>
      <c r="J986" s="87" t="n"/>
      <c r="K986" s="87" t="n"/>
      <c r="L986" s="87" t="n"/>
      <c r="M986" s="87" t="n"/>
      <c r="N986" s="87" t="n"/>
      <c r="O986" s="87" t="n"/>
      <c r="P986" s="87" t="n"/>
      <c r="Q986" s="87" t="n"/>
      <c r="R986" s="87" t="n"/>
      <c r="S986" s="87" t="n"/>
      <c r="T986" s="87" t="n"/>
      <c r="U986" s="87" t="n"/>
      <c r="V986" s="87" t="n"/>
      <c r="W986" s="87" t="n"/>
      <c r="X986" s="87" t="n"/>
      <c r="Y986" s="87" t="n"/>
      <c r="Z986" s="87" t="n"/>
    </row>
    <row r="987" ht="15.75" customHeight="1">
      <c r="A987" s="87" t="n"/>
      <c r="B987" s="87" t="n"/>
      <c r="C987" s="87" t="n"/>
      <c r="D987" s="87" t="n"/>
      <c r="E987" s="87" t="n"/>
      <c r="F987" s="87" t="n"/>
      <c r="G987" s="87" t="n"/>
      <c r="H987" s="87" t="n"/>
      <c r="I987" s="87" t="n"/>
      <c r="J987" s="87" t="n"/>
      <c r="K987" s="87" t="n"/>
      <c r="L987" s="87" t="n"/>
      <c r="M987" s="87" t="n"/>
      <c r="N987" s="87" t="n"/>
      <c r="O987" s="87" t="n"/>
      <c r="P987" s="87" t="n"/>
      <c r="Q987" s="87" t="n"/>
      <c r="R987" s="87" t="n"/>
      <c r="S987" s="87" t="n"/>
      <c r="T987" s="87" t="n"/>
      <c r="U987" s="87" t="n"/>
      <c r="V987" s="87" t="n"/>
      <c r="W987" s="87" t="n"/>
      <c r="X987" s="87" t="n"/>
      <c r="Y987" s="87" t="n"/>
      <c r="Z987" s="87" t="n"/>
    </row>
    <row r="988" ht="15.75" customHeight="1">
      <c r="A988" s="87" t="n"/>
      <c r="B988" s="87" t="n"/>
      <c r="C988" s="87" t="n"/>
      <c r="D988" s="87" t="n"/>
      <c r="E988" s="87" t="n"/>
      <c r="F988" s="87" t="n"/>
      <c r="G988" s="87" t="n"/>
      <c r="H988" s="87" t="n"/>
      <c r="I988" s="87" t="n"/>
      <c r="J988" s="87" t="n"/>
      <c r="K988" s="87" t="n"/>
      <c r="L988" s="87" t="n"/>
      <c r="M988" s="87" t="n"/>
      <c r="N988" s="87" t="n"/>
      <c r="O988" s="87" t="n"/>
      <c r="P988" s="87" t="n"/>
      <c r="Q988" s="87" t="n"/>
      <c r="R988" s="87" t="n"/>
      <c r="S988" s="87" t="n"/>
      <c r="T988" s="87" t="n"/>
      <c r="U988" s="87" t="n"/>
      <c r="V988" s="87" t="n"/>
      <c r="W988" s="87" t="n"/>
      <c r="X988" s="87" t="n"/>
      <c r="Y988" s="87" t="n"/>
      <c r="Z988" s="87" t="n"/>
    </row>
    <row r="989" ht="15.75" customHeight="1">
      <c r="A989" s="87" t="n"/>
      <c r="B989" s="87" t="n"/>
      <c r="C989" s="87" t="n"/>
      <c r="D989" s="87" t="n"/>
      <c r="E989" s="87" t="n"/>
      <c r="F989" s="87" t="n"/>
      <c r="G989" s="87" t="n"/>
      <c r="H989" s="87" t="n"/>
      <c r="I989" s="87" t="n"/>
      <c r="J989" s="87" t="n"/>
      <c r="K989" s="87" t="n"/>
      <c r="L989" s="87" t="n"/>
      <c r="M989" s="87" t="n"/>
      <c r="N989" s="87" t="n"/>
      <c r="O989" s="87" t="n"/>
      <c r="P989" s="87" t="n"/>
      <c r="Q989" s="87" t="n"/>
      <c r="R989" s="87" t="n"/>
      <c r="S989" s="87" t="n"/>
      <c r="T989" s="87" t="n"/>
      <c r="U989" s="87" t="n"/>
      <c r="V989" s="87" t="n"/>
      <c r="W989" s="87" t="n"/>
      <c r="X989" s="87" t="n"/>
      <c r="Y989" s="87" t="n"/>
      <c r="Z989" s="87" t="n"/>
    </row>
    <row r="990" ht="15.75" customHeight="1">
      <c r="A990" s="87" t="n"/>
      <c r="B990" s="87" t="n"/>
      <c r="C990" s="87" t="n"/>
      <c r="D990" s="87" t="n"/>
      <c r="E990" s="87" t="n"/>
      <c r="F990" s="87" t="n"/>
      <c r="G990" s="87" t="n"/>
      <c r="H990" s="87" t="n"/>
      <c r="I990" s="87" t="n"/>
      <c r="J990" s="87" t="n"/>
      <c r="K990" s="87" t="n"/>
      <c r="L990" s="87" t="n"/>
      <c r="M990" s="87" t="n"/>
      <c r="N990" s="87" t="n"/>
      <c r="O990" s="87" t="n"/>
      <c r="P990" s="87" t="n"/>
      <c r="Q990" s="87" t="n"/>
      <c r="R990" s="87" t="n"/>
      <c r="S990" s="87" t="n"/>
      <c r="T990" s="87" t="n"/>
      <c r="U990" s="87" t="n"/>
      <c r="V990" s="87" t="n"/>
      <c r="W990" s="87" t="n"/>
      <c r="X990" s="87" t="n"/>
      <c r="Y990" s="87" t="n"/>
      <c r="Z990" s="87" t="n"/>
    </row>
    <row r="991" ht="15.75" customHeight="1">
      <c r="A991" s="87" t="n"/>
      <c r="B991" s="87" t="n"/>
      <c r="C991" s="87" t="n"/>
      <c r="D991" s="87" t="n"/>
      <c r="E991" s="87" t="n"/>
      <c r="F991" s="87" t="n"/>
      <c r="G991" s="87" t="n"/>
      <c r="H991" s="87" t="n"/>
      <c r="I991" s="87" t="n"/>
      <c r="J991" s="87" t="n"/>
      <c r="K991" s="87" t="n"/>
      <c r="L991" s="87" t="n"/>
      <c r="M991" s="87" t="n"/>
      <c r="N991" s="87" t="n"/>
      <c r="O991" s="87" t="n"/>
      <c r="P991" s="87" t="n"/>
      <c r="Q991" s="87" t="n"/>
      <c r="R991" s="87" t="n"/>
      <c r="S991" s="87" t="n"/>
      <c r="T991" s="87" t="n"/>
      <c r="U991" s="87" t="n"/>
      <c r="V991" s="87" t="n"/>
      <c r="W991" s="87" t="n"/>
      <c r="X991" s="87" t="n"/>
      <c r="Y991" s="87" t="n"/>
      <c r="Z991" s="87" t="n"/>
    </row>
    <row r="992" ht="15.75" customHeight="1">
      <c r="A992" s="87" t="n"/>
      <c r="B992" s="87" t="n"/>
      <c r="C992" s="87" t="n"/>
      <c r="D992" s="87" t="n"/>
      <c r="E992" s="87" t="n"/>
      <c r="F992" s="87" t="n"/>
      <c r="G992" s="87" t="n"/>
      <c r="H992" s="87" t="n"/>
      <c r="I992" s="87" t="n"/>
      <c r="J992" s="87" t="n"/>
      <c r="K992" s="87" t="n"/>
      <c r="L992" s="87" t="n"/>
      <c r="M992" s="87" t="n"/>
      <c r="N992" s="87" t="n"/>
      <c r="O992" s="87" t="n"/>
      <c r="P992" s="87" t="n"/>
      <c r="Q992" s="87" t="n"/>
      <c r="R992" s="87" t="n"/>
      <c r="S992" s="87" t="n"/>
      <c r="T992" s="87" t="n"/>
      <c r="U992" s="87" t="n"/>
      <c r="V992" s="87" t="n"/>
      <c r="W992" s="87" t="n"/>
      <c r="X992" s="87" t="n"/>
      <c r="Y992" s="87" t="n"/>
      <c r="Z992" s="87" t="n"/>
    </row>
    <row r="993" ht="15.75" customHeight="1">
      <c r="A993" s="87" t="n"/>
      <c r="B993" s="87" t="n"/>
      <c r="C993" s="87" t="n"/>
      <c r="D993" s="87" t="n"/>
      <c r="E993" s="87" t="n"/>
      <c r="F993" s="87" t="n"/>
      <c r="G993" s="87" t="n"/>
      <c r="H993" s="87" t="n"/>
      <c r="I993" s="87" t="n"/>
      <c r="J993" s="87" t="n"/>
      <c r="K993" s="87" t="n"/>
      <c r="L993" s="87" t="n"/>
      <c r="M993" s="87" t="n"/>
      <c r="N993" s="87" t="n"/>
      <c r="O993" s="87" t="n"/>
      <c r="P993" s="87" t="n"/>
      <c r="Q993" s="87" t="n"/>
      <c r="R993" s="87" t="n"/>
      <c r="S993" s="87" t="n"/>
      <c r="T993" s="87" t="n"/>
      <c r="U993" s="87" t="n"/>
      <c r="V993" s="87" t="n"/>
      <c r="W993" s="87" t="n"/>
      <c r="X993" s="87" t="n"/>
      <c r="Y993" s="87" t="n"/>
      <c r="Z993" s="87" t="n"/>
    </row>
    <row r="994" ht="15.75" customHeight="1">
      <c r="A994" s="87" t="n"/>
      <c r="B994" s="87" t="n"/>
      <c r="C994" s="87" t="n"/>
      <c r="D994" s="87" t="n"/>
      <c r="E994" s="87" t="n"/>
      <c r="F994" s="87" t="n"/>
      <c r="G994" s="87" t="n"/>
      <c r="H994" s="87" t="n"/>
      <c r="I994" s="87" t="n"/>
      <c r="J994" s="87" t="n"/>
      <c r="K994" s="87" t="n"/>
      <c r="L994" s="87" t="n"/>
      <c r="M994" s="87" t="n"/>
      <c r="N994" s="87" t="n"/>
      <c r="O994" s="87" t="n"/>
      <c r="P994" s="87" t="n"/>
      <c r="Q994" s="87" t="n"/>
      <c r="R994" s="87" t="n"/>
      <c r="S994" s="87" t="n"/>
      <c r="T994" s="87" t="n"/>
      <c r="U994" s="87" t="n"/>
      <c r="V994" s="87" t="n"/>
      <c r="W994" s="87" t="n"/>
      <c r="X994" s="87" t="n"/>
      <c r="Y994" s="87" t="n"/>
      <c r="Z994" s="87" t="n"/>
    </row>
    <row r="995" ht="15.75" customHeight="1">
      <c r="A995" s="87" t="n"/>
      <c r="B995" s="87" t="n"/>
      <c r="C995" s="87" t="n"/>
      <c r="D995" s="87" t="n"/>
      <c r="E995" s="87" t="n"/>
      <c r="F995" s="87" t="n"/>
      <c r="G995" s="87" t="n"/>
      <c r="H995" s="87" t="n"/>
      <c r="I995" s="87" t="n"/>
      <c r="J995" s="87" t="n"/>
      <c r="K995" s="87" t="n"/>
      <c r="L995" s="87" t="n"/>
      <c r="M995" s="87" t="n"/>
      <c r="N995" s="87" t="n"/>
      <c r="O995" s="87" t="n"/>
      <c r="P995" s="87" t="n"/>
      <c r="Q995" s="87" t="n"/>
      <c r="R995" s="87" t="n"/>
      <c r="S995" s="87" t="n"/>
      <c r="T995" s="87" t="n"/>
      <c r="U995" s="87" t="n"/>
      <c r="V995" s="87" t="n"/>
      <c r="W995" s="87" t="n"/>
      <c r="X995" s="87" t="n"/>
      <c r="Y995" s="87" t="n"/>
      <c r="Z995" s="87" t="n"/>
    </row>
    <row r="996" ht="15.75" customHeight="1">
      <c r="A996" s="87" t="n"/>
      <c r="B996" s="87" t="n"/>
      <c r="C996" s="87" t="n"/>
      <c r="D996" s="87" t="n"/>
      <c r="E996" s="87" t="n"/>
      <c r="F996" s="87" t="n"/>
      <c r="G996" s="87" t="n"/>
      <c r="H996" s="87" t="n"/>
      <c r="I996" s="87" t="n"/>
      <c r="J996" s="87" t="n"/>
      <c r="K996" s="87" t="n"/>
      <c r="L996" s="87" t="n"/>
      <c r="M996" s="87" t="n"/>
      <c r="N996" s="87" t="n"/>
      <c r="O996" s="87" t="n"/>
      <c r="P996" s="87" t="n"/>
      <c r="Q996" s="87" t="n"/>
      <c r="R996" s="87" t="n"/>
      <c r="S996" s="87" t="n"/>
      <c r="T996" s="87" t="n"/>
      <c r="U996" s="87" t="n"/>
      <c r="V996" s="87" t="n"/>
      <c r="W996" s="87" t="n"/>
      <c r="X996" s="87" t="n"/>
      <c r="Y996" s="87" t="n"/>
      <c r="Z996" s="87" t="n"/>
    </row>
    <row r="997" ht="15.75" customHeight="1">
      <c r="A997" s="87" t="n"/>
      <c r="B997" s="87" t="n"/>
      <c r="C997" s="87" t="n"/>
      <c r="D997" s="87" t="n"/>
      <c r="E997" s="87" t="n"/>
      <c r="F997" s="87" t="n"/>
      <c r="G997" s="87" t="n"/>
      <c r="H997" s="87" t="n"/>
      <c r="I997" s="87" t="n"/>
      <c r="J997" s="87" t="n"/>
      <c r="K997" s="87" t="n"/>
      <c r="L997" s="87" t="n"/>
      <c r="M997" s="87" t="n"/>
      <c r="N997" s="87" t="n"/>
      <c r="O997" s="87" t="n"/>
      <c r="P997" s="87" t="n"/>
      <c r="Q997" s="87" t="n"/>
      <c r="R997" s="87" t="n"/>
      <c r="S997" s="87" t="n"/>
      <c r="T997" s="87" t="n"/>
      <c r="U997" s="87" t="n"/>
      <c r="V997" s="87" t="n"/>
      <c r="W997" s="87" t="n"/>
      <c r="X997" s="87" t="n"/>
      <c r="Y997" s="87" t="n"/>
      <c r="Z997" s="87" t="n"/>
    </row>
    <row r="998" ht="15.75" customHeight="1">
      <c r="A998" s="87" t="n"/>
      <c r="B998" s="87" t="n"/>
      <c r="C998" s="87" t="n"/>
      <c r="D998" s="87" t="n"/>
      <c r="E998" s="87" t="n"/>
      <c r="F998" s="87" t="n"/>
      <c r="G998" s="87" t="n"/>
      <c r="H998" s="87" t="n"/>
      <c r="I998" s="87" t="n"/>
      <c r="J998" s="87" t="n"/>
      <c r="K998" s="87" t="n"/>
      <c r="L998" s="87" t="n"/>
      <c r="M998" s="87" t="n"/>
      <c r="N998" s="87" t="n"/>
      <c r="O998" s="87" t="n"/>
      <c r="P998" s="87" t="n"/>
      <c r="Q998" s="87" t="n"/>
      <c r="R998" s="87" t="n"/>
      <c r="S998" s="87" t="n"/>
      <c r="T998" s="87" t="n"/>
      <c r="U998" s="87" t="n"/>
      <c r="V998" s="87" t="n"/>
      <c r="W998" s="87" t="n"/>
      <c r="X998" s="87" t="n"/>
      <c r="Y998" s="87" t="n"/>
      <c r="Z998" s="87" t="n"/>
    </row>
    <row r="999" ht="15.75" customHeight="1">
      <c r="A999" s="87" t="n"/>
      <c r="B999" s="87" t="n"/>
      <c r="C999" s="87" t="n"/>
      <c r="D999" s="87" t="n"/>
      <c r="E999" s="87" t="n"/>
      <c r="F999" s="87" t="n"/>
      <c r="G999" s="87" t="n"/>
      <c r="H999" s="87" t="n"/>
      <c r="I999" s="87" t="n"/>
      <c r="J999" s="87" t="n"/>
      <c r="K999" s="87" t="n"/>
      <c r="L999" s="87" t="n"/>
      <c r="M999" s="87" t="n"/>
      <c r="N999" s="87" t="n"/>
      <c r="O999" s="87" t="n"/>
      <c r="P999" s="87" t="n"/>
      <c r="Q999" s="87" t="n"/>
      <c r="R999" s="87" t="n"/>
      <c r="S999" s="87" t="n"/>
      <c r="T999" s="87" t="n"/>
      <c r="U999" s="87" t="n"/>
      <c r="V999" s="87" t="n"/>
      <c r="W999" s="87" t="n"/>
      <c r="X999" s="87" t="n"/>
      <c r="Y999" s="87" t="n"/>
      <c r="Z999" s="87" t="n"/>
    </row>
    <row r="1000" ht="15.75" customHeight="1">
      <c r="A1000" s="87" t="n"/>
      <c r="B1000" s="87" t="n"/>
      <c r="C1000" s="87" t="n"/>
      <c r="D1000" s="87" t="n"/>
      <c r="E1000" s="87" t="n"/>
      <c r="F1000" s="87" t="n"/>
      <c r="G1000" s="87" t="n"/>
      <c r="H1000" s="87" t="n"/>
      <c r="I1000" s="87" t="n"/>
      <c r="J1000" s="87" t="n"/>
      <c r="K1000" s="87" t="n"/>
      <c r="L1000" s="87" t="n"/>
      <c r="M1000" s="87" t="n"/>
      <c r="N1000" s="87" t="n"/>
      <c r="O1000" s="87" t="n"/>
      <c r="P1000" s="87" t="n"/>
      <c r="Q1000" s="87" t="n"/>
      <c r="R1000" s="87" t="n"/>
      <c r="S1000" s="87" t="n"/>
      <c r="T1000" s="87" t="n"/>
      <c r="U1000" s="87" t="n"/>
      <c r="V1000" s="87" t="n"/>
      <c r="W1000" s="87" t="n"/>
      <c r="X1000" s="87" t="n"/>
      <c r="Y1000" s="87" t="n"/>
      <c r="Z1000" s="87" t="n"/>
    </row>
  </sheetData>
  <mergeCells count="3">
    <mergeCell ref="A1:E1"/>
    <mergeCell ref="A13:E13"/>
    <mergeCell ref="A8:E8"/>
  </mergeCells>
  <pageMargins left="0.7" right="0.7" top="0.75" bottom="0.75" header="0" footer="0"/>
  <pageSetup orientation="landscape" scale="100" fitToHeight="1" fitToWidth="1" firstPageNumber="1" useFirstPageNumber="1" horizontalDpi="4294967295" verticalDpi="4294967295" copies="1"/>
</worksheet>
</file>

<file path=xl/worksheets/sheet4.xml><?xml version="1.0" encoding="utf-8"?>
<worksheet xmlns="http://schemas.openxmlformats.org/spreadsheetml/2006/main">
  <sheetPr>
    <tabColor rgb="FFD76DCC"/>
    <outlinePr summaryBelow="1" summaryRight="1"/>
    <pageSetUpPr/>
  </sheetPr>
  <dimension ref="A1:J48"/>
  <sheetViews>
    <sheetView zoomScale="100" zoomScaleNormal="100" workbookViewId="0">
      <selection activeCell="A1" sqref="A1"/>
    </sheetView>
  </sheetViews>
  <sheetFormatPr baseColWidth="8" defaultColWidth="12.6640625" defaultRowHeight="15" outlineLevelRow="0" outlineLevelCol="0"/>
  <cols>
    <col width="17.6640625" customWidth="1" min="1" max="1"/>
    <col width="14.6640625" customWidth="1" min="2" max="3"/>
    <col width="13.6640625" customWidth="1" min="4" max="4"/>
    <col width="12.1640625" customWidth="1" min="5" max="5"/>
    <col width="13.6640625" customWidth="1" min="6" max="6"/>
    <col width="14.6640625" customWidth="1" min="7" max="7"/>
    <col width="12.1640625" customWidth="1" min="8" max="8"/>
    <col width="13.6640625" customWidth="1" min="9" max="9"/>
    <col width="14.6640625" customWidth="1" min="10" max="10"/>
    <col width="10.6640625" customWidth="1" min="11" max="26"/>
  </cols>
  <sheetData>
    <row r="1">
      <c r="A1" s="88" t="inlineStr">
        <is>
          <t>Mes</t>
        </is>
      </c>
      <c r="B1" s="88" t="inlineStr">
        <is>
          <t>Saldo Inicial</t>
        </is>
      </c>
      <c r="C1" s="88" t="inlineStr">
        <is>
          <t>Disposiciones</t>
        </is>
      </c>
      <c r="D1" s="88" t="inlineStr">
        <is>
          <t>Pago</t>
        </is>
      </c>
      <c r="E1" s="88" t="inlineStr">
        <is>
          <t>Interés</t>
        </is>
      </c>
      <c r="F1" s="88" t="inlineStr">
        <is>
          <t>Amortización</t>
        </is>
      </c>
      <c r="G1" s="88" t="inlineStr">
        <is>
          <t>Saldo Final</t>
        </is>
      </c>
      <c r="H1" s="88" t="inlineStr">
        <is>
          <t>Comisión Estr</t>
        </is>
      </c>
      <c r="I1" s="88" t="inlineStr">
        <is>
          <t>Comisión Admin</t>
        </is>
      </c>
      <c r="J1" s="88" t="inlineStr">
        <is>
          <t>Total Comisiones</t>
        </is>
      </c>
    </row>
    <row r="2">
      <c r="A2" s="87" t="n">
        <v>0</v>
      </c>
      <c r="B2" s="87" t="n">
        <v>0</v>
      </c>
      <c r="C2" s="108" t="n">
        <v>20000000</v>
      </c>
      <c r="D2" s="87" t="n"/>
      <c r="E2" s="87" t="n"/>
      <c r="F2" s="87" t="n"/>
      <c r="G2" s="87" t="n"/>
      <c r="H2" s="87" t="n"/>
      <c r="I2" s="87" t="n"/>
      <c r="J2" s="87" t="n"/>
    </row>
    <row r="3">
      <c r="A3" s="87" t="n">
        <v>1</v>
      </c>
      <c r="B3" s="108">
        <f>C2</f>
        <v/>
      </c>
      <c r="C3" s="108" t="n">
        <v>15000000</v>
      </c>
      <c r="D3" s="108">
        <f>IF(A3&lt;=$B$45, E3, IF(B3&gt;0, B3*(($B$40/12)/(1-(1+($B$40/12))^(-($B$44-A3+1)))), 0))</f>
        <v/>
      </c>
      <c r="E3" s="108">
        <f>B3*$B$40/12</f>
        <v/>
      </c>
      <c r="F3" s="108">
        <f>IF(A3&lt;=$B$45, 0, D3-E3)</f>
        <v/>
      </c>
      <c r="G3" s="108">
        <f>B3-F3</f>
        <v/>
      </c>
      <c r="H3" s="108">
        <f>C2*$B$47</f>
        <v/>
      </c>
      <c r="I3" s="108">
        <f>($B$42*$B$48/12)</f>
        <v/>
      </c>
      <c r="J3" s="108">
        <f>H3+I3</f>
        <v/>
      </c>
    </row>
    <row r="4">
      <c r="A4" s="87" t="n">
        <v>2</v>
      </c>
      <c r="B4" s="108">
        <f>G3+C3</f>
        <v/>
      </c>
      <c r="C4" s="108" t="n">
        <v>15000000</v>
      </c>
      <c r="D4" s="108">
        <f>IF(A4&lt;=$B$45, E4, IF(B4&gt;0, B4*(($B$40/12)/(1-(1+($B$40/12))^(-($B$44-A4+1)))), 0))</f>
        <v/>
      </c>
      <c r="E4" s="108">
        <f>B4*$B$40/12</f>
        <v/>
      </c>
      <c r="F4" s="108">
        <f>IF(A4&lt;=$B$45, 0, D4-E4)</f>
        <v/>
      </c>
      <c r="G4" s="108">
        <f>B4-F4</f>
        <v/>
      </c>
      <c r="H4" s="108">
        <f>C3*$B$47</f>
        <v/>
      </c>
      <c r="I4" s="108">
        <f>($B$42*$B$48/12)</f>
        <v/>
      </c>
      <c r="J4" s="108">
        <f>H4+I4</f>
        <v/>
      </c>
    </row>
    <row r="5">
      <c r="A5" s="87" t="n">
        <v>3</v>
      </c>
      <c r="B5" s="108">
        <f>G4+C4</f>
        <v/>
      </c>
      <c r="C5" s="108" t="n">
        <v>0</v>
      </c>
      <c r="D5" s="108">
        <f>IF(A5&lt;=$B$45, E5, IF(B5&gt;0, B5*(($B$40/12)/(1-(1+($B$40/12))^(-($B$44-A5+1)))), 0))</f>
        <v/>
      </c>
      <c r="E5" s="108">
        <f>B5*$B$40/12</f>
        <v/>
      </c>
      <c r="F5" s="108">
        <f>IF(A5&lt;=$B$45, 0, D5-E5)</f>
        <v/>
      </c>
      <c r="G5" s="108">
        <f>B5-F5</f>
        <v/>
      </c>
      <c r="H5" s="108">
        <f>C4*$B$47</f>
        <v/>
      </c>
      <c r="I5" s="108">
        <f>($B$42*$B$48/12)</f>
        <v/>
      </c>
      <c r="J5" s="108">
        <f>H5+I5</f>
        <v/>
      </c>
    </row>
    <row r="6">
      <c r="A6" s="87" t="n">
        <v>4</v>
      </c>
      <c r="B6" s="108">
        <f>G5+C5</f>
        <v/>
      </c>
      <c r="C6" s="108" t="n">
        <v>0</v>
      </c>
      <c r="D6" s="108">
        <f>IF(A6&lt;=$B$45, E6, IF(B6&gt;0, B6*(($B$40/12)/(1-(1+($B$40/12))^(-($B$44-A6+1)))), 0))</f>
        <v/>
      </c>
      <c r="E6" s="108">
        <f>B6*$B$40/12</f>
        <v/>
      </c>
      <c r="F6" s="108">
        <f>IF(A6&lt;=$B$45, 0, D6-E6)</f>
        <v/>
      </c>
      <c r="G6" s="108">
        <f>B6-F6</f>
        <v/>
      </c>
      <c r="H6" s="108">
        <f>C5*$B$47</f>
        <v/>
      </c>
      <c r="I6" s="108">
        <f>($B$42*$B$48/12)</f>
        <v/>
      </c>
      <c r="J6" s="108">
        <f>H6+I6</f>
        <v/>
      </c>
    </row>
    <row r="7">
      <c r="A7" s="87" t="n">
        <v>5</v>
      </c>
      <c r="B7" s="108">
        <f>G6+C6</f>
        <v/>
      </c>
      <c r="C7" s="108" t="n">
        <v>0</v>
      </c>
      <c r="D7" s="108">
        <f>IF(A7&lt;=$B$45, E7, IF(B7&gt;0, B7*(($B$40/12)/(1-(1+($B$40/12))^(-($B$44-A7+1)))), 0))</f>
        <v/>
      </c>
      <c r="E7" s="108">
        <f>B7*$B$40/12</f>
        <v/>
      </c>
      <c r="F7" s="108">
        <f>IF(A7&lt;=$B$45, 0, D7-E7)</f>
        <v/>
      </c>
      <c r="G7" s="108">
        <f>B7-F7</f>
        <v/>
      </c>
      <c r="H7" s="108">
        <f>C6*$B$47</f>
        <v/>
      </c>
      <c r="I7" s="108">
        <f>($B$42*$B$48/12)</f>
        <v/>
      </c>
      <c r="J7" s="108">
        <f>H7+I7</f>
        <v/>
      </c>
    </row>
    <row r="8">
      <c r="A8" s="87" t="n">
        <v>6</v>
      </c>
      <c r="B8" s="108">
        <f>G7+C7</f>
        <v/>
      </c>
      <c r="C8" s="108" t="n">
        <v>0</v>
      </c>
      <c r="D8" s="108">
        <f>IF(A8&lt;=$B$45, E8, IF(B8&gt;0, B8*(($B$40/12)/(1-(1+($B$40/12))^(-($B$44-A8+1)))), 0))</f>
        <v/>
      </c>
      <c r="E8" s="108">
        <f>B8*$B$40/12</f>
        <v/>
      </c>
      <c r="F8" s="108">
        <f>IF(A8&lt;=$B$45, 0, D8-E8)</f>
        <v/>
      </c>
      <c r="G8" s="108">
        <f>B8-F8</f>
        <v/>
      </c>
      <c r="H8" s="108">
        <f>C7*$B$47</f>
        <v/>
      </c>
      <c r="I8" s="108">
        <f>($B$42*$B$48/12)</f>
        <v/>
      </c>
      <c r="J8" s="108">
        <f>H8+I8</f>
        <v/>
      </c>
    </row>
    <row r="9">
      <c r="A9" s="87" t="n">
        <v>7</v>
      </c>
      <c r="B9" s="108">
        <f>G8+C8</f>
        <v/>
      </c>
      <c r="C9" s="108" t="n">
        <v>0</v>
      </c>
      <c r="D9" s="108">
        <f>IF(A9&lt;=$B$45, E9, IF(B9&gt;0, B9*(($B$40/12)/(1-(1+($B$40/12))^(-($B$44-A9+1)))), 0))</f>
        <v/>
      </c>
      <c r="E9" s="108">
        <f>B9*$B$40/12</f>
        <v/>
      </c>
      <c r="F9" s="108">
        <f>IF(A9&lt;=$B$45, 0, D9-E9)</f>
        <v/>
      </c>
      <c r="G9" s="108">
        <f>B9-F9</f>
        <v/>
      </c>
      <c r="H9" s="108">
        <f>C8*$B$47</f>
        <v/>
      </c>
      <c r="I9" s="108">
        <f>($B$42*$B$48/12)</f>
        <v/>
      </c>
      <c r="J9" s="108">
        <f>H9+I9</f>
        <v/>
      </c>
    </row>
    <row r="10">
      <c r="A10" s="87" t="n">
        <v>8</v>
      </c>
      <c r="B10" s="108">
        <f>G9+C9</f>
        <v/>
      </c>
      <c r="C10" s="108" t="n">
        <v>0</v>
      </c>
      <c r="D10" s="108">
        <f>IF(A10&lt;=$B$45, E10, IF(B10&gt;0, B10*(($B$40/12)/(1-(1+($B$40/12))^(-($B$44-A10+1)))), 0))</f>
        <v/>
      </c>
      <c r="E10" s="108">
        <f>B10*$B$40/12</f>
        <v/>
      </c>
      <c r="F10" s="108">
        <f>IF(A10&lt;=$B$45, 0, D10-E10)</f>
        <v/>
      </c>
      <c r="G10" s="108">
        <f>B10-F10</f>
        <v/>
      </c>
      <c r="H10" s="108">
        <f>C9*$B$47</f>
        <v/>
      </c>
      <c r="I10" s="108">
        <f>($B$42*$B$48/12)</f>
        <v/>
      </c>
      <c r="J10" s="108">
        <f>H10+I10</f>
        <v/>
      </c>
    </row>
    <row r="11">
      <c r="A11" s="87" t="n">
        <v>9</v>
      </c>
      <c r="B11" s="108">
        <f>G10+C10</f>
        <v/>
      </c>
      <c r="C11" s="108" t="n">
        <v>0</v>
      </c>
      <c r="D11" s="108">
        <f>IF(A11&lt;=$B$45, E11, IF(B11&gt;0, B11*(($B$40/12)/(1-(1+($B$40/12))^(-($B$44-A11+1)))), 0))</f>
        <v/>
      </c>
      <c r="E11" s="108">
        <f>B11*$B$40/12</f>
        <v/>
      </c>
      <c r="F11" s="108">
        <f>IF(A11&lt;=$B$45, 0, D11-E11)</f>
        <v/>
      </c>
      <c r="G11" s="108">
        <f>B11-F11</f>
        <v/>
      </c>
      <c r="H11" s="108">
        <f>C10*$B$47</f>
        <v/>
      </c>
      <c r="I11" s="108">
        <f>($B$42*$B$48/12)</f>
        <v/>
      </c>
      <c r="J11" s="108">
        <f>H11+I11</f>
        <v/>
      </c>
    </row>
    <row r="12">
      <c r="A12" s="87" t="n">
        <v>10</v>
      </c>
      <c r="B12" s="108">
        <f>G11+C11</f>
        <v/>
      </c>
      <c r="C12" s="108" t="n"/>
      <c r="D12" s="108">
        <f>IF(A12&lt;=$B$45, E12, IF(B12&gt;0, B12*(($B$40/12)/(1-(1+($B$40/12))^(-($B$44-A12+1)))), 0))</f>
        <v/>
      </c>
      <c r="E12" s="108">
        <f>B12*$B$40/12</f>
        <v/>
      </c>
      <c r="F12" s="108">
        <f>IF(A12&lt;=$B$45, 0, D12-E12)</f>
        <v/>
      </c>
      <c r="G12" s="108">
        <f>B12-F12</f>
        <v/>
      </c>
      <c r="H12" s="108">
        <f>C11*$B$47</f>
        <v/>
      </c>
      <c r="I12" s="108">
        <f>($B$42*$B$48/12)</f>
        <v/>
      </c>
      <c r="J12" s="108">
        <f>H12+I12</f>
        <v/>
      </c>
    </row>
    <row r="13">
      <c r="A13" s="87" t="n">
        <v>11</v>
      </c>
      <c r="B13" s="108">
        <f>G12+C12</f>
        <v/>
      </c>
      <c r="C13" s="108" t="n"/>
      <c r="D13" s="108">
        <f>IF(A13&lt;=$B$45, E13, IF(B13&gt;0, B13*(($B$40/12)/(1-(1+($B$40/12))^(-($B$44-A13+1)))), 0))</f>
        <v/>
      </c>
      <c r="E13" s="108">
        <f>B13*$B$40/12</f>
        <v/>
      </c>
      <c r="F13" s="108">
        <f>IF(A13&lt;=$B$45, 0, D13-E13)</f>
        <v/>
      </c>
      <c r="G13" s="108">
        <f>B13-F13</f>
        <v/>
      </c>
      <c r="H13" s="108">
        <f>C12*$B$47</f>
        <v/>
      </c>
      <c r="I13" s="108">
        <f>($B$42*$B$48/12)</f>
        <v/>
      </c>
      <c r="J13" s="108">
        <f>H13+I13</f>
        <v/>
      </c>
    </row>
    <row r="14">
      <c r="A14" s="87" t="n">
        <v>12</v>
      </c>
      <c r="B14" s="108">
        <f>G13+C13</f>
        <v/>
      </c>
      <c r="C14" s="108" t="n"/>
      <c r="D14" s="108">
        <f>IF(A14&lt;=$B$45, E14, IF(B14&gt;0, B14*(($B$40/12)/(1-(1+($B$40/12))^(-($B$44-A14+1)))), 0))</f>
        <v/>
      </c>
      <c r="E14" s="108">
        <f>B14*$B$40/12</f>
        <v/>
      </c>
      <c r="F14" s="108">
        <f>IF(A14&lt;=$B$45, 0, D14-E14)</f>
        <v/>
      </c>
      <c r="G14" s="108">
        <f>B14-F14</f>
        <v/>
      </c>
      <c r="H14" s="108">
        <f>C13*$B$47</f>
        <v/>
      </c>
      <c r="I14" s="108">
        <f>($B$42*$B$48/12)</f>
        <v/>
      </c>
      <c r="J14" s="108">
        <f>H14+I14</f>
        <v/>
      </c>
    </row>
    <row r="15">
      <c r="A15" s="87" t="n">
        <v>13</v>
      </c>
      <c r="B15" s="108">
        <f>G14+C14</f>
        <v/>
      </c>
      <c r="C15" s="108" t="n"/>
      <c r="D15" s="108">
        <f>IF(A15&lt;=$B$45, E15, IF(B15&gt;0, B15*(($B$40/12)/(1-(1+($B$40/12))^(-($B$44-A15+1)))), 0))</f>
        <v/>
      </c>
      <c r="E15" s="108">
        <f>B15*$B$40/12</f>
        <v/>
      </c>
      <c r="F15" s="108">
        <f>IF(A15&lt;=$B$45, 0, D15-E15)</f>
        <v/>
      </c>
      <c r="G15" s="108">
        <f>B15-F15</f>
        <v/>
      </c>
      <c r="H15" s="108">
        <f>C14*$B$47</f>
        <v/>
      </c>
      <c r="I15" s="108">
        <f>($B$42*$B$48/12)</f>
        <v/>
      </c>
      <c r="J15" s="108">
        <f>H15+I15</f>
        <v/>
      </c>
    </row>
    <row r="16">
      <c r="A16" s="87" t="n">
        <v>14</v>
      </c>
      <c r="B16" s="108">
        <f>G15+C15</f>
        <v/>
      </c>
      <c r="C16" s="108" t="n"/>
      <c r="D16" s="108">
        <f>IF(A16&lt;=$B$45, E16, IF(B16&gt;0, B16*(($B$40/12)/(1-(1+($B$40/12))^(-($B$44-A16+1)))), 0))</f>
        <v/>
      </c>
      <c r="E16" s="108">
        <f>B16*$B$40/12</f>
        <v/>
      </c>
      <c r="F16" s="108">
        <f>IF(A16&lt;=$B$45, 0, D16-E16)</f>
        <v/>
      </c>
      <c r="G16" s="108">
        <f>B16-F16</f>
        <v/>
      </c>
      <c r="H16" s="108">
        <f>C15*$B$47</f>
        <v/>
      </c>
      <c r="I16" s="108">
        <f>($B$42*$B$48/12)</f>
        <v/>
      </c>
      <c r="J16" s="108">
        <f>H16+I16</f>
        <v/>
      </c>
    </row>
    <row r="17">
      <c r="A17" s="87" t="n">
        <v>15</v>
      </c>
      <c r="B17" s="108">
        <f>G16+C16</f>
        <v/>
      </c>
      <c r="C17" s="108" t="n"/>
      <c r="D17" s="108">
        <f>IF(A17&lt;=$B$45, E17, IF(B17&gt;0, B17*(($B$40/12)/(1-(1+($B$40/12))^(-($B$44-A17+1)))), 0))</f>
        <v/>
      </c>
      <c r="E17" s="108">
        <f>B17*$B$40/12</f>
        <v/>
      </c>
      <c r="F17" s="108">
        <f>IF(A17&lt;=$B$45, 0, D17-E17)</f>
        <v/>
      </c>
      <c r="G17" s="108">
        <f>B17-F17</f>
        <v/>
      </c>
      <c r="H17" s="108">
        <f>C16*$B$47</f>
        <v/>
      </c>
      <c r="I17" s="108">
        <f>($B$42*$B$48/12)</f>
        <v/>
      </c>
      <c r="J17" s="108">
        <f>H17+I17</f>
        <v/>
      </c>
    </row>
    <row r="18">
      <c r="A18" s="87" t="n">
        <v>16</v>
      </c>
      <c r="B18" s="108">
        <f>G17+C17</f>
        <v/>
      </c>
      <c r="C18" s="108" t="n"/>
      <c r="D18" s="108">
        <f>IF(A18&lt;=$B$45, E18, IF(B18&gt;0, B18*(($B$40/12)/(1-(1+($B$40/12))^(-($B$44-A18+1)))), 0))</f>
        <v/>
      </c>
      <c r="E18" s="108">
        <f>B18*$B$40/12</f>
        <v/>
      </c>
      <c r="F18" s="108">
        <f>IF(A18&lt;=$B$45, 0, D18-E18)</f>
        <v/>
      </c>
      <c r="G18" s="108">
        <f>B18-F18</f>
        <v/>
      </c>
      <c r="H18" s="108">
        <f>C17*$B$47</f>
        <v/>
      </c>
      <c r="I18" s="108">
        <f>($B$42*$B$48/12)</f>
        <v/>
      </c>
      <c r="J18" s="108">
        <f>H18+I18</f>
        <v/>
      </c>
    </row>
    <row r="19">
      <c r="A19" s="87" t="n">
        <v>17</v>
      </c>
      <c r="B19" s="108">
        <f>G18+C18</f>
        <v/>
      </c>
      <c r="C19" s="108" t="n"/>
      <c r="D19" s="108">
        <f>IF(A19&lt;=$B$45, E19, IF(B19&gt;0, B19*(($B$40/12)/(1-(1+($B$40/12))^(-($B$44-A19+1)))), 0))</f>
        <v/>
      </c>
      <c r="E19" s="108">
        <f>B19*$B$40/12</f>
        <v/>
      </c>
      <c r="F19" s="108">
        <f>IF(A19&lt;=$B$45, 0, D19-E19)</f>
        <v/>
      </c>
      <c r="G19" s="108">
        <f>B19-F19</f>
        <v/>
      </c>
      <c r="H19" s="108">
        <f>C18*$B$47</f>
        <v/>
      </c>
      <c r="I19" s="108">
        <f>($B$42*$B$48/12)</f>
        <v/>
      </c>
      <c r="J19" s="108">
        <f>H19+I19</f>
        <v/>
      </c>
    </row>
    <row r="20">
      <c r="A20" s="87" t="n">
        <v>18</v>
      </c>
      <c r="B20" s="108">
        <f>G19+C19</f>
        <v/>
      </c>
      <c r="C20" s="108" t="n"/>
      <c r="D20" s="108">
        <f>IF(A20&lt;=$B$45, E20, IF(B20&gt;0, B20*(($B$40/12)/(1-(1+($B$40/12))^(-($B$44-A20+1)))), 0))</f>
        <v/>
      </c>
      <c r="E20" s="108">
        <f>B20*$B$40/12</f>
        <v/>
      </c>
      <c r="F20" s="108">
        <f>IF(A20&lt;=$B$45, 0, D20-E20)</f>
        <v/>
      </c>
      <c r="G20" s="108">
        <f>B20-F20</f>
        <v/>
      </c>
      <c r="H20" s="108">
        <f>C19*$B$47</f>
        <v/>
      </c>
      <c r="I20" s="108">
        <f>($B$42*$B$48/12)</f>
        <v/>
      </c>
      <c r="J20" s="108">
        <f>H20+I20</f>
        <v/>
      </c>
    </row>
    <row r="21" ht="15.75" customHeight="1">
      <c r="A21" s="87" t="n">
        <v>19</v>
      </c>
      <c r="B21" s="108">
        <f>G20+C20</f>
        <v/>
      </c>
      <c r="C21" s="108" t="n"/>
      <c r="D21" s="108">
        <f>IF(A21&lt;=$B$45, E21, IF(B21&gt;0, B21*(($B$40/12)/(1-(1+($B$40/12))^(-($B$44-A21+1)))), 0))</f>
        <v/>
      </c>
      <c r="E21" s="108">
        <f>B21*$B$40/12</f>
        <v/>
      </c>
      <c r="F21" s="108">
        <f>IF(A21&lt;=$B$45, 0, D21-E21)</f>
        <v/>
      </c>
      <c r="G21" s="108">
        <f>B21-F21</f>
        <v/>
      </c>
      <c r="H21" s="108">
        <f>C20*$B$47</f>
        <v/>
      </c>
      <c r="I21" s="108">
        <f>($B$42*$B$48/12)</f>
        <v/>
      </c>
      <c r="J21" s="108">
        <f>H21+I21</f>
        <v/>
      </c>
    </row>
    <row r="22" ht="15.75" customHeight="1">
      <c r="A22" s="87" t="n">
        <v>20</v>
      </c>
      <c r="B22" s="108">
        <f>G21+C21</f>
        <v/>
      </c>
      <c r="C22" s="108" t="n"/>
      <c r="D22" s="108">
        <f>IF(A22&lt;=$B$45, E22, IF(B22&gt;0, B22*(($B$40/12)/(1-(1+($B$40/12))^(-($B$44-A22+1)))), 0))</f>
        <v/>
      </c>
      <c r="E22" s="108">
        <f>B22*$B$40/12</f>
        <v/>
      </c>
      <c r="F22" s="108">
        <f>IF(A22&lt;=$B$45, 0, D22-E22)</f>
        <v/>
      </c>
      <c r="G22" s="108">
        <f>B22-F22</f>
        <v/>
      </c>
      <c r="H22" s="108">
        <f>C21*$B$47</f>
        <v/>
      </c>
      <c r="I22" s="108">
        <f>($B$42*$B$48/12)</f>
        <v/>
      </c>
      <c r="J22" s="108">
        <f>H22+I22</f>
        <v/>
      </c>
    </row>
    <row r="23" ht="15.75" customHeight="1">
      <c r="A23" s="87" t="n">
        <v>21</v>
      </c>
      <c r="B23" s="108">
        <f>G22+C22</f>
        <v/>
      </c>
      <c r="C23" s="108" t="n"/>
      <c r="D23" s="108">
        <f>IF(A23&lt;=$B$45, E23, IF(B23&gt;0, B23*(($B$40/12)/(1-(1+($B$40/12))^(-($B$44-A23+1)))), 0))</f>
        <v/>
      </c>
      <c r="E23" s="108">
        <f>B23*$B$40/12</f>
        <v/>
      </c>
      <c r="F23" s="108">
        <f>IF(A23&lt;=$B$45, 0, D23-E23)</f>
        <v/>
      </c>
      <c r="G23" s="108">
        <f>B23-F23</f>
        <v/>
      </c>
      <c r="H23" s="108">
        <f>C22*$B$47</f>
        <v/>
      </c>
      <c r="I23" s="108">
        <f>($B$42*$B$48/12)</f>
        <v/>
      </c>
      <c r="J23" s="108">
        <f>H23+I23</f>
        <v/>
      </c>
    </row>
    <row r="24" ht="15.75" customHeight="1">
      <c r="A24" s="87" t="n">
        <v>22</v>
      </c>
      <c r="B24" s="108">
        <f>G23+C23</f>
        <v/>
      </c>
      <c r="C24" s="108" t="n"/>
      <c r="D24" s="108">
        <f>IF(A24&lt;=$B$45, E24, IF(B24&gt;0, B24*(($B$40/12)/(1-(1+($B$40/12))^(-($B$44-A24+1)))), 0))</f>
        <v/>
      </c>
      <c r="E24" s="108">
        <f>B24*$B$40/12</f>
        <v/>
      </c>
      <c r="F24" s="108">
        <f>IF(A24&lt;=$B$45, 0, D24-E24)</f>
        <v/>
      </c>
      <c r="G24" s="108">
        <f>B24-F24</f>
        <v/>
      </c>
      <c r="H24" s="108">
        <f>C23*$B$47</f>
        <v/>
      </c>
      <c r="I24" s="108">
        <f>($B$42*$B$48/12)</f>
        <v/>
      </c>
      <c r="J24" s="108">
        <f>H24+I24</f>
        <v/>
      </c>
    </row>
    <row r="25" ht="15.75" customHeight="1">
      <c r="A25" s="87" t="n">
        <v>23</v>
      </c>
      <c r="B25" s="108">
        <f>G24+C24</f>
        <v/>
      </c>
      <c r="C25" s="108" t="n"/>
      <c r="D25" s="108">
        <f>IF(A25&lt;=$B$45, E25, IF(B25&gt;0, B25*(($B$40/12)/(1-(1+($B$40/12))^(-($B$44-A25+1)))), 0))</f>
        <v/>
      </c>
      <c r="E25" s="108">
        <f>B25*$B$40/12</f>
        <v/>
      </c>
      <c r="F25" s="108">
        <f>IF(A25&lt;=$B$45, 0, D25-E25)</f>
        <v/>
      </c>
      <c r="G25" s="108">
        <f>B25-F25</f>
        <v/>
      </c>
      <c r="H25" s="108">
        <f>C24*$B$47</f>
        <v/>
      </c>
      <c r="I25" s="108">
        <f>($B$42*$B$48/12)</f>
        <v/>
      </c>
      <c r="J25" s="108">
        <f>H25+I25</f>
        <v/>
      </c>
    </row>
    <row r="26" ht="15.75" customHeight="1">
      <c r="A26" s="87" t="n">
        <v>24</v>
      </c>
      <c r="B26" s="108">
        <f>G25+C25</f>
        <v/>
      </c>
      <c r="C26" s="108" t="n"/>
      <c r="D26" s="108">
        <f>IF(A26&lt;=$B$45, E26, IF(B26&gt;0, B26*(($B$40/12)/(1-(1+($B$40/12))^(-($B$44-A26+1)))), 0))</f>
        <v/>
      </c>
      <c r="E26" s="108">
        <f>B26*$B$40/12</f>
        <v/>
      </c>
      <c r="F26" s="108">
        <f>IF(A26&lt;=$B$45, 0, D26-E26)</f>
        <v/>
      </c>
      <c r="G26" s="108">
        <f>B26-F26</f>
        <v/>
      </c>
      <c r="H26" s="108">
        <f>C25*$B$47</f>
        <v/>
      </c>
      <c r="I26" s="108">
        <f>($B$42*$B$48/12)</f>
        <v/>
      </c>
      <c r="J26" s="108">
        <f>H26+I26</f>
        <v/>
      </c>
    </row>
    <row r="27" ht="15.75" customHeight="1">
      <c r="A27" s="87" t="n">
        <v>25</v>
      </c>
      <c r="B27" s="108">
        <f>G26+C26</f>
        <v/>
      </c>
      <c r="C27" s="108" t="n"/>
      <c r="D27" s="108">
        <f>IF(A27&lt;=$B$45, E27, IF(B27&gt;0, B27*(($B$40/12)/(1-(1+($B$40/12))^(-($B$44-A27+1)))), 0))</f>
        <v/>
      </c>
      <c r="E27" s="108">
        <f>B27*$B$40/12</f>
        <v/>
      </c>
      <c r="F27" s="108">
        <f>IF(A27&lt;=$B$45, 0, D27-E27)</f>
        <v/>
      </c>
      <c r="G27" s="108">
        <f>B27-F27</f>
        <v/>
      </c>
      <c r="H27" s="108">
        <f>C26*$B$47</f>
        <v/>
      </c>
      <c r="I27" s="108">
        <f>($B$42*$B$48/12)</f>
        <v/>
      </c>
      <c r="J27" s="108">
        <f>H27+I27</f>
        <v/>
      </c>
    </row>
    <row r="28" ht="15.75" customHeight="1">
      <c r="A28" s="87" t="n">
        <v>26</v>
      </c>
      <c r="B28" s="108">
        <f>G27+C27</f>
        <v/>
      </c>
      <c r="C28" s="108" t="n"/>
      <c r="D28" s="108">
        <f>IF(A28&lt;=$B$45, E28, IF(B28&gt;0, B28*(($B$40/12)/(1-(1+($B$40/12))^(-($B$44-A28+1)))), 0))</f>
        <v/>
      </c>
      <c r="E28" s="108">
        <f>B28*$B$40/12</f>
        <v/>
      </c>
      <c r="F28" s="108">
        <f>IF(A28&lt;=$B$45, 0, D28-E28)</f>
        <v/>
      </c>
      <c r="G28" s="108">
        <f>B28-F28</f>
        <v/>
      </c>
      <c r="H28" s="108">
        <f>C27*$B$47</f>
        <v/>
      </c>
      <c r="I28" s="108">
        <f>($B$42*$B$48/12)</f>
        <v/>
      </c>
      <c r="J28" s="108">
        <f>H28+I28</f>
        <v/>
      </c>
    </row>
    <row r="29" ht="15.75" customHeight="1">
      <c r="A29" s="87" t="n">
        <v>27</v>
      </c>
      <c r="B29" s="108">
        <f>G28+C28</f>
        <v/>
      </c>
      <c r="C29" s="108" t="n"/>
      <c r="D29" s="108">
        <f>IF(A29&lt;=$B$45, E29, IF(B29&gt;0, B29*(($B$40/12)/(1-(1+($B$40/12))^(-($B$44-A29+1)))), 0))</f>
        <v/>
      </c>
      <c r="E29" s="108">
        <f>B29*$B$40/12</f>
        <v/>
      </c>
      <c r="F29" s="108">
        <f>IF(A29&lt;=$B$45, 0, D29-E29)</f>
        <v/>
      </c>
      <c r="G29" s="108">
        <f>B29-F29</f>
        <v/>
      </c>
      <c r="H29" s="108">
        <f>C28*$B$47</f>
        <v/>
      </c>
      <c r="I29" s="108">
        <f>($B$42*$B$48/12)</f>
        <v/>
      </c>
      <c r="J29" s="108">
        <f>H29+I29</f>
        <v/>
      </c>
    </row>
    <row r="30" ht="15.75" customHeight="1">
      <c r="A30" s="87" t="n">
        <v>28</v>
      </c>
      <c r="B30" s="108">
        <f>G29+C29</f>
        <v/>
      </c>
      <c r="C30" s="108" t="n"/>
      <c r="D30" s="108">
        <f>IF(A30&lt;=$B$45, E30, IF(B30&gt;0, B30*(($B$40/12)/(1-(1+($B$40/12))^(-($B$44-A30+1)))), 0))</f>
        <v/>
      </c>
      <c r="E30" s="108">
        <f>B30*$B$40/12</f>
        <v/>
      </c>
      <c r="F30" s="108">
        <f>IF(A30&lt;=$B$45, 0, D30-E30)</f>
        <v/>
      </c>
      <c r="G30" s="108">
        <f>B30-F30</f>
        <v/>
      </c>
      <c r="H30" s="108">
        <f>C29*$B$47</f>
        <v/>
      </c>
      <c r="I30" s="108">
        <f>($B$42*$B$48/12)</f>
        <v/>
      </c>
      <c r="J30" s="108">
        <f>H30+I30</f>
        <v/>
      </c>
    </row>
    <row r="31" ht="15.75" customHeight="1">
      <c r="A31" s="87" t="n">
        <v>29</v>
      </c>
      <c r="B31" s="108">
        <f>G30+C30</f>
        <v/>
      </c>
      <c r="C31" s="108" t="n"/>
      <c r="D31" s="108">
        <f>IF(A31&lt;=$B$45, E31, IF(B31&gt;0, B31*(($B$40/12)/(1-(1+($B$40/12))^(-($B$44-A31+1)))), 0))</f>
        <v/>
      </c>
      <c r="E31" s="108">
        <f>B31*$B$40/12</f>
        <v/>
      </c>
      <c r="F31" s="108">
        <f>IF(A31&lt;=$B$45, 0, D31-E31)</f>
        <v/>
      </c>
      <c r="G31" s="108">
        <f>B31-F31</f>
        <v/>
      </c>
      <c r="H31" s="108">
        <f>C30*$B$47</f>
        <v/>
      </c>
      <c r="I31" s="108">
        <f>($B$42*$B$48/12)</f>
        <v/>
      </c>
      <c r="J31" s="108">
        <f>H31+I31</f>
        <v/>
      </c>
    </row>
    <row r="32" ht="15.75" customHeight="1">
      <c r="A32" s="87" t="n">
        <v>30</v>
      </c>
      <c r="B32" s="108">
        <f>G31+C31</f>
        <v/>
      </c>
      <c r="C32" s="108" t="n"/>
      <c r="D32" s="108">
        <f>IF(A32&lt;=$B$45, E32, IF(B32&gt;0, B32*(($B$40/12)/(1-(1+($B$40/12))^(-($B$44-A32+1)))), 0))</f>
        <v/>
      </c>
      <c r="E32" s="108">
        <f>B32*$B$40/12</f>
        <v/>
      </c>
      <c r="F32" s="108">
        <f>IF(A32&lt;=$B$45, 0, D32-E32)</f>
        <v/>
      </c>
      <c r="G32" s="108">
        <f>B32-F32</f>
        <v/>
      </c>
      <c r="H32" s="108">
        <f>C31*$B$47</f>
        <v/>
      </c>
      <c r="I32" s="108">
        <f>($B$42*$B$48/12)</f>
        <v/>
      </c>
      <c r="J32" s="108">
        <f>H32+I32</f>
        <v/>
      </c>
    </row>
    <row r="33" ht="15.75" customHeight="1">
      <c r="A33" s="87" t="n">
        <v>31</v>
      </c>
      <c r="B33" s="108">
        <f>G32+C32</f>
        <v/>
      </c>
      <c r="C33" s="108" t="n"/>
      <c r="D33" s="108">
        <f>IF(A33&lt;=$B$45, E33, IF(B33&gt;0, B33*(($B$40/12)/(1-(1+($B$40/12))^(-($B$44-A33+1)))), 0))</f>
        <v/>
      </c>
      <c r="E33" s="108">
        <f>B33*$B$40/12</f>
        <v/>
      </c>
      <c r="F33" s="108">
        <f>IF(A33&lt;=$B$45, 0, D33-E33)</f>
        <v/>
      </c>
      <c r="G33" s="108">
        <f>B33-F33</f>
        <v/>
      </c>
      <c r="H33" s="108">
        <f>C32*$B$47</f>
        <v/>
      </c>
      <c r="I33" s="108">
        <f>($B$42*$B$48/12)</f>
        <v/>
      </c>
      <c r="J33" s="108">
        <f>H33+I33</f>
        <v/>
      </c>
    </row>
    <row r="34" ht="15.75" customHeight="1">
      <c r="A34" s="87" t="n">
        <v>32</v>
      </c>
      <c r="B34" s="108">
        <f>G33+C33</f>
        <v/>
      </c>
      <c r="C34" s="108" t="n"/>
      <c r="D34" s="108">
        <f>IF(A34&lt;=$B$45, E34, IF(B34&gt;0, B34*(($B$40/12)/(1-(1+($B$40/12))^(-($B$44-A34+1)))), 0))</f>
        <v/>
      </c>
      <c r="E34" s="108">
        <f>B34*$B$40/12</f>
        <v/>
      </c>
      <c r="F34" s="108">
        <f>IF(A34&lt;=$B$45, 0, D34-E34)</f>
        <v/>
      </c>
      <c r="G34" s="108">
        <f>B34-F34</f>
        <v/>
      </c>
      <c r="H34" s="108">
        <f>C33*$B$47</f>
        <v/>
      </c>
      <c r="I34" s="108">
        <f>($B$42*$B$48/12)</f>
        <v/>
      </c>
      <c r="J34" s="108">
        <f>H34+I34</f>
        <v/>
      </c>
    </row>
    <row r="35" ht="15.75" customHeight="1">
      <c r="A35" s="87" t="n">
        <v>33</v>
      </c>
      <c r="B35" s="108">
        <f>G34+C34</f>
        <v/>
      </c>
      <c r="C35" s="108" t="n"/>
      <c r="D35" s="108">
        <f>IF(A35&lt;=$B$45, E35, IF(B35&gt;0, B35*(($B$40/12)/(1-(1+($B$40/12))^(-($B$44-A35+1)))), 0))</f>
        <v/>
      </c>
      <c r="E35" s="108">
        <f>B35*$B$40/12</f>
        <v/>
      </c>
      <c r="F35" s="108">
        <f>IF(A35&lt;=$B$45, 0, D35-E35)</f>
        <v/>
      </c>
      <c r="G35" s="108">
        <f>B35-F35</f>
        <v/>
      </c>
      <c r="H35" s="108">
        <f>C34*$B$47</f>
        <v/>
      </c>
      <c r="I35" s="108">
        <f>($B$42*$B$48/12)</f>
        <v/>
      </c>
      <c r="J35" s="108">
        <f>H35+I35</f>
        <v/>
      </c>
    </row>
    <row r="36" ht="15.75" customHeight="1">
      <c r="A36" s="87" t="n">
        <v>34</v>
      </c>
      <c r="B36" s="108">
        <f>G35+C35</f>
        <v/>
      </c>
      <c r="C36" s="108" t="n"/>
      <c r="D36" s="108">
        <f>IF(A36&lt;=$B$45, E36, IF(B36&gt;0, B36*(($B$40/12)/(1-(1+($B$40/12))^(-($B$44-A36+1)))), 0))</f>
        <v/>
      </c>
      <c r="E36" s="108">
        <f>B36*$B$40/12</f>
        <v/>
      </c>
      <c r="F36" s="108">
        <f>IF(A36&lt;=$B$45, 0, D36-E36)</f>
        <v/>
      </c>
      <c r="G36" s="108">
        <f>B36-F36</f>
        <v/>
      </c>
      <c r="H36" s="108">
        <f>C35*$B$47</f>
        <v/>
      </c>
      <c r="I36" s="108">
        <f>($B$42*$B$48/12)</f>
        <v/>
      </c>
      <c r="J36" s="108">
        <f>H36+I36</f>
        <v/>
      </c>
    </row>
    <row r="37" ht="15.75" customHeight="1">
      <c r="A37" s="87" t="n">
        <v>35</v>
      </c>
      <c r="B37" s="108">
        <f>G36+C36</f>
        <v/>
      </c>
      <c r="C37" s="108" t="n"/>
      <c r="D37" s="108">
        <f>IF(A37&lt;=$B$45, E37, IF(B37&gt;0, B37*(($B$40/12)/(1-(1+($B$40/12))^(-($B$44-A37+1)))), 0))</f>
        <v/>
      </c>
      <c r="E37" s="108">
        <f>B37*$B$40/12</f>
        <v/>
      </c>
      <c r="F37" s="108">
        <f>IF(A37&lt;=$B$45, 0, D37-E37)</f>
        <v/>
      </c>
      <c r="G37" s="108">
        <f>B37-F37</f>
        <v/>
      </c>
      <c r="H37" s="108">
        <f>C36*$B$47</f>
        <v/>
      </c>
      <c r="I37" s="108">
        <f>($B$42*$B$48/12)</f>
        <v/>
      </c>
      <c r="J37" s="108">
        <f>H37+I37</f>
        <v/>
      </c>
    </row>
    <row r="38" ht="15.75" customHeight="1">
      <c r="A38" s="87" t="n">
        <v>36</v>
      </c>
      <c r="B38" s="108">
        <f>G37+C37</f>
        <v/>
      </c>
      <c r="C38" s="108" t="n"/>
      <c r="D38" s="108">
        <f>IF(A38&lt;=$B$45, E38, IF(B38&gt;0, B38*(($B$40/12)/(1-(1+($B$40/12))^(-($B$44-A38+1)))), 0))</f>
        <v/>
      </c>
      <c r="E38" s="108">
        <f>B38*$B$40/12</f>
        <v/>
      </c>
      <c r="F38" s="108">
        <f>IF(A38&lt;=$B$45, 0, D38-E38)</f>
        <v/>
      </c>
      <c r="G38" s="108">
        <f>B38-F38</f>
        <v/>
      </c>
      <c r="H38" s="108">
        <f>C37*$B$47</f>
        <v/>
      </c>
      <c r="I38" s="108">
        <f>($B$42*$B$48/12)</f>
        <v/>
      </c>
      <c r="J38" s="108">
        <f>H38+I38</f>
        <v/>
      </c>
    </row>
    <row r="39" ht="15.75" customHeight="1">
      <c r="A39" s="87" t="n"/>
      <c r="B39" s="87" t="n"/>
      <c r="C39" s="87" t="n"/>
      <c r="D39" s="87" t="n"/>
      <c r="E39" s="87" t="n"/>
      <c r="F39" s="87" t="n"/>
      <c r="G39" s="87" t="n"/>
      <c r="H39" s="87" t="n"/>
      <c r="I39" s="87" t="n"/>
      <c r="J39" s="87" t="n"/>
    </row>
    <row r="40" ht="15.75" customHeight="1">
      <c r="A40" s="88" t="inlineStr">
        <is>
          <t>Tasa</t>
        </is>
      </c>
      <c r="B40" s="92" t="n">
        <v>0.21</v>
      </c>
      <c r="C40" s="87" t="n"/>
      <c r="D40" s="87" t="n"/>
      <c r="E40" s="87" t="n"/>
      <c r="F40" s="87" t="n"/>
      <c r="G40" s="87" t="n"/>
      <c r="H40" s="87" t="n"/>
      <c r="I40" s="87" t="n"/>
      <c r="J40" s="87" t="n"/>
    </row>
    <row r="41" ht="15.75" customHeight="1">
      <c r="A41" s="88" t="inlineStr">
        <is>
          <t>Monto Disposiciones</t>
        </is>
      </c>
      <c r="B41" s="108" t="n">
        <v>10000000</v>
      </c>
      <c r="C41" s="87" t="n"/>
      <c r="D41" s="87" t="n"/>
      <c r="E41" s="87" t="n"/>
      <c r="F41" s="87" t="n"/>
      <c r="G41" s="87" t="n"/>
      <c r="H41" s="87" t="n"/>
      <c r="I41" s="87" t="n"/>
      <c r="J41" s="87" t="n"/>
    </row>
    <row r="42" ht="15.75" customHeight="1">
      <c r="A42" s="88" t="inlineStr">
        <is>
          <t>Saldo Total Línea</t>
        </is>
      </c>
      <c r="B42" s="108" t="n">
        <v>50000000</v>
      </c>
      <c r="C42" s="87" t="n"/>
      <c r="D42" s="87" t="n"/>
      <c r="E42" s="87" t="n"/>
      <c r="F42" s="87" t="n"/>
      <c r="G42" s="87" t="n"/>
      <c r="H42" s="87" t="n"/>
      <c r="I42" s="87" t="n"/>
      <c r="J42" s="87" t="n"/>
    </row>
    <row r="43" ht="15.75" customHeight="1">
      <c r="A43" s="88" t="inlineStr">
        <is>
          <t>Cantidad de Disp.</t>
        </is>
      </c>
      <c r="B43" s="87" t="n">
        <v>2</v>
      </c>
      <c r="C43" s="87" t="n"/>
      <c r="D43" s="87" t="n"/>
      <c r="E43" s="87" t="n"/>
      <c r="F43" s="87" t="n"/>
      <c r="G43" s="87" t="n"/>
      <c r="H43" s="87" t="n"/>
      <c r="I43" s="87" t="n"/>
      <c r="J43" s="87" t="n"/>
    </row>
    <row r="44" ht="15.75" customHeight="1">
      <c r="A44" s="88" t="inlineStr">
        <is>
          <t>Plazo</t>
        </is>
      </c>
      <c r="B44" s="87" t="n">
        <v>36</v>
      </c>
      <c r="C44" s="87" t="n"/>
      <c r="D44" s="87" t="n"/>
      <c r="E44" s="87" t="n"/>
      <c r="F44" s="87" t="n"/>
      <c r="G44" s="87" t="n"/>
      <c r="H44" s="87" t="n"/>
      <c r="I44" s="87" t="n"/>
      <c r="J44" s="87" t="n"/>
    </row>
    <row r="45" ht="15.75" customHeight="1">
      <c r="A45" s="88" t="inlineStr">
        <is>
          <t>Gracia de Capital</t>
        </is>
      </c>
      <c r="B45" s="87" t="n">
        <v>6</v>
      </c>
      <c r="C45" s="87" t="n"/>
      <c r="D45" s="87" t="n"/>
      <c r="E45" s="87" t="n"/>
      <c r="F45" s="87" t="n"/>
      <c r="G45" s="87" t="n"/>
      <c r="H45" s="87" t="n"/>
      <c r="I45" s="87" t="n"/>
      <c r="J45" s="87" t="n"/>
    </row>
    <row r="46" ht="15.75" customHeight="1">
      <c r="A46" s="88" t="inlineStr">
        <is>
          <t>Gastos Notariales</t>
        </is>
      </c>
      <c r="B46" s="109" t="n">
        <v>550000</v>
      </c>
      <c r="C46" s="87" t="n"/>
      <c r="D46" s="87" t="n"/>
      <c r="E46" s="87" t="n"/>
      <c r="F46" s="87" t="n"/>
      <c r="G46" s="87" t="n"/>
      <c r="H46" s="87" t="n"/>
      <c r="I46" s="87" t="n"/>
      <c r="J46" s="87" t="n"/>
    </row>
    <row r="47" ht="15.75" customHeight="1">
      <c r="A47" s="88" t="inlineStr">
        <is>
          <t>Comisión Estr.</t>
        </is>
      </c>
      <c r="B47" s="92" t="n">
        <v>0.02</v>
      </c>
      <c r="C47" s="87" t="n"/>
      <c r="D47" s="87" t="n"/>
      <c r="E47" s="87" t="n"/>
      <c r="F47" s="87" t="n"/>
      <c r="G47" s="87" t="n"/>
      <c r="H47" s="87" t="n"/>
      <c r="I47" s="87" t="n"/>
      <c r="J47" s="87" t="n"/>
    </row>
    <row r="48" ht="15.75" customHeight="1">
      <c r="A48" s="88" t="inlineStr">
        <is>
          <t>Comisión Admin.</t>
        </is>
      </c>
      <c r="B48" s="93" t="n">
        <v>0.005</v>
      </c>
      <c r="C48" s="87" t="n"/>
      <c r="D48" s="87" t="n"/>
      <c r="E48" s="87" t="n"/>
      <c r="F48" s="87" t="n"/>
      <c r="G48" s="87" t="n"/>
      <c r="H48" s="87" t="n"/>
      <c r="I48" s="87" t="n"/>
      <c r="J48" s="87" t="n"/>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scale="100" fitToHeight="1" fitToWidth="1" firstPageNumber="1" useFirstPageNumber="1" horizontalDpi="4294967295" verticalDpi="4294967295" copies="1"/>
</worksheet>
</file>

<file path=xl/worksheets/sheet5.xml><?xml version="1.0" encoding="utf-8"?>
<worksheet xmlns="http://schemas.openxmlformats.org/spreadsheetml/2006/main">
  <sheetPr>
    <outlinePr summaryBelow="1" summaryRight="1"/>
    <pageSetUpPr/>
  </sheetPr>
  <dimension ref="A1:BX52"/>
  <sheetViews>
    <sheetView zoomScale="100" zoomScaleNormal="100" workbookViewId="0">
      <pane xSplit="4" topLeftCell="K1" activePane="topRight" state="frozen"/>
      <selection pane="topRight" activeCell="O52" sqref="O52"/>
    </sheetView>
  </sheetViews>
  <sheetFormatPr baseColWidth="8" defaultColWidth="12.6640625" defaultRowHeight="15" outlineLevelRow="0" outlineLevelCol="0"/>
  <cols>
    <col width="20.83203125" customWidth="1" min="1" max="1"/>
    <col width="10.6640625" customWidth="1" min="2" max="4"/>
    <col width="14.6640625" customWidth="1" min="5" max="11"/>
    <col width="10.6640625" customWidth="1" min="12" max="76"/>
  </cols>
  <sheetData>
    <row r="1">
      <c r="A1" s="110" t="n"/>
    </row>
    <row r="2">
      <c r="A2" s="110" t="n"/>
      <c r="B2" s="71" t="inlineStr">
        <is>
          <t>IMOR 16</t>
        </is>
      </c>
      <c r="F2" s="111" t="n"/>
      <c r="G2" s="111" t="n"/>
    </row>
    <row r="3">
      <c r="B3" s="112" t="n">
        <v>45657</v>
      </c>
      <c r="C3" s="112">
        <f>EOMONTH(B3,1)</f>
        <v/>
      </c>
      <c r="D3" s="113">
        <f>EOMONTH(C3,1)</f>
        <v/>
      </c>
      <c r="E3" s="113">
        <f>EOMONTH(D3,1)</f>
        <v/>
      </c>
      <c r="F3" s="113">
        <f>EOMONTH(E3,1)</f>
        <v/>
      </c>
      <c r="G3" s="113">
        <f>EOMONTH(F3,1)</f>
        <v/>
      </c>
      <c r="H3" s="113">
        <f>EOMONTH(G3,1)</f>
        <v/>
      </c>
      <c r="I3" s="113">
        <f>EOMONTH(H3,1)</f>
        <v/>
      </c>
      <c r="J3" s="113">
        <f>EOMONTH(I3,1)</f>
        <v/>
      </c>
      <c r="K3" s="113">
        <f>EOMONTH(J3,1)</f>
        <v/>
      </c>
      <c r="L3" s="113">
        <f>EOMONTH(K3,1)</f>
        <v/>
      </c>
      <c r="M3" s="113">
        <f>EOMONTH(L3,1)</f>
        <v/>
      </c>
      <c r="N3" s="113">
        <f>EOMONTH(M3,1)</f>
        <v/>
      </c>
      <c r="O3" s="113">
        <f>EOMONTH(N3,1)</f>
        <v/>
      </c>
      <c r="P3" s="113">
        <f>EOMONTH(O3,1)</f>
        <v/>
      </c>
      <c r="Q3" s="113">
        <f>EOMONTH(P3,1)</f>
        <v/>
      </c>
      <c r="R3" s="113">
        <f>EOMONTH(Q3,1)</f>
        <v/>
      </c>
      <c r="S3" s="113">
        <f>EOMONTH(R3,1)</f>
        <v/>
      </c>
      <c r="T3" s="113">
        <f>EOMONTH(S3,1)</f>
        <v/>
      </c>
      <c r="U3" s="113">
        <f>EOMONTH(T3,1)</f>
        <v/>
      </c>
      <c r="V3" s="113">
        <f>EOMONTH(U3,1)</f>
        <v/>
      </c>
      <c r="W3" s="113">
        <f>EOMONTH(V3,1)</f>
        <v/>
      </c>
      <c r="X3" s="113">
        <f>EOMONTH(W3,1)</f>
        <v/>
      </c>
      <c r="Y3" s="113">
        <f>EOMONTH(X3,1)</f>
        <v/>
      </c>
      <c r="Z3" s="113">
        <f>EOMONTH(Y3,1)</f>
        <v/>
      </c>
      <c r="AA3" s="113">
        <f>EOMONTH(Z3,1)</f>
        <v/>
      </c>
      <c r="AB3" s="113">
        <f>EOMONTH(AA3,1)</f>
        <v/>
      </c>
      <c r="AC3" s="113">
        <f>EOMONTH(AB3,1)</f>
        <v/>
      </c>
      <c r="AD3" s="113">
        <f>EOMONTH(AC3,1)</f>
        <v/>
      </c>
      <c r="AE3" s="113">
        <f>EOMONTH(AD3,1)</f>
        <v/>
      </c>
      <c r="AF3" s="113">
        <f>EOMONTH(AE3,1)</f>
        <v/>
      </c>
      <c r="AG3" s="113">
        <f>EOMONTH(AF3,1)</f>
        <v/>
      </c>
      <c r="AH3" s="113">
        <f>EOMONTH(AG3,1)</f>
        <v/>
      </c>
      <c r="AI3" s="113">
        <f>EOMONTH(AH3,1)</f>
        <v/>
      </c>
      <c r="AJ3" s="113">
        <f>EOMONTH(AI3,1)</f>
        <v/>
      </c>
      <c r="AK3" s="113">
        <f>EOMONTH(AJ3,1)</f>
        <v/>
      </c>
      <c r="AL3" s="113">
        <f>EOMONTH(AK3,1)</f>
        <v/>
      </c>
      <c r="AM3" s="113">
        <f>EOMONTH(AL3,1)</f>
        <v/>
      </c>
      <c r="AN3" s="113">
        <f>EOMONTH(AM3,1)</f>
        <v/>
      </c>
      <c r="AO3" s="113">
        <f>EOMONTH(AN3,1)</f>
        <v/>
      </c>
      <c r="AP3" s="113">
        <f>EOMONTH(AO3,1)</f>
        <v/>
      </c>
      <c r="AQ3" s="113">
        <f>EOMONTH(AP3,1)</f>
        <v/>
      </c>
      <c r="AR3" s="113">
        <f>EOMONTH(AQ3,1)</f>
        <v/>
      </c>
      <c r="AS3" s="113">
        <f>EOMONTH(AR3,1)</f>
        <v/>
      </c>
      <c r="AT3" s="113">
        <f>EOMONTH(AS3,1)</f>
        <v/>
      </c>
      <c r="AU3" s="113">
        <f>EOMONTH(AT3,1)</f>
        <v/>
      </c>
      <c r="AV3" s="113">
        <f>EOMONTH(AU3,1)</f>
        <v/>
      </c>
      <c r="AW3" s="113">
        <f>EOMONTH(AV3,1)</f>
        <v/>
      </c>
      <c r="AX3" s="113">
        <f>EOMONTH(AW3,1)</f>
        <v/>
      </c>
      <c r="AY3" s="113">
        <f>EOMONTH(AX3,1)</f>
        <v/>
      </c>
      <c r="AZ3" s="113">
        <f>EOMONTH(AY3,1)</f>
        <v/>
      </c>
      <c r="BA3" s="113">
        <f>EOMONTH(AZ3,1)</f>
        <v/>
      </c>
      <c r="BB3" s="113">
        <f>EOMONTH(BA3,1)</f>
        <v/>
      </c>
      <c r="BC3" s="113">
        <f>EOMONTH(BB3,1)</f>
        <v/>
      </c>
      <c r="BD3" s="113">
        <f>EOMONTH(BC3,1)</f>
        <v/>
      </c>
      <c r="BE3" s="113">
        <f>EOMONTH(BD3,1)</f>
        <v/>
      </c>
      <c r="BF3" s="113">
        <f>EOMONTH(BE3,1)</f>
        <v/>
      </c>
      <c r="BG3" s="113">
        <f>EOMONTH(BF3,1)</f>
        <v/>
      </c>
      <c r="BH3" s="113">
        <f>EOMONTH(BG3,1)</f>
        <v/>
      </c>
      <c r="BI3" s="113">
        <f>EOMONTH(BH3,1)</f>
        <v/>
      </c>
      <c r="BJ3" s="113">
        <f>EOMONTH(BI3,1)</f>
        <v/>
      </c>
      <c r="BM3" s="114" t="n"/>
      <c r="BN3" s="114" t="n"/>
      <c r="BO3" s="114" t="n"/>
      <c r="BP3" s="114" t="n"/>
      <c r="BQ3" s="114" t="n"/>
      <c r="BR3" s="114" t="n"/>
      <c r="BS3" s="114" t="n"/>
      <c r="BT3" s="114" t="n"/>
      <c r="BU3" s="114" t="n"/>
      <c r="BV3" s="114" t="n"/>
      <c r="BW3" s="114" t="n"/>
      <c r="BX3" s="114" t="n"/>
    </row>
    <row r="4">
      <c r="A4" s="71" t="inlineStr">
        <is>
          <t>RL</t>
        </is>
      </c>
      <c r="B4" s="115">
        <f>'Efs Real'!L69</f>
        <v/>
      </c>
      <c r="C4" s="115" t="n"/>
      <c r="D4" s="115">
        <f>'Efs Real'!N69</f>
        <v/>
      </c>
      <c r="E4" s="115">
        <f>'Efs Real'!O69</f>
        <v/>
      </c>
      <c r="F4" s="115">
        <f>'Efs Real'!P69</f>
        <v/>
      </c>
      <c r="G4" s="115">
        <f>'Efs Real'!Q69</f>
        <v/>
      </c>
      <c r="H4" s="115">
        <f>'Efs Real'!R69</f>
        <v/>
      </c>
      <c r="I4" s="115">
        <f>'Efs Real'!S69</f>
        <v/>
      </c>
      <c r="J4" s="115">
        <f>'Efs Real'!T69</f>
        <v/>
      </c>
      <c r="K4" s="115">
        <f>'Efs Real'!U69</f>
        <v/>
      </c>
      <c r="L4" s="115">
        <f>'Efs Real'!V69</f>
        <v/>
      </c>
      <c r="M4" s="115">
        <f>'Efs Real'!W69</f>
        <v/>
      </c>
      <c r="N4" s="115">
        <f>'Efs Real'!X69</f>
        <v/>
      </c>
      <c r="O4" s="115">
        <f>'Efs Real'!Y69</f>
        <v/>
      </c>
      <c r="P4" s="115">
        <f>'Efs Real'!Z69</f>
        <v/>
      </c>
      <c r="Q4" s="111" t="n"/>
      <c r="R4" s="111" t="n"/>
      <c r="S4" s="111" t="n"/>
      <c r="T4" s="111" t="n"/>
      <c r="U4" s="111" t="n"/>
      <c r="V4" s="111" t="n"/>
      <c r="W4" s="111" t="n"/>
      <c r="X4" s="111" t="n"/>
      <c r="Y4" s="111" t="n"/>
      <c r="Z4" s="111" t="n"/>
      <c r="AA4" s="111" t="n"/>
      <c r="AB4" s="111" t="n"/>
      <c r="AC4" s="111" t="n"/>
      <c r="AD4" s="111" t="n"/>
      <c r="AE4" s="111" t="n"/>
      <c r="AF4" s="111" t="n"/>
      <c r="AG4" s="111" t="n"/>
      <c r="AH4" s="111" t="n"/>
      <c r="AI4" s="111" t="n"/>
      <c r="AJ4" s="111" t="n"/>
      <c r="AK4" s="111" t="n"/>
      <c r="AL4" s="111" t="n"/>
      <c r="AM4" s="111" t="n"/>
      <c r="AN4" s="111" t="n"/>
      <c r="AO4" s="111" t="n"/>
      <c r="AP4" s="111" t="n"/>
      <c r="AQ4" s="111" t="n"/>
      <c r="AR4" s="111" t="n"/>
      <c r="AS4" s="111" t="n"/>
      <c r="AT4" s="111" t="n"/>
      <c r="AU4" s="111" t="n"/>
      <c r="AV4" s="111" t="n"/>
      <c r="AW4" s="111" t="n"/>
      <c r="AX4" s="111" t="n"/>
      <c r="AY4" s="111" t="n"/>
      <c r="AZ4" s="111" t="n"/>
      <c r="BA4" s="111" t="n"/>
      <c r="BB4" s="111" t="n"/>
      <c r="BC4" s="111" t="n"/>
      <c r="BD4" s="111" t="n"/>
      <c r="BE4" s="111" t="n"/>
      <c r="BF4" s="111" t="n"/>
      <c r="BG4" s="111" t="n"/>
      <c r="BH4" s="111" t="n"/>
      <c r="BI4" s="111" t="n"/>
      <c r="BJ4" s="111" t="n"/>
      <c r="BK4" s="111" t="n"/>
      <c r="BL4" s="111" t="n"/>
    </row>
    <row r="5">
      <c r="A5" s="71" t="inlineStr">
        <is>
          <t>MAX</t>
        </is>
      </c>
      <c r="B5" s="115" t="n">
        <v>0.075</v>
      </c>
      <c r="C5" s="115" t="n">
        <v>0.075</v>
      </c>
      <c r="D5" s="115" t="n">
        <v>0.075</v>
      </c>
      <c r="E5" s="115" t="n">
        <v>0.075</v>
      </c>
      <c r="F5" s="115" t="n">
        <v>0.075</v>
      </c>
      <c r="G5" s="115" t="n">
        <v>0.075</v>
      </c>
      <c r="H5" s="115" t="n">
        <v>0.075</v>
      </c>
      <c r="I5" s="115" t="n">
        <v>0.075</v>
      </c>
      <c r="J5" s="115" t="n">
        <v>0.075</v>
      </c>
      <c r="K5" s="115" t="n">
        <v>0.075</v>
      </c>
      <c r="L5" s="115" t="n">
        <v>0.075</v>
      </c>
      <c r="M5" s="115" t="n">
        <v>0.075</v>
      </c>
      <c r="N5" s="115" t="n">
        <v>0.075</v>
      </c>
      <c r="O5" s="115" t="n">
        <v>0.075</v>
      </c>
      <c r="P5" s="115" t="n">
        <v>0.075</v>
      </c>
      <c r="Q5" s="115" t="n">
        <v>0.075</v>
      </c>
      <c r="R5" s="115" t="n">
        <v>0.075</v>
      </c>
      <c r="S5" s="115" t="n">
        <v>0.075</v>
      </c>
      <c r="T5" s="115" t="n">
        <v>0.075</v>
      </c>
      <c r="U5" s="115" t="n">
        <v>0.075</v>
      </c>
      <c r="V5" s="115" t="n">
        <v>0.075</v>
      </c>
      <c r="W5" s="115" t="n">
        <v>0.075</v>
      </c>
      <c r="X5" s="115" t="n">
        <v>0.075</v>
      </c>
      <c r="Y5" s="115" t="n">
        <v>0.075</v>
      </c>
      <c r="Z5" s="115" t="n">
        <v>0.075</v>
      </c>
      <c r="AA5" s="115" t="n">
        <v>0.075</v>
      </c>
      <c r="AB5" s="115" t="n">
        <v>0.075</v>
      </c>
      <c r="AC5" s="115" t="n">
        <v>0.075</v>
      </c>
      <c r="AD5" s="115" t="n">
        <v>0.075</v>
      </c>
      <c r="AE5" s="115" t="n">
        <v>0.075</v>
      </c>
      <c r="AF5" s="115" t="n">
        <v>0.075</v>
      </c>
      <c r="AG5" s="115" t="n">
        <v>0.075</v>
      </c>
      <c r="AH5" s="115" t="n">
        <v>0.075</v>
      </c>
      <c r="AI5" s="115" t="n">
        <v>0.075</v>
      </c>
      <c r="AJ5" s="115" t="n">
        <v>0.075</v>
      </c>
      <c r="AK5" s="115" t="n">
        <v>0.075</v>
      </c>
      <c r="AL5" s="115" t="n">
        <v>0.075</v>
      </c>
      <c r="AM5" s="115" t="n">
        <v>0.075</v>
      </c>
      <c r="AN5" s="115" t="n">
        <v>0.075</v>
      </c>
      <c r="AO5" s="115" t="n">
        <v>0.075</v>
      </c>
      <c r="AP5" s="115" t="n">
        <v>0.075</v>
      </c>
      <c r="AQ5" s="115" t="n">
        <v>0.075</v>
      </c>
      <c r="AR5" s="115" t="n">
        <v>0.075</v>
      </c>
      <c r="AS5" s="115" t="n">
        <v>0.075</v>
      </c>
      <c r="AT5" s="115" t="n">
        <v>0.075</v>
      </c>
      <c r="AU5" s="115" t="n">
        <v>0.075</v>
      </c>
      <c r="AV5" s="115" t="n">
        <v>0.075</v>
      </c>
      <c r="AW5" s="115" t="n">
        <v>0.075</v>
      </c>
      <c r="AX5" s="115" t="n">
        <v>0.075</v>
      </c>
      <c r="AY5" s="115" t="n">
        <v>0.075</v>
      </c>
      <c r="AZ5" s="115" t="n">
        <v>0.075</v>
      </c>
      <c r="BA5" s="115" t="n">
        <v>0.075</v>
      </c>
      <c r="BB5" s="115" t="n">
        <v>0.075</v>
      </c>
      <c r="BC5" s="115" t="n">
        <v>0.075</v>
      </c>
      <c r="BD5" s="115" t="n">
        <v>0.075</v>
      </c>
      <c r="BE5" s="115" t="n">
        <v>0.075</v>
      </c>
      <c r="BF5" s="115" t="n">
        <v>0.075</v>
      </c>
      <c r="BG5" s="115" t="n">
        <v>0.075</v>
      </c>
      <c r="BH5" s="115" t="n">
        <v>0.075</v>
      </c>
      <c r="BI5" s="115" t="n">
        <v>0.075</v>
      </c>
      <c r="BJ5" s="115" t="n">
        <v>0.075</v>
      </c>
    </row>
    <row r="7">
      <c r="B7" s="71" t="inlineStr">
        <is>
          <t>Indice de apalancamiento</t>
        </is>
      </c>
    </row>
    <row r="8">
      <c r="B8" s="112" t="n">
        <v>45657</v>
      </c>
      <c r="C8" s="112">
        <f>EOMONTH(B8,1)</f>
        <v/>
      </c>
      <c r="D8" s="113">
        <f>EOMONTH(C8,1)</f>
        <v/>
      </c>
      <c r="E8" s="113">
        <f>EOMONTH(D8,1)</f>
        <v/>
      </c>
      <c r="F8" s="113">
        <f>EOMONTH(E8,1)</f>
        <v/>
      </c>
      <c r="G8" s="113">
        <f>EOMONTH(F8,1)</f>
        <v/>
      </c>
      <c r="H8" s="113">
        <f>EOMONTH(G8,1)</f>
        <v/>
      </c>
      <c r="I8" s="113">
        <f>EOMONTH(H8,1)</f>
        <v/>
      </c>
      <c r="J8" s="113">
        <f>EOMONTH(I8,1)</f>
        <v/>
      </c>
      <c r="K8" s="113">
        <f>EOMONTH(J8,1)</f>
        <v/>
      </c>
      <c r="L8" s="113">
        <f>EOMONTH(K8,1)</f>
        <v/>
      </c>
      <c r="M8" s="113">
        <f>EOMONTH(L8,1)</f>
        <v/>
      </c>
      <c r="N8" s="113">
        <f>EOMONTH(M8,1)</f>
        <v/>
      </c>
      <c r="O8" s="113">
        <f>EOMONTH(N8,1)</f>
        <v/>
      </c>
      <c r="P8" s="113">
        <f>EOMONTH(O8,1)</f>
        <v/>
      </c>
      <c r="Q8" s="113">
        <f>EOMONTH(P8,1)</f>
        <v/>
      </c>
      <c r="R8" s="113">
        <f>EOMONTH(Q8,1)</f>
        <v/>
      </c>
      <c r="S8" s="113">
        <f>EOMONTH(R8,1)</f>
        <v/>
      </c>
      <c r="T8" s="113">
        <f>EOMONTH(S8,1)</f>
        <v/>
      </c>
      <c r="U8" s="113">
        <f>EOMONTH(T8,1)</f>
        <v/>
      </c>
      <c r="V8" s="113">
        <f>EOMONTH(U8,1)</f>
        <v/>
      </c>
      <c r="W8" s="113">
        <f>EOMONTH(V8,1)</f>
        <v/>
      </c>
      <c r="X8" s="113">
        <f>EOMONTH(W8,1)</f>
        <v/>
      </c>
      <c r="Y8" s="113">
        <f>EOMONTH(X8,1)</f>
        <v/>
      </c>
      <c r="Z8" s="113">
        <f>EOMONTH(Y8,1)</f>
        <v/>
      </c>
      <c r="AA8" s="113">
        <f>EOMONTH(Z8,1)</f>
        <v/>
      </c>
      <c r="AB8" s="113">
        <f>EOMONTH(AA8,1)</f>
        <v/>
      </c>
      <c r="AC8" s="113">
        <f>EOMONTH(AB8,1)</f>
        <v/>
      </c>
      <c r="AD8" s="113">
        <f>EOMONTH(AC8,1)</f>
        <v/>
      </c>
      <c r="AE8" s="113">
        <f>EOMONTH(AD8,1)</f>
        <v/>
      </c>
      <c r="AF8" s="113">
        <f>EOMONTH(AE8,1)</f>
        <v/>
      </c>
      <c r="AG8" s="113">
        <f>EOMONTH(AF8,1)</f>
        <v/>
      </c>
      <c r="AH8" s="113">
        <f>EOMONTH(AG8,1)</f>
        <v/>
      </c>
      <c r="AI8" s="113">
        <f>EOMONTH(AH8,1)</f>
        <v/>
      </c>
      <c r="AJ8" s="113">
        <f>EOMONTH(AI8,1)</f>
        <v/>
      </c>
      <c r="AK8" s="113">
        <f>EOMONTH(AJ8,1)</f>
        <v/>
      </c>
      <c r="AL8" s="113">
        <f>EOMONTH(AK8,1)</f>
        <v/>
      </c>
      <c r="AM8" s="113">
        <f>EOMONTH(AL8,1)</f>
        <v/>
      </c>
      <c r="AN8" s="113">
        <f>EOMONTH(AM8,1)</f>
        <v/>
      </c>
      <c r="AO8" s="113">
        <f>EOMONTH(AN8,1)</f>
        <v/>
      </c>
      <c r="AP8" s="113">
        <f>EOMONTH(AO8,1)</f>
        <v/>
      </c>
      <c r="AQ8" s="113">
        <f>EOMONTH(AP8,1)</f>
        <v/>
      </c>
      <c r="AR8" s="113">
        <f>EOMONTH(AQ8,1)</f>
        <v/>
      </c>
      <c r="AS8" s="113">
        <f>EOMONTH(AR8,1)</f>
        <v/>
      </c>
      <c r="AT8" s="113">
        <f>EOMONTH(AS8,1)</f>
        <v/>
      </c>
      <c r="AU8" s="113">
        <f>EOMONTH(AT8,1)</f>
        <v/>
      </c>
      <c r="AV8" s="113">
        <f>EOMONTH(AU8,1)</f>
        <v/>
      </c>
      <c r="AW8" s="113">
        <f>EOMONTH(AV8,1)</f>
        <v/>
      </c>
      <c r="AX8" s="113">
        <f>EOMONTH(AW8,1)</f>
        <v/>
      </c>
      <c r="AY8" s="113">
        <f>EOMONTH(AX8,1)</f>
        <v/>
      </c>
      <c r="AZ8" s="113">
        <f>EOMONTH(AY8,1)</f>
        <v/>
      </c>
      <c r="BA8" s="113">
        <f>EOMONTH(AZ8,1)</f>
        <v/>
      </c>
      <c r="BB8" s="113">
        <f>EOMONTH(BA8,1)</f>
        <v/>
      </c>
      <c r="BC8" s="113">
        <f>EOMONTH(BB8,1)</f>
        <v/>
      </c>
      <c r="BD8" s="113">
        <f>EOMONTH(BC8,1)</f>
        <v/>
      </c>
      <c r="BE8" s="113">
        <f>EOMONTH(BD8,1)</f>
        <v/>
      </c>
      <c r="BF8" s="113">
        <f>EOMONTH(BE8,1)</f>
        <v/>
      </c>
      <c r="BG8" s="113">
        <f>EOMONTH(BF8,1)</f>
        <v/>
      </c>
      <c r="BH8" s="113">
        <f>EOMONTH(BG8,1)</f>
        <v/>
      </c>
      <c r="BI8" s="113">
        <f>EOMONTH(BH8,1)</f>
        <v/>
      </c>
      <c r="BJ8" s="113">
        <f>EOMONTH(BI8,1)</f>
        <v/>
      </c>
    </row>
    <row r="9">
      <c r="A9" s="71" t="inlineStr">
        <is>
          <t>OG</t>
        </is>
      </c>
      <c r="B9" s="116">
        <f>'Efs OG'!CS84</f>
        <v/>
      </c>
      <c r="C9" s="116">
        <f>'Efs OG'!CT84</f>
        <v/>
      </c>
      <c r="D9" s="116">
        <f>'Efs OG'!CU84</f>
        <v/>
      </c>
      <c r="E9" s="116">
        <f>'Efs OG'!CV84</f>
        <v/>
      </c>
      <c r="F9" s="116">
        <f>'Efs OG'!CW84</f>
        <v/>
      </c>
      <c r="G9" s="116">
        <f>'Efs OG'!CX84</f>
        <v/>
      </c>
      <c r="H9" s="116">
        <f>'Efs OG'!CY84</f>
        <v/>
      </c>
      <c r="I9" s="116">
        <f>'Efs OG'!CZ84</f>
        <v/>
      </c>
      <c r="J9" s="116">
        <f>'Efs OG'!DA84</f>
        <v/>
      </c>
      <c r="K9" s="116">
        <f>'Efs OG'!DB84</f>
        <v/>
      </c>
      <c r="L9" s="116">
        <f>'Efs OG'!DC84</f>
        <v/>
      </c>
      <c r="M9" s="116">
        <f>'Efs OG'!DD84</f>
        <v/>
      </c>
      <c r="N9" s="116">
        <f>'Efs OG'!DE84</f>
        <v/>
      </c>
      <c r="O9" s="116">
        <f>'Efs OG'!DF84</f>
        <v/>
      </c>
      <c r="P9" s="116">
        <f>'Efs OG'!DG84</f>
        <v/>
      </c>
      <c r="Q9" s="116">
        <f>'Efs OG'!DH84</f>
        <v/>
      </c>
      <c r="R9" s="116">
        <f>'Efs OG'!DI84</f>
        <v/>
      </c>
      <c r="S9" s="116">
        <f>'Efs OG'!DJ84</f>
        <v/>
      </c>
      <c r="T9" s="116">
        <f>'Efs OG'!DK84</f>
        <v/>
      </c>
      <c r="U9" s="116">
        <f>'Efs OG'!DL84</f>
        <v/>
      </c>
      <c r="V9" s="116">
        <f>'Efs OG'!DM84</f>
        <v/>
      </c>
      <c r="W9" s="116">
        <f>'Efs OG'!DN84</f>
        <v/>
      </c>
      <c r="X9" s="116">
        <f>'Efs OG'!DO84</f>
        <v/>
      </c>
      <c r="Y9" s="116">
        <f>'Efs OG'!DP84</f>
        <v/>
      </c>
      <c r="Z9" s="116">
        <f>'Efs OG'!DQ84</f>
        <v/>
      </c>
      <c r="AA9" s="116">
        <f>'Efs OG'!DR84</f>
        <v/>
      </c>
      <c r="AB9" s="116">
        <f>'Efs OG'!DS84</f>
        <v/>
      </c>
      <c r="AC9" s="116">
        <f>'Efs OG'!DT84</f>
        <v/>
      </c>
      <c r="AD9" s="116">
        <f>'Efs OG'!DU84</f>
        <v/>
      </c>
      <c r="AE9" s="116">
        <f>'Efs OG'!DV84</f>
        <v/>
      </c>
      <c r="AF9" s="116">
        <f>'Efs OG'!DW84</f>
        <v/>
      </c>
      <c r="AG9" s="116">
        <f>'Efs OG'!DX84</f>
        <v/>
      </c>
      <c r="AH9" s="116">
        <f>'Efs OG'!DY84</f>
        <v/>
      </c>
      <c r="AI9" s="116">
        <f>'Efs OG'!DZ84</f>
        <v/>
      </c>
      <c r="AJ9" s="116">
        <f>'Efs OG'!EA84</f>
        <v/>
      </c>
      <c r="AK9" s="116">
        <f>'Efs OG'!EB84</f>
        <v/>
      </c>
      <c r="AL9" s="116">
        <f>'Efs OG'!EC84</f>
        <v/>
      </c>
      <c r="AM9" s="116">
        <f>'Efs OG'!ED84</f>
        <v/>
      </c>
      <c r="AN9" s="116">
        <f>'Efs OG'!EE84</f>
        <v/>
      </c>
      <c r="AO9" s="116">
        <f>'Efs OG'!EF84</f>
        <v/>
      </c>
      <c r="AP9" s="116">
        <f>'Efs OG'!EG84</f>
        <v/>
      </c>
      <c r="AQ9" s="116">
        <f>'Efs OG'!EH84</f>
        <v/>
      </c>
      <c r="AR9" s="116">
        <f>'Efs OG'!EI84</f>
        <v/>
      </c>
      <c r="AS9" s="116">
        <f>'Efs OG'!EJ84</f>
        <v/>
      </c>
      <c r="AT9" s="116">
        <f>'Efs OG'!EK84</f>
        <v/>
      </c>
      <c r="AU9" s="116">
        <f>'Efs OG'!EL84</f>
        <v/>
      </c>
      <c r="AV9" s="116">
        <f>'Efs OG'!EM84</f>
        <v/>
      </c>
      <c r="AW9" s="116">
        <f>'Efs OG'!EN84</f>
        <v/>
      </c>
      <c r="AX9" s="116">
        <f>'Efs OG'!EO84</f>
        <v/>
      </c>
      <c r="AY9" s="116">
        <f>'Efs OG'!EP84</f>
        <v/>
      </c>
      <c r="AZ9" s="116">
        <f>'Efs OG'!EQ84</f>
        <v/>
      </c>
      <c r="BA9" s="116">
        <f>'Efs OG'!ER84</f>
        <v/>
      </c>
      <c r="BB9" s="116">
        <f>'Efs OG'!ES84</f>
        <v/>
      </c>
      <c r="BC9" s="116">
        <f>'Efs OG'!ET84</f>
        <v/>
      </c>
      <c r="BD9" s="116">
        <f>'Efs OG'!EU84</f>
        <v/>
      </c>
      <c r="BE9" s="116">
        <f>'Efs OG'!EV84</f>
        <v/>
      </c>
      <c r="BF9" s="116">
        <f>'Efs OG'!EW84</f>
        <v/>
      </c>
      <c r="BG9" s="116">
        <f>'Efs OG'!EX84</f>
        <v/>
      </c>
      <c r="BH9" s="116">
        <f>'Efs OG'!EY84</f>
        <v/>
      </c>
      <c r="BI9" s="116">
        <f>'Efs OG'!EZ84</f>
        <v/>
      </c>
      <c r="BJ9" s="116">
        <f>'Efs OG'!FA84</f>
        <v/>
      </c>
    </row>
    <row r="10">
      <c r="A10" s="71" t="inlineStr">
        <is>
          <t>RL</t>
        </is>
      </c>
      <c r="B10" s="116">
        <f>'Efs Real'!L57</f>
        <v/>
      </c>
      <c r="C10" s="116">
        <f>'Efs Real'!M57</f>
        <v/>
      </c>
      <c r="D10" s="116">
        <f>'Efs Real'!N57</f>
        <v/>
      </c>
      <c r="E10" s="116">
        <f>'Efs Real'!O57</f>
        <v/>
      </c>
      <c r="F10" s="116">
        <f>'Efs Real'!P57</f>
        <v/>
      </c>
      <c r="G10" s="116">
        <f>'Efs Real'!Q57</f>
        <v/>
      </c>
      <c r="H10" s="116">
        <f>'Efs Real'!R57</f>
        <v/>
      </c>
      <c r="I10" s="116">
        <f>'Efs Real'!S57</f>
        <v/>
      </c>
      <c r="J10" s="116">
        <f>'Efs Real'!T57</f>
        <v/>
      </c>
      <c r="K10" s="116">
        <f>'Efs Real'!U57</f>
        <v/>
      </c>
      <c r="L10" s="116">
        <f>'Efs Real'!V57</f>
        <v/>
      </c>
      <c r="M10" s="116">
        <f>'Efs Real'!W57</f>
        <v/>
      </c>
      <c r="N10" s="116">
        <f>'Efs Real'!X57</f>
        <v/>
      </c>
      <c r="O10" s="116">
        <f>'Efs Real'!Y57</f>
        <v/>
      </c>
      <c r="P10" s="116">
        <f>'Efs Real'!Z57</f>
        <v/>
      </c>
      <c r="Q10" s="116" t="n"/>
      <c r="R10" s="116" t="n"/>
      <c r="S10" s="116" t="n"/>
      <c r="T10" s="116" t="n"/>
      <c r="U10" s="116" t="n"/>
      <c r="V10" s="116" t="n"/>
      <c r="W10" s="116" t="n"/>
      <c r="X10" s="116" t="n"/>
      <c r="Y10" s="116" t="n"/>
      <c r="Z10" s="116" t="n"/>
      <c r="AA10" s="116" t="n"/>
      <c r="AB10" s="116" t="n"/>
      <c r="AC10" s="116" t="n"/>
      <c r="AD10" s="116" t="n"/>
      <c r="AE10" s="116" t="n"/>
      <c r="AF10" s="116" t="n"/>
      <c r="AG10" s="116" t="n"/>
      <c r="AH10" s="116" t="n"/>
      <c r="AI10" s="116" t="n"/>
      <c r="AJ10" s="116" t="n"/>
      <c r="AK10" s="116" t="n"/>
      <c r="AL10" s="116" t="n"/>
      <c r="AM10" s="116" t="n"/>
      <c r="AN10" s="116" t="n"/>
      <c r="AO10" s="116" t="n"/>
      <c r="AP10" s="116" t="n"/>
      <c r="AQ10" s="116" t="n"/>
      <c r="AR10" s="116" t="n"/>
      <c r="AS10" s="116" t="n"/>
      <c r="AT10" s="116" t="n"/>
      <c r="AU10" s="116" t="n"/>
      <c r="AV10" s="116" t="n"/>
      <c r="AW10" s="116" t="n"/>
      <c r="AX10" s="116" t="n"/>
      <c r="AY10" s="116" t="n"/>
      <c r="AZ10" s="116" t="n"/>
      <c r="BA10" s="116" t="n"/>
      <c r="BB10" s="116" t="n"/>
      <c r="BC10" s="116" t="n"/>
      <c r="BD10" s="116" t="n"/>
      <c r="BE10" s="116" t="n"/>
      <c r="BF10" s="116" t="n"/>
      <c r="BG10" s="116" t="n"/>
      <c r="BH10" s="116" t="n"/>
      <c r="BI10" s="116" t="n"/>
      <c r="BJ10" s="116" t="n"/>
    </row>
    <row r="11">
      <c r="A11" s="71" t="inlineStr">
        <is>
          <t>MAX</t>
        </is>
      </c>
      <c r="B11" s="117" t="n">
        <v>6</v>
      </c>
      <c r="C11" s="117" t="n">
        <v>6</v>
      </c>
      <c r="D11" s="117" t="n">
        <v>6</v>
      </c>
      <c r="E11" s="117" t="n">
        <v>6</v>
      </c>
      <c r="F11" s="117" t="n">
        <v>6</v>
      </c>
      <c r="G11" s="117" t="n">
        <v>6</v>
      </c>
      <c r="H11" s="117" t="n">
        <v>6</v>
      </c>
      <c r="I11" s="117" t="n">
        <v>6</v>
      </c>
      <c r="J11" s="117" t="n">
        <v>5</v>
      </c>
      <c r="K11" s="117" t="n">
        <v>5</v>
      </c>
      <c r="L11" s="117" t="n">
        <v>5</v>
      </c>
      <c r="M11" s="117" t="n">
        <v>5</v>
      </c>
      <c r="N11" s="117" t="n">
        <v>5</v>
      </c>
      <c r="O11" s="117" t="n">
        <v>5</v>
      </c>
      <c r="P11" s="117" t="n">
        <v>5</v>
      </c>
      <c r="Q11" s="117" t="n">
        <v>5</v>
      </c>
      <c r="R11" s="117" t="n">
        <v>5</v>
      </c>
      <c r="S11" s="117" t="n">
        <v>5</v>
      </c>
      <c r="T11" s="117" t="n">
        <v>5</v>
      </c>
      <c r="U11" s="117" t="n">
        <v>5</v>
      </c>
      <c r="V11" s="117" t="n">
        <v>5</v>
      </c>
      <c r="W11" s="117" t="n">
        <v>5</v>
      </c>
      <c r="X11" s="117" t="n">
        <v>5</v>
      </c>
      <c r="Y11" s="117" t="n">
        <v>5</v>
      </c>
      <c r="Z11" s="117" t="n">
        <v>5</v>
      </c>
      <c r="AA11" s="117" t="n">
        <v>5</v>
      </c>
      <c r="AB11" s="117" t="n">
        <v>5</v>
      </c>
      <c r="AC11" s="117" t="n">
        <v>5</v>
      </c>
      <c r="AD11" s="117" t="n">
        <v>5</v>
      </c>
      <c r="AE11" s="117" t="n">
        <v>5</v>
      </c>
      <c r="AF11" s="117" t="n">
        <v>5</v>
      </c>
      <c r="AG11" s="117" t="n">
        <v>5</v>
      </c>
      <c r="AH11" s="117" t="n">
        <v>5</v>
      </c>
      <c r="AI11" s="117" t="n">
        <v>5</v>
      </c>
      <c r="AJ11" s="117" t="n">
        <v>5</v>
      </c>
      <c r="AK11" s="117" t="n">
        <v>5</v>
      </c>
      <c r="AL11" s="117" t="n">
        <v>5</v>
      </c>
      <c r="AM11" s="117" t="n">
        <v>5</v>
      </c>
      <c r="AN11" s="117" t="n">
        <v>5</v>
      </c>
      <c r="AO11" s="117" t="n">
        <v>5</v>
      </c>
      <c r="AP11" s="117" t="n">
        <v>5</v>
      </c>
      <c r="AQ11" s="117" t="n">
        <v>5</v>
      </c>
      <c r="AR11" s="117" t="n">
        <v>5</v>
      </c>
      <c r="AS11" s="117" t="n">
        <v>5</v>
      </c>
      <c r="AT11" s="117" t="n">
        <v>5</v>
      </c>
      <c r="AU11" s="117" t="n">
        <v>5</v>
      </c>
      <c r="AV11" s="117" t="n">
        <v>5</v>
      </c>
      <c r="AW11" s="117" t="n">
        <v>5</v>
      </c>
      <c r="AX11" s="117" t="n">
        <v>5</v>
      </c>
      <c r="AY11" s="117" t="n">
        <v>5</v>
      </c>
      <c r="AZ11" s="117" t="n">
        <v>5</v>
      </c>
      <c r="BA11" s="117" t="n">
        <v>5</v>
      </c>
      <c r="BB11" s="117" t="n">
        <v>5</v>
      </c>
      <c r="BC11" s="117" t="n">
        <v>5</v>
      </c>
      <c r="BD11" s="117" t="n">
        <v>5</v>
      </c>
      <c r="BE11" s="117" t="n">
        <v>5</v>
      </c>
      <c r="BF11" s="117" t="n">
        <v>5</v>
      </c>
      <c r="BG11" s="117" t="n">
        <v>5</v>
      </c>
      <c r="BH11" s="117" t="n">
        <v>5</v>
      </c>
      <c r="BI11" s="117" t="n">
        <v>5</v>
      </c>
      <c r="BJ11" s="117" t="n">
        <v>5</v>
      </c>
    </row>
    <row r="13">
      <c r="A13" s="71">
        <f>IFERROR(__xludf.DUMMYFUNCTION("IMPORTRANGE(""https://docs.google.com/spreadsheets/d/1RNG9c9ku9IgXbqzh4Ng5a6f84xmyVPd-/edit?usp=sharing&amp;ouid=116612639875179195240&amp;rtpof=true&amp;sd=true"",""Efs Real!B1"")"),"#REF!")</f>
        <v/>
      </c>
      <c r="B13" s="71" t="inlineStr">
        <is>
          <t>Indice de apalancamiento ajustado</t>
        </is>
      </c>
    </row>
    <row r="14">
      <c r="A14" s="71">
        <f>IFERROR(__xludf.DUMMYFUNCTION("IMPORTRANGE(""https://docs.google.com/spreadsheets/d/1RNG9c9ku9IgXbqzh4Ng5a6f84xmyVPd-/edit?gid=1965519997#gid=1965519997"",""Efs Real!B:B"")"),"#REF!")</f>
        <v/>
      </c>
      <c r="B14" s="112" t="n">
        <v>45657</v>
      </c>
      <c r="C14" s="112">
        <f>EOMONTH(B14,1)</f>
        <v/>
      </c>
      <c r="D14" s="113">
        <f>EOMONTH(C14,1)</f>
        <v/>
      </c>
      <c r="E14" s="113">
        <f>EOMONTH(D14,1)</f>
        <v/>
      </c>
      <c r="F14" s="113">
        <f>EOMONTH(E14,1)</f>
        <v/>
      </c>
      <c r="G14" s="113">
        <f>EOMONTH(F14,1)</f>
        <v/>
      </c>
      <c r="H14" s="113">
        <f>EOMONTH(G14,1)</f>
        <v/>
      </c>
      <c r="I14" s="113">
        <f>EOMONTH(H14,1)</f>
        <v/>
      </c>
      <c r="J14" s="113">
        <f>EOMONTH(I14,1)</f>
        <v/>
      </c>
      <c r="K14" s="113">
        <f>EOMONTH(J14,1)</f>
        <v/>
      </c>
      <c r="L14" s="113">
        <f>EOMONTH(K14,1)</f>
        <v/>
      </c>
      <c r="M14" s="113">
        <f>EOMONTH(L14,1)</f>
        <v/>
      </c>
      <c r="N14" s="113">
        <f>EOMONTH(M14,1)</f>
        <v/>
      </c>
      <c r="O14" s="113">
        <f>EOMONTH(N14,1)</f>
        <v/>
      </c>
      <c r="P14" s="113">
        <f>EOMONTH(O14,1)</f>
        <v/>
      </c>
      <c r="Q14" s="113">
        <f>EOMONTH(P14,1)</f>
        <v/>
      </c>
      <c r="R14" s="113">
        <f>EOMONTH(Q14,1)</f>
        <v/>
      </c>
      <c r="S14" s="113">
        <f>EOMONTH(R14,1)</f>
        <v/>
      </c>
      <c r="T14" s="113">
        <f>EOMONTH(S14,1)</f>
        <v/>
      </c>
      <c r="U14" s="113">
        <f>EOMONTH(T14,1)</f>
        <v/>
      </c>
      <c r="V14" s="113">
        <f>EOMONTH(U14,1)</f>
        <v/>
      </c>
      <c r="W14" s="113">
        <f>EOMONTH(V14,1)</f>
        <v/>
      </c>
      <c r="X14" s="113">
        <f>EOMONTH(W14,1)</f>
        <v/>
      </c>
      <c r="Y14" s="113">
        <f>EOMONTH(X14,1)</f>
        <v/>
      </c>
      <c r="Z14" s="113">
        <f>EOMONTH(Y14,1)</f>
        <v/>
      </c>
      <c r="AA14" s="113">
        <f>EOMONTH(Z14,1)</f>
        <v/>
      </c>
      <c r="AB14" s="113">
        <f>EOMONTH(AA14,1)</f>
        <v/>
      </c>
      <c r="AC14" s="113">
        <f>EOMONTH(AB14,1)</f>
        <v/>
      </c>
      <c r="AD14" s="113">
        <f>EOMONTH(AC14,1)</f>
        <v/>
      </c>
      <c r="AE14" s="113">
        <f>EOMONTH(AD14,1)</f>
        <v/>
      </c>
      <c r="AF14" s="113">
        <f>EOMONTH(AE14,1)</f>
        <v/>
      </c>
      <c r="AG14" s="113">
        <f>EOMONTH(AF14,1)</f>
        <v/>
      </c>
      <c r="AH14" s="113">
        <f>EOMONTH(AG14,1)</f>
        <v/>
      </c>
      <c r="AI14" s="113">
        <f>EOMONTH(AH14,1)</f>
        <v/>
      </c>
      <c r="AJ14" s="113">
        <f>EOMONTH(AI14,1)</f>
        <v/>
      </c>
      <c r="AK14" s="113">
        <f>EOMONTH(AJ14,1)</f>
        <v/>
      </c>
      <c r="AL14" s="113">
        <f>EOMONTH(AK14,1)</f>
        <v/>
      </c>
      <c r="AM14" s="113">
        <f>EOMONTH(AL14,1)</f>
        <v/>
      </c>
      <c r="AN14" s="113">
        <f>EOMONTH(AM14,1)</f>
        <v/>
      </c>
      <c r="AO14" s="113">
        <f>EOMONTH(AN14,1)</f>
        <v/>
      </c>
      <c r="AP14" s="113">
        <f>EOMONTH(AO14,1)</f>
        <v/>
      </c>
      <c r="AQ14" s="113">
        <f>EOMONTH(AP14,1)</f>
        <v/>
      </c>
      <c r="AR14" s="113">
        <f>EOMONTH(AQ14,1)</f>
        <v/>
      </c>
      <c r="AS14" s="113">
        <f>EOMONTH(AR14,1)</f>
        <v/>
      </c>
      <c r="AT14" s="113">
        <f>EOMONTH(AS14,1)</f>
        <v/>
      </c>
      <c r="AU14" s="113">
        <f>EOMONTH(AT14,1)</f>
        <v/>
      </c>
      <c r="AV14" s="113">
        <f>EOMONTH(AU14,1)</f>
        <v/>
      </c>
      <c r="AW14" s="113">
        <f>EOMONTH(AV14,1)</f>
        <v/>
      </c>
      <c r="AX14" s="113">
        <f>EOMONTH(AW14,1)</f>
        <v/>
      </c>
      <c r="AY14" s="113">
        <f>EOMONTH(AX14,1)</f>
        <v/>
      </c>
      <c r="AZ14" s="113">
        <f>EOMONTH(AY14,1)</f>
        <v/>
      </c>
      <c r="BA14" s="113">
        <f>EOMONTH(AZ14,1)</f>
        <v/>
      </c>
      <c r="BB14" s="113">
        <f>EOMONTH(BA14,1)</f>
        <v/>
      </c>
      <c r="BC14" s="113">
        <f>EOMONTH(BB14,1)</f>
        <v/>
      </c>
      <c r="BD14" s="113">
        <f>EOMONTH(BC14,1)</f>
        <v/>
      </c>
      <c r="BE14" s="113">
        <f>EOMONTH(BD14,1)</f>
        <v/>
      </c>
      <c r="BF14" s="113">
        <f>EOMONTH(BE14,1)</f>
        <v/>
      </c>
      <c r="BG14" s="113">
        <f>EOMONTH(BF14,1)</f>
        <v/>
      </c>
      <c r="BH14" s="113">
        <f>EOMONTH(BG14,1)</f>
        <v/>
      </c>
      <c r="BI14" s="113">
        <f>EOMONTH(BH14,1)</f>
        <v/>
      </c>
      <c r="BJ14" s="113">
        <f>EOMONTH(BI14,1)</f>
        <v/>
      </c>
    </row>
    <row r="15">
      <c r="A15" s="71" t="inlineStr">
        <is>
          <t>OG</t>
        </is>
      </c>
      <c r="B15" s="111">
        <f>'Efs OG'!CS85</f>
        <v/>
      </c>
      <c r="C15" s="111">
        <f>'Efs OG'!CT85</f>
        <v/>
      </c>
      <c r="D15" s="111">
        <f>'Efs OG'!CU85</f>
        <v/>
      </c>
      <c r="E15" s="111">
        <f>'Efs OG'!CV85</f>
        <v/>
      </c>
      <c r="F15" s="111">
        <f>'Efs OG'!CW85</f>
        <v/>
      </c>
      <c r="G15" s="111">
        <f>'Efs OG'!CX85</f>
        <v/>
      </c>
      <c r="H15" s="111">
        <f>'Efs OG'!CY85</f>
        <v/>
      </c>
      <c r="I15" s="111">
        <f>'Efs OG'!CZ85</f>
        <v/>
      </c>
      <c r="J15" s="111">
        <f>'Efs OG'!DA85</f>
        <v/>
      </c>
      <c r="K15" s="111">
        <f>'Efs OG'!DB85</f>
        <v/>
      </c>
      <c r="L15" s="111">
        <f>'Efs OG'!DC85</f>
        <v/>
      </c>
      <c r="M15" s="111">
        <f>'Efs OG'!DD85</f>
        <v/>
      </c>
      <c r="N15" s="111">
        <f>'Efs OG'!DE85</f>
        <v/>
      </c>
      <c r="O15" s="111">
        <f>'Efs OG'!DF85</f>
        <v/>
      </c>
      <c r="P15" s="111">
        <f>'Efs OG'!DG85</f>
        <v/>
      </c>
      <c r="Q15" s="111">
        <f>'Efs OG'!DH85</f>
        <v/>
      </c>
      <c r="R15" s="111">
        <f>'Efs OG'!DI85</f>
        <v/>
      </c>
      <c r="S15" s="111">
        <f>'Efs OG'!DJ85</f>
        <v/>
      </c>
      <c r="T15" s="111">
        <f>'Efs OG'!DK85</f>
        <v/>
      </c>
      <c r="U15" s="111">
        <f>'Efs OG'!DL85</f>
        <v/>
      </c>
      <c r="V15" s="111">
        <f>'Efs OG'!DM85</f>
        <v/>
      </c>
      <c r="W15" s="111">
        <f>'Efs OG'!DN85</f>
        <v/>
      </c>
      <c r="X15" s="111">
        <f>'Efs OG'!DO85</f>
        <v/>
      </c>
      <c r="Y15" s="111">
        <f>'Efs OG'!DP85</f>
        <v/>
      </c>
      <c r="Z15" s="111">
        <f>'Efs OG'!DQ85</f>
        <v/>
      </c>
      <c r="AA15" s="111">
        <f>'Efs OG'!DR85</f>
        <v/>
      </c>
      <c r="AB15" s="111">
        <f>'Efs OG'!DS85</f>
        <v/>
      </c>
      <c r="AC15" s="111">
        <f>'Efs OG'!DT85</f>
        <v/>
      </c>
      <c r="AD15" s="111">
        <f>'Efs OG'!DU85</f>
        <v/>
      </c>
      <c r="AE15" s="111">
        <f>'Efs OG'!DV85</f>
        <v/>
      </c>
      <c r="AF15" s="111">
        <f>'Efs OG'!DW85</f>
        <v/>
      </c>
      <c r="AG15" s="111">
        <f>'Efs OG'!DX85</f>
        <v/>
      </c>
      <c r="AH15" s="111">
        <f>'Efs OG'!DY85</f>
        <v/>
      </c>
      <c r="AI15" s="111">
        <f>'Efs OG'!DZ85</f>
        <v/>
      </c>
      <c r="AJ15" s="111">
        <f>'Efs OG'!EA85</f>
        <v/>
      </c>
      <c r="AK15" s="111">
        <f>'Efs OG'!EB85</f>
        <v/>
      </c>
      <c r="AL15" s="111">
        <f>'Efs OG'!EC85</f>
        <v/>
      </c>
      <c r="AM15" s="111">
        <f>'Efs OG'!ED85</f>
        <v/>
      </c>
      <c r="AN15" s="111">
        <f>'Efs OG'!EE85</f>
        <v/>
      </c>
      <c r="AO15" s="111">
        <f>'Efs OG'!EF85</f>
        <v/>
      </c>
      <c r="AP15" s="111">
        <f>'Efs OG'!EG85</f>
        <v/>
      </c>
      <c r="AQ15" s="111">
        <f>'Efs OG'!EH85</f>
        <v/>
      </c>
      <c r="AR15" s="111">
        <f>'Efs OG'!EI85</f>
        <v/>
      </c>
      <c r="AS15" s="111">
        <f>'Efs OG'!EJ85</f>
        <v/>
      </c>
      <c r="AT15" s="111">
        <f>'Efs OG'!EK85</f>
        <v/>
      </c>
      <c r="AU15" s="111">
        <f>'Efs OG'!EL85</f>
        <v/>
      </c>
      <c r="AV15" s="111">
        <f>'Efs OG'!EM85</f>
        <v/>
      </c>
      <c r="AW15" s="111">
        <f>'Efs OG'!EN85</f>
        <v/>
      </c>
      <c r="AX15" s="111">
        <f>'Efs OG'!EO85</f>
        <v/>
      </c>
      <c r="AY15" s="111">
        <f>'Efs OG'!EP85</f>
        <v/>
      </c>
      <c r="AZ15" s="111">
        <f>'Efs OG'!EQ85</f>
        <v/>
      </c>
      <c r="BA15" s="111">
        <f>'Efs OG'!ER85</f>
        <v/>
      </c>
      <c r="BB15" s="111">
        <f>'Efs OG'!ES85</f>
        <v/>
      </c>
      <c r="BC15" s="111">
        <f>'Efs OG'!ET85</f>
        <v/>
      </c>
      <c r="BD15" s="111">
        <f>'Efs OG'!EU85</f>
        <v/>
      </c>
      <c r="BE15" s="111">
        <f>'Efs OG'!EV85</f>
        <v/>
      </c>
      <c r="BF15" s="111">
        <f>'Efs OG'!EW85</f>
        <v/>
      </c>
      <c r="BG15" s="111">
        <f>'Efs OG'!EX85</f>
        <v/>
      </c>
      <c r="BH15" s="111">
        <f>'Efs OG'!EY85</f>
        <v/>
      </c>
      <c r="BI15" s="111">
        <f>'Efs OG'!EZ85</f>
        <v/>
      </c>
      <c r="BJ15" s="111">
        <f>'Efs OG'!FA85</f>
        <v/>
      </c>
    </row>
    <row r="16">
      <c r="A16" s="71" t="inlineStr">
        <is>
          <t>RL</t>
        </is>
      </c>
      <c r="B16" s="111">
        <f>'Efs Real'!L58</f>
        <v/>
      </c>
      <c r="C16" s="111">
        <f>'Efs Real'!M58</f>
        <v/>
      </c>
      <c r="D16" s="111">
        <f>'Efs Real'!N58</f>
        <v/>
      </c>
      <c r="E16" s="111">
        <f>'Efs Real'!O58</f>
        <v/>
      </c>
      <c r="F16" s="111">
        <f>'Efs Real'!P58</f>
        <v/>
      </c>
      <c r="G16" s="111">
        <f>'Efs Real'!Q58</f>
        <v/>
      </c>
      <c r="H16" s="111">
        <f>'Efs Real'!R58</f>
        <v/>
      </c>
      <c r="I16" s="111">
        <f>'Efs Real'!S58</f>
        <v/>
      </c>
      <c r="J16" s="111">
        <f>'Efs Real'!T58</f>
        <v/>
      </c>
      <c r="K16" s="111">
        <f>'Efs Real'!U58</f>
        <v/>
      </c>
      <c r="L16" s="111">
        <f>'Efs Real'!V58</f>
        <v/>
      </c>
      <c r="M16" s="111">
        <f>'Efs Real'!W58</f>
        <v/>
      </c>
      <c r="N16" s="111">
        <f>'Efs Real'!X58</f>
        <v/>
      </c>
      <c r="O16" s="111">
        <f>'Efs Real'!Y58</f>
        <v/>
      </c>
      <c r="P16" s="111">
        <f>'Efs Real'!Z58</f>
        <v/>
      </c>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1" t="n"/>
      <c r="AY16" s="111" t="n"/>
      <c r="AZ16" s="111" t="n"/>
      <c r="BA16" s="111" t="n"/>
      <c r="BB16" s="111" t="n"/>
      <c r="BC16" s="111" t="n"/>
      <c r="BD16" s="111" t="n"/>
      <c r="BE16" s="111" t="n"/>
      <c r="BF16" s="111" t="n"/>
      <c r="BG16" s="111" t="n"/>
      <c r="BH16" s="111" t="n"/>
      <c r="BI16" s="111" t="n"/>
      <c r="BJ16" s="111" t="n"/>
    </row>
    <row r="17">
      <c r="A17" s="71" t="inlineStr">
        <is>
          <t>MAX</t>
        </is>
      </c>
      <c r="B17" s="111" t="n">
        <v>0.9</v>
      </c>
      <c r="C17" s="111" t="n">
        <v>0.9</v>
      </c>
      <c r="D17" s="111" t="n">
        <v>0.9</v>
      </c>
      <c r="E17" s="111" t="n">
        <v>0.9</v>
      </c>
      <c r="F17" s="111" t="n">
        <v>0.9</v>
      </c>
      <c r="G17" s="111" t="n">
        <v>0.9</v>
      </c>
      <c r="H17" s="111" t="n">
        <v>0.9</v>
      </c>
      <c r="I17" s="111" t="n">
        <v>0.9</v>
      </c>
      <c r="J17" s="111" t="n">
        <v>0.85</v>
      </c>
      <c r="K17" s="111" t="n">
        <v>0.85</v>
      </c>
      <c r="L17" s="111" t="n">
        <v>0.85</v>
      </c>
      <c r="M17" s="111" t="n">
        <v>0.85</v>
      </c>
      <c r="N17" s="111" t="n">
        <v>0.85</v>
      </c>
      <c r="O17" s="111" t="n">
        <v>0.85</v>
      </c>
      <c r="P17" s="111" t="n">
        <v>0.85</v>
      </c>
      <c r="Q17" s="111" t="n">
        <v>0.85</v>
      </c>
      <c r="R17" s="111" t="n">
        <v>0.85</v>
      </c>
      <c r="S17" s="111" t="n">
        <v>0.85</v>
      </c>
      <c r="T17" s="111" t="n">
        <v>0.85</v>
      </c>
      <c r="U17" s="111" t="n">
        <v>0.85</v>
      </c>
      <c r="V17" s="111" t="n">
        <v>0.85</v>
      </c>
      <c r="W17" s="111" t="n">
        <v>0.85</v>
      </c>
      <c r="X17" s="111" t="n">
        <v>0.85</v>
      </c>
      <c r="Y17" s="111" t="n">
        <v>0.85</v>
      </c>
      <c r="Z17" s="111" t="n">
        <v>0.85</v>
      </c>
      <c r="AA17" s="111" t="n">
        <v>0.85</v>
      </c>
      <c r="AB17" s="111" t="n">
        <v>0.85</v>
      </c>
      <c r="AC17" s="111" t="n">
        <v>0.85</v>
      </c>
      <c r="AD17" s="111" t="n">
        <v>0.85</v>
      </c>
      <c r="AE17" s="111" t="n">
        <v>0.85</v>
      </c>
      <c r="AF17" s="111" t="n">
        <v>0.85</v>
      </c>
      <c r="AG17" s="111" t="n">
        <v>0.85</v>
      </c>
      <c r="AH17" s="111" t="n">
        <v>0.85</v>
      </c>
      <c r="AI17" s="111" t="n">
        <v>0.85</v>
      </c>
      <c r="AJ17" s="111" t="n">
        <v>0.85</v>
      </c>
      <c r="AK17" s="111" t="n">
        <v>0.85</v>
      </c>
      <c r="AL17" s="111" t="n">
        <v>0.85</v>
      </c>
      <c r="AM17" s="111" t="n">
        <v>0.85</v>
      </c>
      <c r="AN17" s="111" t="n">
        <v>0.85</v>
      </c>
      <c r="AO17" s="111" t="n">
        <v>0.85</v>
      </c>
      <c r="AP17" s="111" t="n">
        <v>0.85</v>
      </c>
      <c r="AQ17" s="111" t="n">
        <v>0.85</v>
      </c>
      <c r="AR17" s="111" t="n">
        <v>0.85</v>
      </c>
      <c r="AS17" s="111" t="n">
        <v>0.85</v>
      </c>
      <c r="AT17" s="111" t="n">
        <v>0.85</v>
      </c>
      <c r="AU17" s="111" t="n">
        <v>0.85</v>
      </c>
      <c r="AV17" s="111" t="n">
        <v>0.85</v>
      </c>
      <c r="AW17" s="111" t="n">
        <v>0.85</v>
      </c>
      <c r="AX17" s="111" t="n">
        <v>0.85</v>
      </c>
      <c r="AY17" s="111" t="n">
        <v>0.85</v>
      </c>
      <c r="AZ17" s="111" t="n">
        <v>0.85</v>
      </c>
      <c r="BA17" s="111" t="n">
        <v>0.85</v>
      </c>
      <c r="BB17" s="111" t="n">
        <v>0.85</v>
      </c>
      <c r="BC17" s="111" t="n">
        <v>0.85</v>
      </c>
      <c r="BD17" s="111" t="n">
        <v>0.85</v>
      </c>
      <c r="BE17" s="111" t="n">
        <v>0.85</v>
      </c>
      <c r="BF17" s="111" t="n">
        <v>0.85</v>
      </c>
      <c r="BG17" s="111" t="n">
        <v>0.85</v>
      </c>
      <c r="BH17" s="111" t="n">
        <v>0.85</v>
      </c>
      <c r="BI17" s="111" t="n">
        <v>0.85</v>
      </c>
      <c r="BJ17" s="111" t="n">
        <v>0.85</v>
      </c>
    </row>
    <row r="19">
      <c r="B19" s="71" t="inlineStr">
        <is>
          <t>Indice de capitalizacion</t>
        </is>
      </c>
    </row>
    <row r="20">
      <c r="B20" s="112" t="n">
        <v>45657</v>
      </c>
      <c r="C20" s="112">
        <f>EOMONTH(B20,1)</f>
        <v/>
      </c>
      <c r="D20" s="113">
        <f>EOMONTH(C20,1)</f>
        <v/>
      </c>
      <c r="E20" s="113">
        <f>EOMONTH(D20,1)</f>
        <v/>
      </c>
      <c r="F20" s="113">
        <f>EOMONTH(E20,1)</f>
        <v/>
      </c>
      <c r="G20" s="113">
        <f>EOMONTH(F20,1)</f>
        <v/>
      </c>
      <c r="H20" s="113">
        <f>EOMONTH(G20,1)</f>
        <v/>
      </c>
      <c r="I20" s="113">
        <f>EOMONTH(H20,1)</f>
        <v/>
      </c>
      <c r="J20" s="113">
        <f>EOMONTH(I20,1)</f>
        <v/>
      </c>
      <c r="K20" s="113">
        <f>EOMONTH(J20,1)</f>
        <v/>
      </c>
      <c r="L20" s="113">
        <f>EOMONTH(K20,1)</f>
        <v/>
      </c>
      <c r="M20" s="113">
        <f>EOMONTH(L20,1)</f>
        <v/>
      </c>
      <c r="N20" s="113">
        <f>EOMONTH(M20,1)</f>
        <v/>
      </c>
      <c r="O20" s="113">
        <f>EOMONTH(N20,1)</f>
        <v/>
      </c>
      <c r="P20" s="113">
        <f>EOMONTH(O20,1)</f>
        <v/>
      </c>
      <c r="Q20" s="113">
        <f>EOMONTH(P20,1)</f>
        <v/>
      </c>
      <c r="R20" s="113">
        <f>EOMONTH(Q20,1)</f>
        <v/>
      </c>
      <c r="S20" s="113">
        <f>EOMONTH(R20,1)</f>
        <v/>
      </c>
      <c r="T20" s="113">
        <f>EOMONTH(S20,1)</f>
        <v/>
      </c>
      <c r="U20" s="113">
        <f>EOMONTH(T20,1)</f>
        <v/>
      </c>
      <c r="V20" s="113">
        <f>EOMONTH(U20,1)</f>
        <v/>
      </c>
      <c r="W20" s="113">
        <f>EOMONTH(V20,1)</f>
        <v/>
      </c>
      <c r="X20" s="113">
        <f>EOMONTH(W20,1)</f>
        <v/>
      </c>
      <c r="Y20" s="113">
        <f>EOMONTH(X20,1)</f>
        <v/>
      </c>
      <c r="Z20" s="113">
        <f>EOMONTH(Y20,1)</f>
        <v/>
      </c>
      <c r="AA20" s="113">
        <f>EOMONTH(Z20,1)</f>
        <v/>
      </c>
      <c r="AB20" s="113">
        <f>EOMONTH(AA20,1)</f>
        <v/>
      </c>
      <c r="AC20" s="113">
        <f>EOMONTH(AB20,1)</f>
        <v/>
      </c>
      <c r="AD20" s="113">
        <f>EOMONTH(AC20,1)</f>
        <v/>
      </c>
      <c r="AE20" s="113">
        <f>EOMONTH(AD20,1)</f>
        <v/>
      </c>
      <c r="AF20" s="113">
        <f>EOMONTH(AE20,1)</f>
        <v/>
      </c>
      <c r="AG20" s="113">
        <f>EOMONTH(AF20,1)</f>
        <v/>
      </c>
      <c r="AH20" s="113">
        <f>EOMONTH(AG20,1)</f>
        <v/>
      </c>
      <c r="AI20" s="113">
        <f>EOMONTH(AH20,1)</f>
        <v/>
      </c>
      <c r="AJ20" s="113">
        <f>EOMONTH(AI20,1)</f>
        <v/>
      </c>
      <c r="AK20" s="113">
        <f>EOMONTH(AJ20,1)</f>
        <v/>
      </c>
      <c r="AL20" s="113">
        <f>EOMONTH(AK20,1)</f>
        <v/>
      </c>
      <c r="AM20" s="113">
        <f>EOMONTH(AL20,1)</f>
        <v/>
      </c>
      <c r="AN20" s="113">
        <f>EOMONTH(AM20,1)</f>
        <v/>
      </c>
      <c r="AO20" s="113">
        <f>EOMONTH(AN20,1)</f>
        <v/>
      </c>
      <c r="AP20" s="113">
        <f>EOMONTH(AO20,1)</f>
        <v/>
      </c>
      <c r="AQ20" s="113">
        <f>EOMONTH(AP20,1)</f>
        <v/>
      </c>
      <c r="AR20" s="113">
        <f>EOMONTH(AQ20,1)</f>
        <v/>
      </c>
      <c r="AS20" s="113">
        <f>EOMONTH(AR20,1)</f>
        <v/>
      </c>
      <c r="AT20" s="113">
        <f>EOMONTH(AS20,1)</f>
        <v/>
      </c>
      <c r="AU20" s="113">
        <f>EOMONTH(AT20,1)</f>
        <v/>
      </c>
      <c r="AV20" s="113">
        <f>EOMONTH(AU20,1)</f>
        <v/>
      </c>
      <c r="AW20" s="113">
        <f>EOMONTH(AV20,1)</f>
        <v/>
      </c>
      <c r="AX20" s="113">
        <f>EOMONTH(AW20,1)</f>
        <v/>
      </c>
      <c r="AY20" s="113">
        <f>EOMONTH(AX20,1)</f>
        <v/>
      </c>
      <c r="AZ20" s="113">
        <f>EOMONTH(AY20,1)</f>
        <v/>
      </c>
      <c r="BA20" s="113">
        <f>EOMONTH(AZ20,1)</f>
        <v/>
      </c>
      <c r="BB20" s="113">
        <f>EOMONTH(BA20,1)</f>
        <v/>
      </c>
      <c r="BC20" s="113">
        <f>EOMONTH(BB20,1)</f>
        <v/>
      </c>
      <c r="BD20" s="113">
        <f>EOMONTH(BC20,1)</f>
        <v/>
      </c>
      <c r="BE20" s="113">
        <f>EOMONTH(BD20,1)</f>
        <v/>
      </c>
      <c r="BF20" s="113">
        <f>EOMONTH(BE20,1)</f>
        <v/>
      </c>
      <c r="BG20" s="113">
        <f>EOMONTH(BF20,1)</f>
        <v/>
      </c>
      <c r="BH20" s="113">
        <f>EOMONTH(BG20,1)</f>
        <v/>
      </c>
      <c r="BI20" s="113">
        <f>EOMONTH(BH20,1)</f>
        <v/>
      </c>
      <c r="BJ20" s="113">
        <f>EOMONTH(BI20,1)</f>
        <v/>
      </c>
    </row>
    <row r="21" ht="15.75" customHeight="1">
      <c r="A21" s="71" t="inlineStr">
        <is>
          <t>OG</t>
        </is>
      </c>
      <c r="B21" s="111">
        <f>'Efs OG'!CS83</f>
        <v/>
      </c>
      <c r="C21" s="111">
        <f>'Efs OG'!CT83</f>
        <v/>
      </c>
      <c r="D21" s="111">
        <f>'Efs OG'!CU83</f>
        <v/>
      </c>
      <c r="E21" s="111">
        <f>'Efs OG'!CV83</f>
        <v/>
      </c>
      <c r="F21" s="111">
        <f>'Efs OG'!CW83</f>
        <v/>
      </c>
      <c r="G21" s="111">
        <f>'Efs OG'!CX83</f>
        <v/>
      </c>
      <c r="H21" s="111">
        <f>'Efs OG'!CY83</f>
        <v/>
      </c>
      <c r="I21" s="111">
        <f>'Efs OG'!CZ83</f>
        <v/>
      </c>
      <c r="J21" s="111">
        <f>'Efs OG'!DA83</f>
        <v/>
      </c>
      <c r="K21" s="111">
        <f>'Efs OG'!DB83</f>
        <v/>
      </c>
      <c r="L21" s="111">
        <f>'Efs OG'!DC83</f>
        <v/>
      </c>
      <c r="M21" s="111">
        <f>'Efs OG'!DD83</f>
        <v/>
      </c>
      <c r="N21" s="111">
        <f>'Efs OG'!DE83</f>
        <v/>
      </c>
      <c r="O21" s="111">
        <f>'Efs OG'!DF83</f>
        <v/>
      </c>
      <c r="P21" s="111">
        <f>'Efs OG'!DG83</f>
        <v/>
      </c>
      <c r="Q21" s="111">
        <f>'Efs OG'!DH83</f>
        <v/>
      </c>
      <c r="R21" s="111">
        <f>'Efs OG'!DI83</f>
        <v/>
      </c>
      <c r="S21" s="111">
        <f>'Efs OG'!DJ83</f>
        <v/>
      </c>
      <c r="T21" s="111">
        <f>'Efs OG'!DK83</f>
        <v/>
      </c>
      <c r="U21" s="111">
        <f>'Efs OG'!DL83</f>
        <v/>
      </c>
      <c r="V21" s="111">
        <f>'Efs OG'!DM83</f>
        <v/>
      </c>
      <c r="W21" s="111">
        <f>'Efs OG'!DN83</f>
        <v/>
      </c>
      <c r="X21" s="111">
        <f>'Efs OG'!DO83</f>
        <v/>
      </c>
      <c r="Y21" s="111">
        <f>'Efs OG'!DP83</f>
        <v/>
      </c>
      <c r="Z21" s="111">
        <f>'Efs OG'!DQ83</f>
        <v/>
      </c>
      <c r="AA21" s="111">
        <f>'Efs OG'!DR83</f>
        <v/>
      </c>
      <c r="AB21" s="111">
        <f>'Efs OG'!DS83</f>
        <v/>
      </c>
      <c r="AC21" s="111">
        <f>'Efs OG'!DT83</f>
        <v/>
      </c>
      <c r="AD21" s="111">
        <f>'Efs OG'!DU83</f>
        <v/>
      </c>
      <c r="AE21" s="111">
        <f>'Efs OG'!DV83</f>
        <v/>
      </c>
      <c r="AF21" s="111">
        <f>'Efs OG'!DW83</f>
        <v/>
      </c>
      <c r="AG21" s="111">
        <f>'Efs OG'!DX83</f>
        <v/>
      </c>
      <c r="AH21" s="111">
        <f>'Efs OG'!DY83</f>
        <v/>
      </c>
      <c r="AI21" s="111">
        <f>'Efs OG'!DZ83</f>
        <v/>
      </c>
      <c r="AJ21" s="111">
        <f>'Efs OG'!EA83</f>
        <v/>
      </c>
      <c r="AK21" s="111">
        <f>'Efs OG'!EB83</f>
        <v/>
      </c>
      <c r="AL21" s="111">
        <f>'Efs OG'!EC83</f>
        <v/>
      </c>
      <c r="AM21" s="111">
        <f>'Efs OG'!ED83</f>
        <v/>
      </c>
      <c r="AN21" s="111">
        <f>'Efs OG'!EE83</f>
        <v/>
      </c>
      <c r="AO21" s="111">
        <f>'Efs OG'!EF83</f>
        <v/>
      </c>
      <c r="AP21" s="111">
        <f>'Efs OG'!EG83</f>
        <v/>
      </c>
      <c r="AQ21" s="111">
        <f>'Efs OG'!EH83</f>
        <v/>
      </c>
      <c r="AR21" s="111">
        <f>'Efs OG'!EI83</f>
        <v/>
      </c>
      <c r="AS21" s="111">
        <f>'Efs OG'!EJ83</f>
        <v/>
      </c>
      <c r="AT21" s="111">
        <f>'Efs OG'!EK83</f>
        <v/>
      </c>
      <c r="AU21" s="111">
        <f>'Efs OG'!EL83</f>
        <v/>
      </c>
      <c r="AV21" s="111">
        <f>'Efs OG'!EM83</f>
        <v/>
      </c>
      <c r="AW21" s="111">
        <f>'Efs OG'!EN83</f>
        <v/>
      </c>
      <c r="AX21" s="111">
        <f>'Efs OG'!EO83</f>
        <v/>
      </c>
      <c r="AY21" s="111">
        <f>'Efs OG'!EP83</f>
        <v/>
      </c>
      <c r="AZ21" s="111">
        <f>'Efs OG'!EQ83</f>
        <v/>
      </c>
      <c r="BA21" s="111">
        <f>'Efs OG'!ER83</f>
        <v/>
      </c>
      <c r="BB21" s="111">
        <f>'Efs OG'!ES83</f>
        <v/>
      </c>
      <c r="BC21" s="111">
        <f>'Efs OG'!ET83</f>
        <v/>
      </c>
      <c r="BD21" s="111">
        <f>'Efs OG'!EU83</f>
        <v/>
      </c>
      <c r="BE21" s="111">
        <f>'Efs OG'!EV83</f>
        <v/>
      </c>
      <c r="BF21" s="111">
        <f>'Efs OG'!EW83</f>
        <v/>
      </c>
      <c r="BG21" s="111">
        <f>'Efs OG'!EX83</f>
        <v/>
      </c>
      <c r="BH21" s="111">
        <f>'Efs OG'!EY83</f>
        <v/>
      </c>
      <c r="BI21" s="111">
        <f>'Efs OG'!EZ83</f>
        <v/>
      </c>
      <c r="BJ21" s="111">
        <f>'Efs OG'!FA83</f>
        <v/>
      </c>
    </row>
    <row r="22" ht="15.75" customHeight="1">
      <c r="A22" s="71" t="inlineStr">
        <is>
          <t>RL</t>
        </is>
      </c>
      <c r="B22" s="111">
        <f>'Efs Real'!L60</f>
        <v/>
      </c>
      <c r="C22" s="111">
        <f>'Efs Real'!M60</f>
        <v/>
      </c>
      <c r="D22" s="111">
        <f>'Efs Real'!N60</f>
        <v/>
      </c>
      <c r="E22" s="111">
        <f>'Efs Real'!O60</f>
        <v/>
      </c>
      <c r="F22" s="111">
        <f>'Efs Real'!P60</f>
        <v/>
      </c>
      <c r="G22" s="111">
        <f>'Efs Real'!Q60</f>
        <v/>
      </c>
      <c r="H22" s="111">
        <f>'Efs Real'!R60</f>
        <v/>
      </c>
      <c r="I22" s="111">
        <f>'Efs Real'!S60</f>
        <v/>
      </c>
      <c r="J22" s="111">
        <f>'Efs Real'!T60</f>
        <v/>
      </c>
      <c r="K22" s="111">
        <f>'Efs Real'!U60</f>
        <v/>
      </c>
      <c r="L22" s="111">
        <f>'Efs Real'!V60</f>
        <v/>
      </c>
      <c r="M22" s="111">
        <f>'Efs Real'!W60</f>
        <v/>
      </c>
      <c r="N22" s="111">
        <f>'Efs Real'!X60</f>
        <v/>
      </c>
      <c r="O22" s="111">
        <f>'Efs Real'!Y60</f>
        <v/>
      </c>
      <c r="P22" s="111">
        <f>'Efs Real'!Z60</f>
        <v/>
      </c>
      <c r="Q22" s="111"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c r="AJ22" s="111" t="n"/>
      <c r="AK22" s="111" t="n"/>
      <c r="AL22" s="111" t="n"/>
      <c r="AM22" s="111" t="n"/>
      <c r="AN22" s="111" t="n"/>
      <c r="AO22" s="111" t="n"/>
      <c r="AP22" s="111" t="n"/>
      <c r="AQ22" s="111" t="n"/>
      <c r="AR22" s="111" t="n"/>
      <c r="AS22" s="111" t="n"/>
      <c r="AT22" s="111" t="n"/>
      <c r="AU22" s="111" t="n"/>
      <c r="AV22" s="111" t="n"/>
      <c r="AW22" s="111" t="n"/>
      <c r="AX22" s="111" t="n"/>
      <c r="AY22" s="111" t="n"/>
      <c r="AZ22" s="111" t="n"/>
      <c r="BA22" s="111" t="n"/>
      <c r="BB22" s="111" t="n"/>
      <c r="BC22" s="111" t="n"/>
      <c r="BD22" s="111" t="n"/>
      <c r="BE22" s="111" t="n"/>
      <c r="BF22" s="111" t="n"/>
      <c r="BG22" s="111" t="n"/>
      <c r="BH22" s="111" t="n"/>
      <c r="BI22" s="111" t="n"/>
      <c r="BJ22" s="111" t="n"/>
    </row>
    <row r="23" ht="15.75" customHeight="1">
      <c r="A23" s="71" t="inlineStr">
        <is>
          <t>MIN</t>
        </is>
      </c>
      <c r="B23" s="111" t="n">
        <v>0.13</v>
      </c>
      <c r="C23" s="111" t="n">
        <v>0.13</v>
      </c>
      <c r="D23" s="111" t="n">
        <v>0.13</v>
      </c>
      <c r="E23" s="111" t="n">
        <v>0.13</v>
      </c>
      <c r="F23" s="111" t="n">
        <v>0.13</v>
      </c>
      <c r="G23" s="111" t="n">
        <v>0.13</v>
      </c>
      <c r="H23" s="111" t="n">
        <v>0.13</v>
      </c>
      <c r="I23" s="111" t="n">
        <v>0.13</v>
      </c>
      <c r="J23" s="111" t="n">
        <v>0.15</v>
      </c>
      <c r="K23" s="111" t="n">
        <v>0.15</v>
      </c>
      <c r="L23" s="111" t="n">
        <v>0.15</v>
      </c>
      <c r="M23" s="111" t="n">
        <v>0.15</v>
      </c>
      <c r="N23" s="111" t="n">
        <v>0.15</v>
      </c>
      <c r="O23" s="111" t="n">
        <v>0.15</v>
      </c>
      <c r="P23" s="111" t="n">
        <v>0.15</v>
      </c>
      <c r="Q23" s="111" t="n">
        <v>0.15</v>
      </c>
      <c r="R23" s="111" t="n">
        <v>0.15</v>
      </c>
      <c r="S23" s="111" t="n">
        <v>0.15</v>
      </c>
      <c r="T23" s="111" t="n">
        <v>0.15</v>
      </c>
      <c r="U23" s="111" t="n">
        <v>0.15</v>
      </c>
      <c r="V23" s="111" t="n">
        <v>0.15</v>
      </c>
      <c r="W23" s="111" t="n">
        <v>0.15</v>
      </c>
      <c r="X23" s="111" t="n">
        <v>0.15</v>
      </c>
      <c r="Y23" s="111" t="n">
        <v>0.15</v>
      </c>
      <c r="Z23" s="111" t="n">
        <v>0.15</v>
      </c>
      <c r="AA23" s="111" t="n">
        <v>0.15</v>
      </c>
      <c r="AB23" s="111" t="n">
        <v>0.15</v>
      </c>
      <c r="AC23" s="111" t="n">
        <v>0.15</v>
      </c>
      <c r="AD23" s="111" t="n">
        <v>0.15</v>
      </c>
      <c r="AE23" s="111" t="n">
        <v>0.15</v>
      </c>
      <c r="AF23" s="111" t="n">
        <v>0.15</v>
      </c>
      <c r="AG23" s="111" t="n">
        <v>0.15</v>
      </c>
      <c r="AH23" s="111" t="n">
        <v>0.15</v>
      </c>
      <c r="AI23" s="111" t="n">
        <v>0.15</v>
      </c>
      <c r="AJ23" s="111" t="n">
        <v>0.15</v>
      </c>
      <c r="AK23" s="111" t="n">
        <v>0.15</v>
      </c>
      <c r="AL23" s="111" t="n">
        <v>0.15</v>
      </c>
      <c r="AM23" s="111" t="n">
        <v>0.15</v>
      </c>
      <c r="AN23" s="111" t="n">
        <v>0.15</v>
      </c>
      <c r="AO23" s="111" t="n">
        <v>0.15</v>
      </c>
      <c r="AP23" s="111" t="n">
        <v>0.15</v>
      </c>
      <c r="AQ23" s="111" t="n">
        <v>0.15</v>
      </c>
      <c r="AR23" s="111" t="n">
        <v>0.15</v>
      </c>
      <c r="AS23" s="111" t="n">
        <v>0.15</v>
      </c>
      <c r="AT23" s="111" t="n">
        <v>0.15</v>
      </c>
      <c r="AU23" s="111" t="n">
        <v>0.15</v>
      </c>
      <c r="AV23" s="111" t="n">
        <v>0.15</v>
      </c>
      <c r="AW23" s="111" t="n">
        <v>0.15</v>
      </c>
      <c r="AX23" s="111" t="n">
        <v>0.15</v>
      </c>
      <c r="AY23" s="111" t="n">
        <v>0.15</v>
      </c>
      <c r="AZ23" s="111" t="n">
        <v>0.15</v>
      </c>
      <c r="BA23" s="111" t="n">
        <v>0.15</v>
      </c>
      <c r="BB23" s="111" t="n">
        <v>0.15</v>
      </c>
      <c r="BC23" s="111" t="n">
        <v>0.15</v>
      </c>
      <c r="BD23" s="111" t="n">
        <v>0.15</v>
      </c>
      <c r="BE23" s="111" t="n">
        <v>0.15</v>
      </c>
      <c r="BF23" s="111" t="n">
        <v>0.15</v>
      </c>
      <c r="BG23" s="111" t="n">
        <v>0.15</v>
      </c>
      <c r="BH23" s="111" t="n">
        <v>0.15</v>
      </c>
      <c r="BI23" s="111" t="n">
        <v>0.15</v>
      </c>
      <c r="BJ23" s="111" t="n">
        <v>0.15</v>
      </c>
    </row>
    <row r="24" ht="15.75" customHeight="1"/>
    <row r="25" ht="15.75" customHeight="1">
      <c r="B25" s="71" t="inlineStr">
        <is>
          <t>Indice de cartera atrasada</t>
        </is>
      </c>
    </row>
    <row r="26" ht="15.75" customHeight="1">
      <c r="B26" s="112" t="n">
        <v>45657</v>
      </c>
      <c r="C26" s="112">
        <f>EOMONTH(B26,1)</f>
        <v/>
      </c>
      <c r="D26" s="113">
        <f>EOMONTH(C26,1)</f>
        <v/>
      </c>
      <c r="E26" s="113">
        <f>EOMONTH(D26,1)</f>
        <v/>
      </c>
      <c r="F26" s="113">
        <f>EOMONTH(E26,1)</f>
        <v/>
      </c>
      <c r="G26" s="113">
        <f>EOMONTH(F26,1)</f>
        <v/>
      </c>
      <c r="H26" s="113">
        <f>EOMONTH(G26,1)</f>
        <v/>
      </c>
      <c r="I26" s="113">
        <f>EOMONTH(H26,1)</f>
        <v/>
      </c>
      <c r="J26" s="113">
        <f>EOMONTH(I26,1)</f>
        <v/>
      </c>
      <c r="K26" s="113">
        <f>EOMONTH(J26,1)</f>
        <v/>
      </c>
      <c r="L26" s="113">
        <f>EOMONTH(K26,1)</f>
        <v/>
      </c>
      <c r="M26" s="113">
        <f>EOMONTH(L26,1)</f>
        <v/>
      </c>
      <c r="N26" s="113">
        <f>EOMONTH(M26,1)</f>
        <v/>
      </c>
      <c r="O26" s="113">
        <f>EOMONTH(N26,1)</f>
        <v/>
      </c>
      <c r="P26" s="113">
        <f>EOMONTH(O26,1)</f>
        <v/>
      </c>
      <c r="Q26" s="113">
        <f>EOMONTH(P26,1)</f>
        <v/>
      </c>
      <c r="R26" s="113">
        <f>EOMONTH(Q26,1)</f>
        <v/>
      </c>
      <c r="S26" s="113">
        <f>EOMONTH(R26,1)</f>
        <v/>
      </c>
      <c r="T26" s="113">
        <f>EOMONTH(S26,1)</f>
        <v/>
      </c>
      <c r="U26" s="113">
        <f>EOMONTH(T26,1)</f>
        <v/>
      </c>
      <c r="V26" s="113">
        <f>EOMONTH(U26,1)</f>
        <v/>
      </c>
      <c r="W26" s="113">
        <f>EOMONTH(V26,1)</f>
        <v/>
      </c>
      <c r="X26" s="113">
        <f>EOMONTH(W26,1)</f>
        <v/>
      </c>
      <c r="Y26" s="113">
        <f>EOMONTH(X26,1)</f>
        <v/>
      </c>
      <c r="Z26" s="113">
        <f>EOMONTH(Y26,1)</f>
        <v/>
      </c>
      <c r="AA26" s="113">
        <f>EOMONTH(Z26,1)</f>
        <v/>
      </c>
      <c r="AB26" s="113">
        <f>EOMONTH(AA26,1)</f>
        <v/>
      </c>
      <c r="AC26" s="113">
        <f>EOMONTH(AB26,1)</f>
        <v/>
      </c>
      <c r="AD26" s="113">
        <f>EOMONTH(AC26,1)</f>
        <v/>
      </c>
      <c r="AE26" s="113">
        <f>EOMONTH(AD26,1)</f>
        <v/>
      </c>
      <c r="AF26" s="113">
        <f>EOMONTH(AE26,1)</f>
        <v/>
      </c>
      <c r="AG26" s="113">
        <f>EOMONTH(AF26,1)</f>
        <v/>
      </c>
      <c r="AH26" s="113">
        <f>EOMONTH(AG26,1)</f>
        <v/>
      </c>
      <c r="AI26" s="113">
        <f>EOMONTH(AH26,1)</f>
        <v/>
      </c>
      <c r="AJ26" s="113">
        <f>EOMONTH(AI26,1)</f>
        <v/>
      </c>
      <c r="AK26" s="113">
        <f>EOMONTH(AJ26,1)</f>
        <v/>
      </c>
      <c r="AL26" s="113">
        <f>EOMONTH(AK26,1)</f>
        <v/>
      </c>
      <c r="AM26" s="113">
        <f>EOMONTH(AL26,1)</f>
        <v/>
      </c>
      <c r="AN26" s="113">
        <f>EOMONTH(AM26,1)</f>
        <v/>
      </c>
      <c r="AO26" s="113">
        <f>EOMONTH(AN26,1)</f>
        <v/>
      </c>
      <c r="AP26" s="113">
        <f>EOMONTH(AO26,1)</f>
        <v/>
      </c>
      <c r="AQ26" s="113">
        <f>EOMONTH(AP26,1)</f>
        <v/>
      </c>
      <c r="AR26" s="113">
        <f>EOMONTH(AQ26,1)</f>
        <v/>
      </c>
      <c r="AS26" s="113">
        <f>EOMONTH(AR26,1)</f>
        <v/>
      </c>
      <c r="AT26" s="113">
        <f>EOMONTH(AS26,1)</f>
        <v/>
      </c>
      <c r="AU26" s="113">
        <f>EOMONTH(AT26,1)</f>
        <v/>
      </c>
      <c r="AV26" s="113">
        <f>EOMONTH(AU26,1)</f>
        <v/>
      </c>
      <c r="AW26" s="113">
        <f>EOMONTH(AV26,1)</f>
        <v/>
      </c>
      <c r="AX26" s="113">
        <f>EOMONTH(AW26,1)</f>
        <v/>
      </c>
      <c r="AY26" s="113">
        <f>EOMONTH(AX26,1)</f>
        <v/>
      </c>
      <c r="AZ26" s="113">
        <f>EOMONTH(AY26,1)</f>
        <v/>
      </c>
      <c r="BA26" s="113">
        <f>EOMONTH(AZ26,1)</f>
        <v/>
      </c>
      <c r="BB26" s="113">
        <f>EOMONTH(BA26,1)</f>
        <v/>
      </c>
      <c r="BC26" s="113">
        <f>EOMONTH(BB26,1)</f>
        <v/>
      </c>
      <c r="BD26" s="113">
        <f>EOMONTH(BC26,1)</f>
        <v/>
      </c>
      <c r="BE26" s="113">
        <f>EOMONTH(BD26,1)</f>
        <v/>
      </c>
      <c r="BF26" s="113">
        <f>EOMONTH(BE26,1)</f>
        <v/>
      </c>
      <c r="BG26" s="113">
        <f>EOMONTH(BF26,1)</f>
        <v/>
      </c>
      <c r="BH26" s="113">
        <f>EOMONTH(BG26,1)</f>
        <v/>
      </c>
      <c r="BI26" s="113">
        <f>EOMONTH(BH26,1)</f>
        <v/>
      </c>
      <c r="BJ26" s="113">
        <f>EOMONTH(BI26,1)</f>
        <v/>
      </c>
    </row>
    <row r="27" ht="15.75" customHeight="1">
      <c r="A27" s="71" t="inlineStr">
        <is>
          <t>RL</t>
        </is>
      </c>
      <c r="B27" s="111">
        <f>'Efs Real'!L79</f>
        <v/>
      </c>
      <c r="C27" s="111" t="n"/>
      <c r="D27" s="111">
        <f>'Efs Real'!N79</f>
        <v/>
      </c>
      <c r="E27" s="111">
        <f>'Efs Real'!O79</f>
        <v/>
      </c>
      <c r="F27" s="111">
        <f>'Efs Real'!P79</f>
        <v/>
      </c>
      <c r="G27" s="111">
        <f>'Efs Real'!Q79</f>
        <v/>
      </c>
      <c r="H27" s="111">
        <f>'Efs Real'!R79</f>
        <v/>
      </c>
      <c r="I27" s="111">
        <f>'Efs Real'!S79</f>
        <v/>
      </c>
      <c r="J27" s="111">
        <f>'Efs Real'!T79</f>
        <v/>
      </c>
      <c r="K27" s="111">
        <f>'Efs Real'!U79</f>
        <v/>
      </c>
      <c r="L27" s="111">
        <f>'Efs Real'!V79</f>
        <v/>
      </c>
      <c r="M27" s="111">
        <f>'Efs Real'!W79</f>
        <v/>
      </c>
      <c r="N27" s="111">
        <f>'Efs Real'!X79</f>
        <v/>
      </c>
      <c r="O27" s="111">
        <f>'Efs Real'!Y79</f>
        <v/>
      </c>
      <c r="P27" s="111">
        <f>'Efs Real'!Z79</f>
        <v/>
      </c>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row>
    <row r="28" ht="15.75" customHeight="1">
      <c r="A28" s="71" t="inlineStr">
        <is>
          <t>MAX</t>
        </is>
      </c>
      <c r="B28" s="111" t="n">
        <v>0.11</v>
      </c>
      <c r="C28" s="111" t="n">
        <v>0.11</v>
      </c>
      <c r="D28" s="111" t="n">
        <v>0.11</v>
      </c>
      <c r="E28" s="111" t="n">
        <v>0.11</v>
      </c>
      <c r="F28" s="111" t="n">
        <v>0.11</v>
      </c>
      <c r="G28" s="111" t="n">
        <v>0.11</v>
      </c>
      <c r="H28" s="111" t="n">
        <v>0.11</v>
      </c>
      <c r="I28" s="111" t="n">
        <v>0.11</v>
      </c>
      <c r="J28" s="111" t="n">
        <v>0.11</v>
      </c>
      <c r="K28" s="111" t="n">
        <v>0.11</v>
      </c>
      <c r="L28" s="111" t="n">
        <v>0.11</v>
      </c>
      <c r="M28" s="111" t="n">
        <v>0.11</v>
      </c>
      <c r="N28" s="111" t="n">
        <v>0.11</v>
      </c>
      <c r="O28" s="111" t="n">
        <v>0.11</v>
      </c>
      <c r="P28" s="111" t="n">
        <v>0.11</v>
      </c>
      <c r="Q28" s="111" t="n">
        <v>0.11</v>
      </c>
      <c r="R28" s="111" t="n">
        <v>0.11</v>
      </c>
      <c r="S28" s="111" t="n">
        <v>0.11</v>
      </c>
      <c r="T28" s="111" t="n">
        <v>0.11</v>
      </c>
      <c r="U28" s="111" t="n">
        <v>0.11</v>
      </c>
      <c r="V28" s="111" t="n">
        <v>0.11</v>
      </c>
      <c r="W28" s="111" t="n">
        <v>0.11</v>
      </c>
      <c r="X28" s="111" t="n">
        <v>0.11</v>
      </c>
      <c r="Y28" s="111" t="n">
        <v>0.11</v>
      </c>
      <c r="Z28" s="111" t="n">
        <v>0.11</v>
      </c>
      <c r="AA28" s="111" t="n">
        <v>0.11</v>
      </c>
      <c r="AB28" s="111" t="n">
        <v>0.11</v>
      </c>
      <c r="AC28" s="111" t="n">
        <v>0.11</v>
      </c>
      <c r="AD28" s="111" t="n">
        <v>0.11</v>
      </c>
      <c r="AE28" s="111" t="n">
        <v>0.11</v>
      </c>
      <c r="AF28" s="111" t="n">
        <v>0.11</v>
      </c>
      <c r="AG28" s="111" t="n">
        <v>0.11</v>
      </c>
      <c r="AH28" s="111" t="n">
        <v>0.11</v>
      </c>
      <c r="AI28" s="111" t="n">
        <v>0.11</v>
      </c>
      <c r="AJ28" s="111" t="n">
        <v>0.11</v>
      </c>
      <c r="AK28" s="111" t="n">
        <v>0.11</v>
      </c>
      <c r="AL28" s="111" t="n">
        <v>0.11</v>
      </c>
      <c r="AM28" s="111" t="n">
        <v>0.11</v>
      </c>
      <c r="AN28" s="111" t="n">
        <v>0.11</v>
      </c>
      <c r="AO28" s="111" t="n">
        <v>0.11</v>
      </c>
      <c r="AP28" s="111" t="n">
        <v>0.11</v>
      </c>
      <c r="AQ28" s="111" t="n">
        <v>0.11</v>
      </c>
      <c r="AR28" s="111" t="n">
        <v>0.11</v>
      </c>
      <c r="AS28" s="111" t="n">
        <v>0.11</v>
      </c>
      <c r="AT28" s="111" t="n">
        <v>0.11</v>
      </c>
      <c r="AU28" s="111" t="n">
        <v>0.11</v>
      </c>
      <c r="AV28" s="111" t="n">
        <v>0.11</v>
      </c>
      <c r="AW28" s="111" t="n">
        <v>0.11</v>
      </c>
      <c r="AX28" s="111" t="n">
        <v>0.11</v>
      </c>
      <c r="AY28" s="111" t="n">
        <v>0.11</v>
      </c>
      <c r="AZ28" s="111" t="n">
        <v>0.11</v>
      </c>
      <c r="BA28" s="111" t="n">
        <v>0.11</v>
      </c>
      <c r="BB28" s="111" t="n">
        <v>0.11</v>
      </c>
      <c r="BC28" s="111" t="n">
        <v>0.11</v>
      </c>
      <c r="BD28" s="111" t="n">
        <v>0.11</v>
      </c>
      <c r="BE28" s="111" t="n">
        <v>0.11</v>
      </c>
      <c r="BF28" s="111" t="n">
        <v>0.11</v>
      </c>
      <c r="BG28" s="111" t="n">
        <v>0.11</v>
      </c>
      <c r="BH28" s="111" t="n">
        <v>0.11</v>
      </c>
      <c r="BI28" s="111" t="n">
        <v>0.11</v>
      </c>
      <c r="BJ28" s="111" t="n">
        <v>0.11</v>
      </c>
    </row>
    <row r="29" ht="15.75" customHeight="1"/>
    <row r="30" ht="15.75" customHeight="1">
      <c r="B30" s="71" t="inlineStr">
        <is>
          <t>Indice de cartera vencida</t>
        </is>
      </c>
    </row>
    <row r="31" ht="15.75" customHeight="1">
      <c r="B31" s="112" t="n">
        <v>45657</v>
      </c>
      <c r="C31" s="112">
        <f>EOMONTH(B31,1)</f>
        <v/>
      </c>
      <c r="D31" s="113">
        <f>EOMONTH(C31,1)</f>
        <v/>
      </c>
      <c r="E31" s="113">
        <f>EOMONTH(D31,1)</f>
        <v/>
      </c>
      <c r="F31" s="113">
        <f>EOMONTH(E31,1)</f>
        <v/>
      </c>
      <c r="G31" s="113">
        <f>EOMONTH(F31,1)</f>
        <v/>
      </c>
      <c r="H31" s="113">
        <f>EOMONTH(G31,1)</f>
        <v/>
      </c>
      <c r="I31" s="113">
        <f>EOMONTH(H31,1)</f>
        <v/>
      </c>
      <c r="J31" s="113">
        <f>EOMONTH(I31,1)</f>
        <v/>
      </c>
      <c r="K31" s="113">
        <f>EOMONTH(J31,1)</f>
        <v/>
      </c>
      <c r="L31" s="113">
        <f>EOMONTH(K31,1)</f>
        <v/>
      </c>
      <c r="M31" s="113">
        <f>EOMONTH(L31,1)</f>
        <v/>
      </c>
      <c r="N31" s="113">
        <f>EOMONTH(M31,1)</f>
        <v/>
      </c>
      <c r="O31" s="113">
        <f>EOMONTH(N31,1)</f>
        <v/>
      </c>
      <c r="P31" s="113">
        <f>EOMONTH(O31,1)</f>
        <v/>
      </c>
      <c r="Q31" s="113">
        <f>EOMONTH(P31,1)</f>
        <v/>
      </c>
      <c r="R31" s="113">
        <f>EOMONTH(Q31,1)</f>
        <v/>
      </c>
      <c r="S31" s="113">
        <f>EOMONTH(R31,1)</f>
        <v/>
      </c>
      <c r="T31" s="113">
        <f>EOMONTH(S31,1)</f>
        <v/>
      </c>
      <c r="U31" s="113">
        <f>EOMONTH(T31,1)</f>
        <v/>
      </c>
      <c r="V31" s="113">
        <f>EOMONTH(U31,1)</f>
        <v/>
      </c>
      <c r="W31" s="113">
        <f>EOMONTH(V31,1)</f>
        <v/>
      </c>
      <c r="X31" s="113">
        <f>EOMONTH(W31,1)</f>
        <v/>
      </c>
      <c r="Y31" s="113">
        <f>EOMONTH(X31,1)</f>
        <v/>
      </c>
      <c r="Z31" s="113">
        <f>EOMONTH(Y31,1)</f>
        <v/>
      </c>
      <c r="AA31" s="113">
        <f>EOMONTH(Z31,1)</f>
        <v/>
      </c>
      <c r="AB31" s="113">
        <f>EOMONTH(AA31,1)</f>
        <v/>
      </c>
      <c r="AC31" s="113">
        <f>EOMONTH(AB31,1)</f>
        <v/>
      </c>
      <c r="AD31" s="113">
        <f>EOMONTH(AC31,1)</f>
        <v/>
      </c>
      <c r="AE31" s="113">
        <f>EOMONTH(AD31,1)</f>
        <v/>
      </c>
      <c r="AF31" s="113">
        <f>EOMONTH(AE31,1)</f>
        <v/>
      </c>
      <c r="AG31" s="113">
        <f>EOMONTH(AF31,1)</f>
        <v/>
      </c>
      <c r="AH31" s="113">
        <f>EOMONTH(AG31,1)</f>
        <v/>
      </c>
      <c r="AI31" s="113">
        <f>EOMONTH(AH31,1)</f>
        <v/>
      </c>
      <c r="AJ31" s="113">
        <f>EOMONTH(AI31,1)</f>
        <v/>
      </c>
      <c r="AK31" s="113">
        <f>EOMONTH(AJ31,1)</f>
        <v/>
      </c>
      <c r="AL31" s="113">
        <f>EOMONTH(AK31,1)</f>
        <v/>
      </c>
      <c r="AM31" s="113">
        <f>EOMONTH(AL31,1)</f>
        <v/>
      </c>
      <c r="AN31" s="113">
        <f>EOMONTH(AM31,1)</f>
        <v/>
      </c>
      <c r="AO31" s="113">
        <f>EOMONTH(AN31,1)</f>
        <v/>
      </c>
      <c r="AP31" s="113">
        <f>EOMONTH(AO31,1)</f>
        <v/>
      </c>
      <c r="AQ31" s="113">
        <f>EOMONTH(AP31,1)</f>
        <v/>
      </c>
      <c r="AR31" s="113">
        <f>EOMONTH(AQ31,1)</f>
        <v/>
      </c>
      <c r="AS31" s="113">
        <f>EOMONTH(AR31,1)</f>
        <v/>
      </c>
      <c r="AT31" s="113">
        <f>EOMONTH(AS31,1)</f>
        <v/>
      </c>
      <c r="AU31" s="113">
        <f>EOMONTH(AT31,1)</f>
        <v/>
      </c>
      <c r="AV31" s="113">
        <f>EOMONTH(AU31,1)</f>
        <v/>
      </c>
      <c r="AW31" s="113">
        <f>EOMONTH(AV31,1)</f>
        <v/>
      </c>
      <c r="AX31" s="113">
        <f>EOMONTH(AW31,1)</f>
        <v/>
      </c>
      <c r="AY31" s="113">
        <f>EOMONTH(AX31,1)</f>
        <v/>
      </c>
      <c r="AZ31" s="113">
        <f>EOMONTH(AY31,1)</f>
        <v/>
      </c>
      <c r="BA31" s="113">
        <f>EOMONTH(AZ31,1)</f>
        <v/>
      </c>
      <c r="BB31" s="113">
        <f>EOMONTH(BA31,1)</f>
        <v/>
      </c>
      <c r="BC31" s="113">
        <f>EOMONTH(BB31,1)</f>
        <v/>
      </c>
      <c r="BD31" s="113">
        <f>EOMONTH(BC31,1)</f>
        <v/>
      </c>
      <c r="BE31" s="113">
        <f>EOMONTH(BD31,1)</f>
        <v/>
      </c>
      <c r="BF31" s="113">
        <f>EOMONTH(BE31,1)</f>
        <v/>
      </c>
      <c r="BG31" s="113">
        <f>EOMONTH(BF31,1)</f>
        <v/>
      </c>
      <c r="BH31" s="113">
        <f>EOMONTH(BG31,1)</f>
        <v/>
      </c>
      <c r="BI31" s="113">
        <f>EOMONTH(BH31,1)</f>
        <v/>
      </c>
      <c r="BJ31" s="113">
        <f>EOMONTH(BI31,1)</f>
        <v/>
      </c>
    </row>
    <row r="32" ht="15.75" customHeight="1">
      <c r="A32" s="71" t="inlineStr">
        <is>
          <t>RL</t>
        </is>
      </c>
      <c r="B32" s="115">
        <f>'Efs Real'!L78</f>
        <v/>
      </c>
      <c r="C32" s="115" t="n"/>
      <c r="D32" s="115">
        <f>'Efs Real'!N78</f>
        <v/>
      </c>
      <c r="E32" s="115">
        <f>'Efs Real'!O78</f>
        <v/>
      </c>
      <c r="F32" s="115">
        <f>'Efs Real'!P78</f>
        <v/>
      </c>
      <c r="G32" s="115">
        <f>'Efs Real'!Q78</f>
        <v/>
      </c>
      <c r="H32" s="115">
        <f>'Efs Real'!R78</f>
        <v/>
      </c>
      <c r="I32" s="115">
        <f>'Efs Real'!S78</f>
        <v/>
      </c>
      <c r="J32" s="115">
        <f>'Efs Real'!T78</f>
        <v/>
      </c>
      <c r="K32" s="115">
        <f>'Efs Real'!U78</f>
        <v/>
      </c>
      <c r="L32" s="115">
        <f>'Efs Real'!V78</f>
        <v/>
      </c>
      <c r="M32" s="115">
        <f>'Efs Real'!W78</f>
        <v/>
      </c>
      <c r="N32" s="115">
        <f>'Efs Real'!X78</f>
        <v/>
      </c>
      <c r="O32" s="115">
        <f>'Efs Real'!Y78</f>
        <v/>
      </c>
      <c r="P32" s="115">
        <f>'Efs Real'!Z78</f>
        <v/>
      </c>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row>
    <row r="33" ht="15.75" customHeight="1">
      <c r="A33" s="71" t="inlineStr">
        <is>
          <t>MAX</t>
        </is>
      </c>
      <c r="B33" s="111" t="n">
        <v>0.14</v>
      </c>
      <c r="C33" s="111" t="n">
        <v>0.14</v>
      </c>
      <c r="D33" s="111" t="n">
        <v>0.14</v>
      </c>
      <c r="E33" s="111" t="n">
        <v>0.14</v>
      </c>
      <c r="F33" s="111" t="n">
        <v>0.14</v>
      </c>
      <c r="G33" s="111" t="n">
        <v>0.14</v>
      </c>
      <c r="H33" s="111" t="n">
        <v>0.14</v>
      </c>
      <c r="I33" s="111" t="n">
        <v>0.14</v>
      </c>
      <c r="J33" s="111" t="n">
        <v>0.14</v>
      </c>
      <c r="K33" s="111" t="n">
        <v>0.14</v>
      </c>
      <c r="L33" s="111" t="n">
        <v>0.14</v>
      </c>
      <c r="M33" s="111" t="n">
        <v>0.14</v>
      </c>
      <c r="N33" s="111" t="n">
        <v>0.14</v>
      </c>
      <c r="O33" s="111" t="n">
        <v>0.14</v>
      </c>
      <c r="P33" s="111" t="n">
        <v>0.14</v>
      </c>
      <c r="Q33" s="111" t="n">
        <v>0.14</v>
      </c>
      <c r="R33" s="111" t="n">
        <v>0.14</v>
      </c>
      <c r="S33" s="111" t="n">
        <v>0.14</v>
      </c>
      <c r="T33" s="111" t="n">
        <v>0.14</v>
      </c>
      <c r="U33" s="111" t="n">
        <v>0.14</v>
      </c>
      <c r="V33" s="111" t="n">
        <v>0.14</v>
      </c>
      <c r="W33" s="111" t="n">
        <v>0.14</v>
      </c>
      <c r="X33" s="111" t="n">
        <v>0.14</v>
      </c>
      <c r="Y33" s="111" t="n">
        <v>0.14</v>
      </c>
      <c r="Z33" s="111" t="n">
        <v>0.14</v>
      </c>
      <c r="AA33" s="111" t="n">
        <v>0.14</v>
      </c>
      <c r="AB33" s="111" t="n">
        <v>0.14</v>
      </c>
      <c r="AC33" s="111" t="n">
        <v>0.14</v>
      </c>
      <c r="AD33" s="111" t="n">
        <v>0.14</v>
      </c>
      <c r="AE33" s="111" t="n">
        <v>0.14</v>
      </c>
      <c r="AF33" s="111" t="n">
        <v>0.14</v>
      </c>
      <c r="AG33" s="111" t="n">
        <v>0.14</v>
      </c>
      <c r="AH33" s="111" t="n">
        <v>0.14</v>
      </c>
      <c r="AI33" s="111" t="n">
        <v>0.14</v>
      </c>
      <c r="AJ33" s="111" t="n">
        <v>0.14</v>
      </c>
      <c r="AK33" s="111" t="n">
        <v>0.14</v>
      </c>
      <c r="AL33" s="111" t="n">
        <v>0.14</v>
      </c>
      <c r="AM33" s="111" t="n">
        <v>0.14</v>
      </c>
      <c r="AN33" s="111" t="n">
        <v>0.14</v>
      </c>
      <c r="AO33" s="111" t="n">
        <v>0.14</v>
      </c>
      <c r="AP33" s="111" t="n">
        <v>0.14</v>
      </c>
      <c r="AQ33" s="111" t="n">
        <v>0.14</v>
      </c>
      <c r="AR33" s="111" t="n">
        <v>0.14</v>
      </c>
      <c r="AS33" s="111" t="n">
        <v>0.14</v>
      </c>
      <c r="AT33" s="111" t="n">
        <v>0.14</v>
      </c>
      <c r="AU33" s="111" t="n">
        <v>0.14</v>
      </c>
      <c r="AV33" s="111" t="n">
        <v>0.14</v>
      </c>
      <c r="AW33" s="111" t="n">
        <v>0.14</v>
      </c>
      <c r="AX33" s="111" t="n">
        <v>0.14</v>
      </c>
      <c r="AY33" s="111" t="n">
        <v>0.14</v>
      </c>
      <c r="AZ33" s="111" t="n">
        <v>0.14</v>
      </c>
      <c r="BA33" s="111" t="n">
        <v>0.14</v>
      </c>
      <c r="BB33" s="111" t="n">
        <v>0.14</v>
      </c>
      <c r="BC33" s="111" t="n">
        <v>0.14</v>
      </c>
      <c r="BD33" s="111" t="n">
        <v>0.14</v>
      </c>
      <c r="BE33" s="111" t="n">
        <v>0.14</v>
      </c>
      <c r="BF33" s="111" t="n">
        <v>0.14</v>
      </c>
      <c r="BG33" s="111" t="n">
        <v>0.14</v>
      </c>
      <c r="BH33" s="111" t="n">
        <v>0.14</v>
      </c>
      <c r="BI33" s="111" t="n">
        <v>0.14</v>
      </c>
      <c r="BJ33" s="111" t="n">
        <v>0.14</v>
      </c>
    </row>
    <row r="34" ht="15.75" customHeight="1"/>
    <row r="35" ht="15.75" customHeight="1">
      <c r="B35" s="71" t="inlineStr">
        <is>
          <t>Indice de rendimiento</t>
        </is>
      </c>
    </row>
    <row r="36" ht="15.75" customHeight="1">
      <c r="B36" s="112" t="n">
        <v>45657</v>
      </c>
      <c r="C36" s="112">
        <f>EOMONTH(B36,1)</f>
        <v/>
      </c>
      <c r="D36" s="113">
        <f>EOMONTH(C36,1)</f>
        <v/>
      </c>
      <c r="E36" s="113">
        <f>EOMONTH(D36,1)</f>
        <v/>
      </c>
      <c r="F36" s="113">
        <f>EOMONTH(E36,1)</f>
        <v/>
      </c>
      <c r="G36" s="113">
        <f>EOMONTH(F36,1)</f>
        <v/>
      </c>
      <c r="H36" s="113">
        <f>EOMONTH(G36,1)</f>
        <v/>
      </c>
      <c r="I36" s="113">
        <f>EOMONTH(H36,1)</f>
        <v/>
      </c>
      <c r="J36" s="113">
        <f>EOMONTH(I36,1)</f>
        <v/>
      </c>
      <c r="K36" s="113">
        <f>EOMONTH(J36,1)</f>
        <v/>
      </c>
      <c r="L36" s="113">
        <f>EOMONTH(K36,1)</f>
        <v/>
      </c>
      <c r="M36" s="113">
        <f>EOMONTH(L36,1)</f>
        <v/>
      </c>
      <c r="N36" s="113">
        <f>EOMONTH(M36,1)</f>
        <v/>
      </c>
      <c r="O36" s="113">
        <f>EOMONTH(N36,1)</f>
        <v/>
      </c>
      <c r="P36" s="113">
        <f>EOMONTH(O36,1)</f>
        <v/>
      </c>
      <c r="Q36" s="113">
        <f>EOMONTH(P36,1)</f>
        <v/>
      </c>
      <c r="R36" s="113">
        <f>EOMONTH(Q36,1)</f>
        <v/>
      </c>
      <c r="S36" s="113">
        <f>EOMONTH(R36,1)</f>
        <v/>
      </c>
      <c r="T36" s="113">
        <f>EOMONTH(S36,1)</f>
        <v/>
      </c>
      <c r="U36" s="113">
        <f>EOMONTH(T36,1)</f>
        <v/>
      </c>
      <c r="V36" s="113">
        <f>EOMONTH(U36,1)</f>
        <v/>
      </c>
      <c r="W36" s="113">
        <f>EOMONTH(V36,1)</f>
        <v/>
      </c>
      <c r="X36" s="113">
        <f>EOMONTH(W36,1)</f>
        <v/>
      </c>
      <c r="Y36" s="113">
        <f>EOMONTH(X36,1)</f>
        <v/>
      </c>
      <c r="Z36" s="113">
        <f>EOMONTH(Y36,1)</f>
        <v/>
      </c>
      <c r="AA36" s="113">
        <f>EOMONTH(Z36,1)</f>
        <v/>
      </c>
      <c r="AB36" s="113">
        <f>EOMONTH(AA36,1)</f>
        <v/>
      </c>
      <c r="AC36" s="113">
        <f>EOMONTH(AB36,1)</f>
        <v/>
      </c>
      <c r="AD36" s="113">
        <f>EOMONTH(AC36,1)</f>
        <v/>
      </c>
      <c r="AE36" s="113">
        <f>EOMONTH(AD36,1)</f>
        <v/>
      </c>
      <c r="AF36" s="113">
        <f>EOMONTH(AE36,1)</f>
        <v/>
      </c>
      <c r="AG36" s="113">
        <f>EOMONTH(AF36,1)</f>
        <v/>
      </c>
      <c r="AH36" s="113">
        <f>EOMONTH(AG36,1)</f>
        <v/>
      </c>
      <c r="AI36" s="113">
        <f>EOMONTH(AH36,1)</f>
        <v/>
      </c>
      <c r="AJ36" s="113">
        <f>EOMONTH(AI36,1)</f>
        <v/>
      </c>
      <c r="AK36" s="113">
        <f>EOMONTH(AJ36,1)</f>
        <v/>
      </c>
      <c r="AL36" s="113">
        <f>EOMONTH(AK36,1)</f>
        <v/>
      </c>
      <c r="AM36" s="113">
        <f>EOMONTH(AL36,1)</f>
        <v/>
      </c>
      <c r="AN36" s="113">
        <f>EOMONTH(AM36,1)</f>
        <v/>
      </c>
      <c r="AO36" s="113">
        <f>EOMONTH(AN36,1)</f>
        <v/>
      </c>
      <c r="AP36" s="113">
        <f>EOMONTH(AO36,1)</f>
        <v/>
      </c>
      <c r="AQ36" s="113">
        <f>EOMONTH(AP36,1)</f>
        <v/>
      </c>
      <c r="AR36" s="113">
        <f>EOMONTH(AQ36,1)</f>
        <v/>
      </c>
      <c r="AS36" s="113">
        <f>EOMONTH(AR36,1)</f>
        <v/>
      </c>
      <c r="AT36" s="113">
        <f>EOMONTH(AS36,1)</f>
        <v/>
      </c>
      <c r="AU36" s="113">
        <f>EOMONTH(AT36,1)</f>
        <v/>
      </c>
      <c r="AV36" s="113">
        <f>EOMONTH(AU36,1)</f>
        <v/>
      </c>
      <c r="AW36" s="113">
        <f>EOMONTH(AV36,1)</f>
        <v/>
      </c>
      <c r="AX36" s="113">
        <f>EOMONTH(AW36,1)</f>
        <v/>
      </c>
      <c r="AY36" s="113">
        <f>EOMONTH(AX36,1)</f>
        <v/>
      </c>
      <c r="AZ36" s="113">
        <f>EOMONTH(AY36,1)</f>
        <v/>
      </c>
      <c r="BA36" s="113">
        <f>EOMONTH(AZ36,1)</f>
        <v/>
      </c>
      <c r="BB36" s="113">
        <f>EOMONTH(BA36,1)</f>
        <v/>
      </c>
      <c r="BC36" s="113">
        <f>EOMONTH(BB36,1)</f>
        <v/>
      </c>
      <c r="BD36" s="113">
        <f>EOMONTH(BC36,1)</f>
        <v/>
      </c>
      <c r="BE36" s="113">
        <f>EOMONTH(BD36,1)</f>
        <v/>
      </c>
      <c r="BF36" s="113">
        <f>EOMONTH(BE36,1)</f>
        <v/>
      </c>
      <c r="BG36" s="113">
        <f>EOMONTH(BF36,1)</f>
        <v/>
      </c>
      <c r="BH36" s="113">
        <f>EOMONTH(BG36,1)</f>
        <v/>
      </c>
      <c r="BI36" s="113">
        <f>EOMONTH(BH36,1)</f>
        <v/>
      </c>
      <c r="BJ36" s="113">
        <f>EOMONTH(BI36,1)</f>
        <v/>
      </c>
    </row>
    <row r="37" ht="15.75" customHeight="1">
      <c r="A37" s="71" t="inlineStr">
        <is>
          <t>OG</t>
        </is>
      </c>
      <c r="B37" s="111">
        <f>'Efs OG'!CS86</f>
        <v/>
      </c>
      <c r="C37" s="111">
        <f>'Efs OG'!CT86</f>
        <v/>
      </c>
      <c r="D37" s="111">
        <f>'Efs OG'!CU86</f>
        <v/>
      </c>
      <c r="E37" s="111">
        <f>'Efs OG'!CV86</f>
        <v/>
      </c>
      <c r="F37" s="111">
        <f>'Efs OG'!CW86</f>
        <v/>
      </c>
      <c r="G37" s="111">
        <f>'Efs OG'!CX86</f>
        <v/>
      </c>
      <c r="H37" s="111">
        <f>'Efs OG'!CY86</f>
        <v/>
      </c>
      <c r="I37" s="111">
        <f>'Efs OG'!CZ86</f>
        <v/>
      </c>
      <c r="J37" s="111">
        <f>'Efs OG'!DA86</f>
        <v/>
      </c>
      <c r="K37" s="111">
        <f>'Efs OG'!DB86</f>
        <v/>
      </c>
      <c r="L37" s="111">
        <f>'Efs OG'!DC86</f>
        <v/>
      </c>
      <c r="M37" s="111">
        <f>'Efs OG'!DD86</f>
        <v/>
      </c>
      <c r="N37" s="111">
        <f>'Efs OG'!DE86</f>
        <v/>
      </c>
      <c r="O37" s="111">
        <f>'Efs OG'!DF86</f>
        <v/>
      </c>
      <c r="P37" s="111">
        <f>'Efs OG'!DG86</f>
        <v/>
      </c>
      <c r="Q37" s="111">
        <f>'Efs OG'!DH86</f>
        <v/>
      </c>
      <c r="R37" s="111">
        <f>'Efs OG'!DI86</f>
        <v/>
      </c>
      <c r="S37" s="111">
        <f>'Efs OG'!DJ86</f>
        <v/>
      </c>
      <c r="T37" s="111">
        <f>'Efs OG'!DK86</f>
        <v/>
      </c>
      <c r="U37" s="111">
        <f>'Efs OG'!DL86</f>
        <v/>
      </c>
      <c r="V37" s="111">
        <f>'Efs OG'!DM86</f>
        <v/>
      </c>
      <c r="W37" s="111">
        <f>'Efs OG'!DN86</f>
        <v/>
      </c>
      <c r="X37" s="111">
        <f>'Efs OG'!DO86</f>
        <v/>
      </c>
      <c r="Y37" s="111">
        <f>'Efs OG'!DP86</f>
        <v/>
      </c>
      <c r="Z37" s="111">
        <f>'Efs OG'!DQ86</f>
        <v/>
      </c>
      <c r="AA37" s="111">
        <f>'Efs OG'!DR86</f>
        <v/>
      </c>
      <c r="AB37" s="111">
        <f>'Efs OG'!DS86</f>
        <v/>
      </c>
      <c r="AC37" s="111">
        <f>'Efs OG'!DT86</f>
        <v/>
      </c>
      <c r="AD37" s="111">
        <f>'Efs OG'!DU86</f>
        <v/>
      </c>
      <c r="AE37" s="111">
        <f>'Efs OG'!DV86</f>
        <v/>
      </c>
      <c r="AF37" s="111">
        <f>'Efs OG'!DW86</f>
        <v/>
      </c>
      <c r="AG37" s="111">
        <f>'Efs OG'!DX86</f>
        <v/>
      </c>
      <c r="AH37" s="111">
        <f>'Efs OG'!DY86</f>
        <v/>
      </c>
      <c r="AI37" s="111">
        <f>'Efs OG'!DZ86</f>
        <v/>
      </c>
      <c r="AJ37" s="111">
        <f>'Efs OG'!EA86</f>
        <v/>
      </c>
      <c r="AK37" s="111">
        <f>'Efs OG'!EB86</f>
        <v/>
      </c>
      <c r="AL37" s="111">
        <f>'Efs OG'!EC86</f>
        <v/>
      </c>
      <c r="AM37" s="111">
        <f>'Efs OG'!ED86</f>
        <v/>
      </c>
      <c r="AN37" s="111">
        <f>'Efs OG'!EE86</f>
        <v/>
      </c>
      <c r="AO37" s="111">
        <f>'Efs OG'!EF86</f>
        <v/>
      </c>
      <c r="AP37" s="111">
        <f>'Efs OG'!EG86</f>
        <v/>
      </c>
      <c r="AQ37" s="111">
        <f>'Efs OG'!EH86</f>
        <v/>
      </c>
      <c r="AR37" s="111">
        <f>'Efs OG'!EI86</f>
        <v/>
      </c>
      <c r="AS37" s="111">
        <f>'Efs OG'!EJ86</f>
        <v/>
      </c>
      <c r="AT37" s="111">
        <f>'Efs OG'!EK86</f>
        <v/>
      </c>
      <c r="AU37" s="111">
        <f>'Efs OG'!EL86</f>
        <v/>
      </c>
      <c r="AV37" s="111">
        <f>'Efs OG'!EM86</f>
        <v/>
      </c>
      <c r="AW37" s="111">
        <f>'Efs OG'!EN86</f>
        <v/>
      </c>
      <c r="AX37" s="111">
        <f>'Efs OG'!EO86</f>
        <v/>
      </c>
      <c r="AY37" s="111">
        <f>'Efs OG'!EP86</f>
        <v/>
      </c>
      <c r="AZ37" s="111">
        <f>'Efs OG'!EQ86</f>
        <v/>
      </c>
      <c r="BA37" s="111">
        <f>'Efs OG'!ER86</f>
        <v/>
      </c>
      <c r="BB37" s="111">
        <f>'Efs OG'!ES86</f>
        <v/>
      </c>
      <c r="BC37" s="111">
        <f>'Efs OG'!ET86</f>
        <v/>
      </c>
      <c r="BD37" s="111">
        <f>'Efs OG'!EU86</f>
        <v/>
      </c>
      <c r="BE37" s="111">
        <f>'Efs OG'!EV86</f>
        <v/>
      </c>
      <c r="BF37" s="111">
        <f>'Efs OG'!EW86</f>
        <v/>
      </c>
      <c r="BG37" s="111">
        <f>'Efs OG'!EX86</f>
        <v/>
      </c>
      <c r="BH37" s="111">
        <f>'Efs OG'!EY86</f>
        <v/>
      </c>
      <c r="BI37" s="111">
        <f>'Efs OG'!EZ86</f>
        <v/>
      </c>
      <c r="BJ37" s="111">
        <f>'Efs OG'!FA86</f>
        <v/>
      </c>
    </row>
    <row r="38" ht="15.75" customHeight="1">
      <c r="A38" s="71" t="inlineStr">
        <is>
          <t>RL</t>
        </is>
      </c>
      <c r="B38" s="111">
        <f>'Efs Real'!L61</f>
        <v/>
      </c>
      <c r="C38" s="111" t="n"/>
      <c r="D38" s="111">
        <f>'Efs Real'!N61</f>
        <v/>
      </c>
      <c r="E38" s="111">
        <f>'Efs Real'!O61</f>
        <v/>
      </c>
      <c r="F38" s="111">
        <f>'Efs Real'!P61</f>
        <v/>
      </c>
      <c r="G38" s="111">
        <f>'Efs Real'!Q61</f>
        <v/>
      </c>
      <c r="H38" s="111">
        <f>'Efs Real'!R61</f>
        <v/>
      </c>
      <c r="I38" s="111">
        <f>'Efs Real'!S61</f>
        <v/>
      </c>
      <c r="J38" s="111">
        <f>'Efs Real'!T61</f>
        <v/>
      </c>
      <c r="K38" s="111">
        <f>'Efs Real'!U61</f>
        <v/>
      </c>
      <c r="L38" s="111">
        <f>'Efs Real'!V61</f>
        <v/>
      </c>
      <c r="M38" s="111">
        <f>'Efs Real'!W61</f>
        <v/>
      </c>
      <c r="N38" s="111">
        <f>'Efs Real'!X61</f>
        <v/>
      </c>
      <c r="O38" s="111">
        <f>'Efs Real'!Y61</f>
        <v/>
      </c>
      <c r="P38" s="111">
        <f>'Efs Real'!Z61</f>
        <v/>
      </c>
      <c r="Q38" s="111"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row>
    <row r="39" ht="15.75" customHeight="1">
      <c r="A39" s="71" t="inlineStr">
        <is>
          <t>MIN</t>
        </is>
      </c>
      <c r="B39" s="111" t="n">
        <v>0.28</v>
      </c>
      <c r="C39" s="111" t="n">
        <v>0.28</v>
      </c>
      <c r="D39" s="111" t="n">
        <v>0.28</v>
      </c>
      <c r="E39" s="111" t="n">
        <v>0.28</v>
      </c>
      <c r="F39" s="111" t="n">
        <v>0.28</v>
      </c>
      <c r="G39" s="111" t="n">
        <v>0.28</v>
      </c>
      <c r="H39" s="111" t="n">
        <v>0.28</v>
      </c>
      <c r="I39" s="111" t="n">
        <v>0.28</v>
      </c>
      <c r="J39" s="111" t="n">
        <v>0.3</v>
      </c>
      <c r="K39" s="111" t="n">
        <v>0.3</v>
      </c>
      <c r="L39" s="111" t="n">
        <v>0.3</v>
      </c>
      <c r="M39" s="111" t="n">
        <v>0.3</v>
      </c>
      <c r="N39" s="111" t="n">
        <v>0.3</v>
      </c>
      <c r="O39" s="111" t="n">
        <v>0.3</v>
      </c>
      <c r="P39" s="111" t="n">
        <v>0.3</v>
      </c>
      <c r="Q39" s="111" t="n">
        <v>0.3</v>
      </c>
      <c r="R39" s="111" t="n">
        <v>0.3</v>
      </c>
      <c r="S39" s="111" t="n">
        <v>0.3</v>
      </c>
      <c r="T39" s="111" t="n">
        <v>0.3</v>
      </c>
      <c r="U39" s="111" t="n">
        <v>0.3</v>
      </c>
      <c r="V39" s="111" t="n">
        <v>0.3</v>
      </c>
      <c r="W39" s="111" t="n">
        <v>0.3</v>
      </c>
      <c r="X39" s="111" t="n">
        <v>0.3</v>
      </c>
      <c r="Y39" s="111" t="n">
        <v>0.3</v>
      </c>
      <c r="Z39" s="111" t="n">
        <v>0.3</v>
      </c>
      <c r="AA39" s="111" t="n">
        <v>0.3</v>
      </c>
      <c r="AB39" s="111" t="n">
        <v>0.3</v>
      </c>
      <c r="AC39" s="111" t="n">
        <v>0.3</v>
      </c>
      <c r="AD39" s="111" t="n">
        <v>0.3</v>
      </c>
      <c r="AE39" s="111" t="n">
        <v>0.3</v>
      </c>
      <c r="AF39" s="111" t="n">
        <v>0.3</v>
      </c>
      <c r="AG39" s="111" t="n">
        <v>0.3</v>
      </c>
      <c r="AH39" s="111" t="n">
        <v>0.3</v>
      </c>
      <c r="AI39" s="111" t="n">
        <v>0.3</v>
      </c>
      <c r="AJ39" s="111" t="n">
        <v>0.3</v>
      </c>
      <c r="AK39" s="111" t="n">
        <v>0.3</v>
      </c>
      <c r="AL39" s="111" t="n">
        <v>0.3</v>
      </c>
      <c r="AM39" s="111" t="n">
        <v>0.3</v>
      </c>
      <c r="AN39" s="111" t="n">
        <v>0.3</v>
      </c>
      <c r="AO39" s="111" t="n">
        <v>0.3</v>
      </c>
      <c r="AP39" s="111" t="n">
        <v>0.3</v>
      </c>
      <c r="AQ39" s="111" t="n">
        <v>0.3</v>
      </c>
      <c r="AR39" s="111" t="n">
        <v>0.3</v>
      </c>
      <c r="AS39" s="111" t="n">
        <v>0.3</v>
      </c>
      <c r="AT39" s="111" t="n">
        <v>0.3</v>
      </c>
      <c r="AU39" s="111" t="n">
        <v>0.3</v>
      </c>
      <c r="AV39" s="111" t="n">
        <v>0.3</v>
      </c>
      <c r="AW39" s="111" t="n">
        <v>0.3</v>
      </c>
      <c r="AX39" s="111" t="n">
        <v>0.3</v>
      </c>
      <c r="AY39" s="111" t="n">
        <v>0.3</v>
      </c>
      <c r="AZ39" s="111" t="n">
        <v>0.3</v>
      </c>
      <c r="BA39" s="111" t="n">
        <v>0.3</v>
      </c>
      <c r="BB39" s="111" t="n">
        <v>0.3</v>
      </c>
      <c r="BC39" s="111" t="n">
        <v>0.3</v>
      </c>
      <c r="BD39" s="111" t="n">
        <v>0.3</v>
      </c>
      <c r="BE39" s="111" t="n">
        <v>0.3</v>
      </c>
      <c r="BF39" s="111" t="n">
        <v>0.3</v>
      </c>
      <c r="BG39" s="111" t="n">
        <v>0.3</v>
      </c>
      <c r="BH39" s="111" t="n">
        <v>0.3</v>
      </c>
      <c r="BI39" s="111" t="n">
        <v>0.3</v>
      </c>
      <c r="BJ39" s="111" t="n">
        <v>0.3</v>
      </c>
    </row>
    <row r="40" ht="15.75" customHeight="1"/>
    <row r="41" ht="15.75" customHeight="1">
      <c r="B41" s="71" t="inlineStr">
        <is>
          <t>Indice rentabilidad</t>
        </is>
      </c>
    </row>
    <row r="42" ht="15.75" customHeight="1">
      <c r="B42" s="112" t="n">
        <v>45657</v>
      </c>
      <c r="C42" s="112">
        <f>EOMONTH(B42,1)</f>
        <v/>
      </c>
      <c r="D42" s="113">
        <f>EOMONTH(C42,1)</f>
        <v/>
      </c>
      <c r="E42" s="113">
        <f>EOMONTH(D42,1)</f>
        <v/>
      </c>
      <c r="F42" s="113">
        <f>EOMONTH(E42,1)</f>
        <v/>
      </c>
      <c r="G42" s="113">
        <f>EOMONTH(F42,1)</f>
        <v/>
      </c>
      <c r="H42" s="113">
        <f>EOMONTH(G42,1)</f>
        <v/>
      </c>
      <c r="I42" s="113">
        <f>EOMONTH(H42,1)</f>
        <v/>
      </c>
      <c r="J42" s="113">
        <f>EOMONTH(I42,1)</f>
        <v/>
      </c>
      <c r="K42" s="113">
        <f>EOMONTH(J42,1)</f>
        <v/>
      </c>
      <c r="L42" s="113">
        <f>EOMONTH(K42,1)</f>
        <v/>
      </c>
      <c r="M42" s="113">
        <f>EOMONTH(L42,1)</f>
        <v/>
      </c>
      <c r="N42" s="113">
        <f>EOMONTH(M42,1)</f>
        <v/>
      </c>
      <c r="O42" s="113">
        <f>EOMONTH(N42,1)</f>
        <v/>
      </c>
      <c r="P42" s="113">
        <f>EOMONTH(O42,1)</f>
        <v/>
      </c>
      <c r="Q42" s="113">
        <f>EOMONTH(P42,1)</f>
        <v/>
      </c>
      <c r="R42" s="113">
        <f>EOMONTH(Q42,1)</f>
        <v/>
      </c>
      <c r="S42" s="113">
        <f>EOMONTH(R42,1)</f>
        <v/>
      </c>
      <c r="T42" s="113">
        <f>EOMONTH(S42,1)</f>
        <v/>
      </c>
      <c r="U42" s="113">
        <f>EOMONTH(T42,1)</f>
        <v/>
      </c>
      <c r="V42" s="113">
        <f>EOMONTH(U42,1)</f>
        <v/>
      </c>
      <c r="W42" s="113">
        <f>EOMONTH(V42,1)</f>
        <v/>
      </c>
      <c r="X42" s="113">
        <f>EOMONTH(W42,1)</f>
        <v/>
      </c>
      <c r="Y42" s="113">
        <f>EOMONTH(X42,1)</f>
        <v/>
      </c>
      <c r="Z42" s="113">
        <f>EOMONTH(Y42,1)</f>
        <v/>
      </c>
      <c r="AA42" s="113">
        <f>EOMONTH(Z42,1)</f>
        <v/>
      </c>
      <c r="AB42" s="113">
        <f>EOMONTH(AA42,1)</f>
        <v/>
      </c>
      <c r="AC42" s="113">
        <f>EOMONTH(AB42,1)</f>
        <v/>
      </c>
      <c r="AD42" s="113">
        <f>EOMONTH(AC42,1)</f>
        <v/>
      </c>
      <c r="AE42" s="113">
        <f>EOMONTH(AD42,1)</f>
        <v/>
      </c>
      <c r="AF42" s="113">
        <f>EOMONTH(AE42,1)</f>
        <v/>
      </c>
      <c r="AG42" s="113">
        <f>EOMONTH(AF42,1)</f>
        <v/>
      </c>
      <c r="AH42" s="113">
        <f>EOMONTH(AG42,1)</f>
        <v/>
      </c>
      <c r="AI42" s="113">
        <f>EOMONTH(AH42,1)</f>
        <v/>
      </c>
      <c r="AJ42" s="113">
        <f>EOMONTH(AI42,1)</f>
        <v/>
      </c>
      <c r="AK42" s="113">
        <f>EOMONTH(AJ42,1)</f>
        <v/>
      </c>
      <c r="AL42" s="113">
        <f>EOMONTH(AK42,1)</f>
        <v/>
      </c>
      <c r="AM42" s="113">
        <f>EOMONTH(AL42,1)</f>
        <v/>
      </c>
      <c r="AN42" s="113">
        <f>EOMONTH(AM42,1)</f>
        <v/>
      </c>
      <c r="AO42" s="113">
        <f>EOMONTH(AN42,1)</f>
        <v/>
      </c>
      <c r="AP42" s="113">
        <f>EOMONTH(AO42,1)</f>
        <v/>
      </c>
      <c r="AQ42" s="113">
        <f>EOMONTH(AP42,1)</f>
        <v/>
      </c>
      <c r="AR42" s="113">
        <f>EOMONTH(AQ42,1)</f>
        <v/>
      </c>
      <c r="AS42" s="113">
        <f>EOMONTH(AR42,1)</f>
        <v/>
      </c>
      <c r="AT42" s="113">
        <f>EOMONTH(AS42,1)</f>
        <v/>
      </c>
      <c r="AU42" s="113">
        <f>EOMONTH(AT42,1)</f>
        <v/>
      </c>
      <c r="AV42" s="113">
        <f>EOMONTH(AU42,1)</f>
        <v/>
      </c>
      <c r="AW42" s="113">
        <f>EOMONTH(AV42,1)</f>
        <v/>
      </c>
      <c r="AX42" s="113">
        <f>EOMONTH(AW42,1)</f>
        <v/>
      </c>
      <c r="AY42" s="113">
        <f>EOMONTH(AX42,1)</f>
        <v/>
      </c>
      <c r="AZ42" s="113">
        <f>EOMONTH(AY42,1)</f>
        <v/>
      </c>
      <c r="BA42" s="113">
        <f>EOMONTH(AZ42,1)</f>
        <v/>
      </c>
      <c r="BB42" s="113">
        <f>EOMONTH(BA42,1)</f>
        <v/>
      </c>
      <c r="BC42" s="113">
        <f>EOMONTH(BB42,1)</f>
        <v/>
      </c>
      <c r="BD42" s="113">
        <f>EOMONTH(BC42,1)</f>
        <v/>
      </c>
      <c r="BE42" s="113">
        <f>EOMONTH(BD42,1)</f>
        <v/>
      </c>
      <c r="BF42" s="113">
        <f>EOMONTH(BE42,1)</f>
        <v/>
      </c>
      <c r="BG42" s="113">
        <f>EOMONTH(BF42,1)</f>
        <v/>
      </c>
      <c r="BH42" s="113">
        <f>EOMONTH(BG42,1)</f>
        <v/>
      </c>
      <c r="BI42" s="113">
        <f>EOMONTH(BH42,1)</f>
        <v/>
      </c>
      <c r="BJ42" s="113">
        <f>EOMONTH(BI42,1)</f>
        <v/>
      </c>
    </row>
    <row r="43" ht="15.75" customHeight="1">
      <c r="A43" s="71" t="inlineStr">
        <is>
          <t>OG</t>
        </is>
      </c>
      <c r="B43" s="111">
        <f>'Efs OG'!CS87</f>
        <v/>
      </c>
      <c r="C43" s="111">
        <f>'Efs OG'!CT87</f>
        <v/>
      </c>
      <c r="D43" s="111">
        <f>'Efs OG'!CU87</f>
        <v/>
      </c>
      <c r="E43" s="111">
        <f>'Efs OG'!CV87</f>
        <v/>
      </c>
      <c r="F43" s="111">
        <f>'Efs OG'!CW87</f>
        <v/>
      </c>
      <c r="G43" s="111">
        <f>'Efs OG'!CX87</f>
        <v/>
      </c>
      <c r="H43" s="111">
        <f>'Efs OG'!CY87</f>
        <v/>
      </c>
      <c r="I43" s="111">
        <f>'Efs OG'!CZ87</f>
        <v/>
      </c>
      <c r="J43" s="111">
        <f>'Efs OG'!DA87</f>
        <v/>
      </c>
      <c r="K43" s="111">
        <f>'Efs OG'!DB87</f>
        <v/>
      </c>
      <c r="L43" s="111">
        <f>'Efs OG'!DC87</f>
        <v/>
      </c>
      <c r="M43" s="111">
        <f>'Efs OG'!DD87</f>
        <v/>
      </c>
      <c r="N43" s="111">
        <f>'Efs OG'!DE87</f>
        <v/>
      </c>
      <c r="O43" s="111">
        <f>'Efs OG'!DF87</f>
        <v/>
      </c>
      <c r="P43" s="111">
        <f>'Efs OG'!DG87</f>
        <v/>
      </c>
      <c r="Q43" s="111">
        <f>'Efs OG'!DH87</f>
        <v/>
      </c>
      <c r="R43" s="111">
        <f>'Efs OG'!DI87</f>
        <v/>
      </c>
      <c r="S43" s="111">
        <f>'Efs OG'!DJ87</f>
        <v/>
      </c>
      <c r="T43" s="111">
        <f>'Efs OG'!DK87</f>
        <v/>
      </c>
      <c r="U43" s="111">
        <f>'Efs OG'!DL87</f>
        <v/>
      </c>
      <c r="V43" s="111">
        <f>'Efs OG'!DM87</f>
        <v/>
      </c>
      <c r="W43" s="111">
        <f>'Efs OG'!DN87</f>
        <v/>
      </c>
      <c r="X43" s="111">
        <f>'Efs OG'!DO87</f>
        <v/>
      </c>
      <c r="Y43" s="111">
        <f>'Efs OG'!DP87</f>
        <v/>
      </c>
      <c r="Z43" s="111">
        <f>'Efs OG'!DQ87</f>
        <v/>
      </c>
      <c r="AA43" s="111">
        <f>'Efs OG'!DR87</f>
        <v/>
      </c>
      <c r="AB43" s="111">
        <f>'Efs OG'!DS87</f>
        <v/>
      </c>
      <c r="AC43" s="111">
        <f>'Efs OG'!DT87</f>
        <v/>
      </c>
      <c r="AD43" s="111">
        <f>'Efs OG'!DU87</f>
        <v/>
      </c>
      <c r="AE43" s="111">
        <f>'Efs OG'!DV87</f>
        <v/>
      </c>
      <c r="AF43" s="111">
        <f>'Efs OG'!DW87</f>
        <v/>
      </c>
      <c r="AG43" s="111">
        <f>'Efs OG'!DX87</f>
        <v/>
      </c>
      <c r="AH43" s="111">
        <f>'Efs OG'!DY87</f>
        <v/>
      </c>
      <c r="AI43" s="111">
        <f>'Efs OG'!DZ87</f>
        <v/>
      </c>
      <c r="AJ43" s="111">
        <f>'Efs OG'!EA87</f>
        <v/>
      </c>
      <c r="AK43" s="111">
        <f>'Efs OG'!EB87</f>
        <v/>
      </c>
      <c r="AL43" s="111">
        <f>'Efs OG'!EC87</f>
        <v/>
      </c>
      <c r="AM43" s="111">
        <f>'Efs OG'!ED87</f>
        <v/>
      </c>
      <c r="AN43" s="111">
        <f>'Efs OG'!EE87</f>
        <v/>
      </c>
      <c r="AO43" s="111">
        <f>'Efs OG'!EF87</f>
        <v/>
      </c>
      <c r="AP43" s="111">
        <f>'Efs OG'!EG87</f>
        <v/>
      </c>
      <c r="AQ43" s="111">
        <f>'Efs OG'!EH87</f>
        <v/>
      </c>
      <c r="AR43" s="111">
        <f>'Efs OG'!EI87</f>
        <v/>
      </c>
      <c r="AS43" s="111">
        <f>'Efs OG'!EJ87</f>
        <v/>
      </c>
      <c r="AT43" s="111">
        <f>'Efs OG'!EK87</f>
        <v/>
      </c>
      <c r="AU43" s="111">
        <f>'Efs OG'!EL87</f>
        <v/>
      </c>
      <c r="AV43" s="111">
        <f>'Efs OG'!EM87</f>
        <v/>
      </c>
      <c r="AW43" s="111">
        <f>'Efs OG'!EN87</f>
        <v/>
      </c>
      <c r="AX43" s="111">
        <f>'Efs OG'!EO87</f>
        <v/>
      </c>
      <c r="AY43" s="111">
        <f>'Efs OG'!EP87</f>
        <v/>
      </c>
      <c r="AZ43" s="111">
        <f>'Efs OG'!EQ87</f>
        <v/>
      </c>
      <c r="BA43" s="111">
        <f>'Efs OG'!ER87</f>
        <v/>
      </c>
      <c r="BB43" s="111">
        <f>'Efs OG'!ES87</f>
        <v/>
      </c>
      <c r="BC43" s="111">
        <f>'Efs OG'!ET87</f>
        <v/>
      </c>
      <c r="BD43" s="111">
        <f>'Efs OG'!EU87</f>
        <v/>
      </c>
      <c r="BE43" s="111">
        <f>'Efs OG'!EV87</f>
        <v/>
      </c>
      <c r="BF43" s="111">
        <f>'Efs OG'!EW87</f>
        <v/>
      </c>
      <c r="BG43" s="111">
        <f>'Efs OG'!EX87</f>
        <v/>
      </c>
      <c r="BH43" s="111">
        <f>'Efs OG'!EY87</f>
        <v/>
      </c>
      <c r="BI43" s="111">
        <f>'Efs OG'!EZ87</f>
        <v/>
      </c>
      <c r="BJ43" s="111">
        <f>'Efs OG'!FA87</f>
        <v/>
      </c>
    </row>
    <row r="44" ht="15.75" customHeight="1">
      <c r="A44" s="71" t="inlineStr">
        <is>
          <t>RL</t>
        </is>
      </c>
      <c r="B44" s="111">
        <f>'Efs Real'!L62</f>
        <v/>
      </c>
      <c r="C44" s="111" t="n"/>
      <c r="D44" s="118">
        <f>'Efs Real'!N62</f>
        <v/>
      </c>
      <c r="E44" s="118">
        <f>'Efs Real'!O62</f>
        <v/>
      </c>
      <c r="F44" s="118">
        <f>'Efs Real'!P62</f>
        <v/>
      </c>
      <c r="G44" s="118">
        <f>'Efs Real'!Q62</f>
        <v/>
      </c>
      <c r="H44" s="118">
        <f>'Efs Real'!R62</f>
        <v/>
      </c>
      <c r="I44" s="118">
        <f>'Efs Real'!S62</f>
        <v/>
      </c>
      <c r="J44" s="118">
        <f>'Efs Real'!T62</f>
        <v/>
      </c>
      <c r="K44" s="118">
        <f>'Efs Real'!U62</f>
        <v/>
      </c>
      <c r="L44" s="118">
        <f>'Efs Real'!V62</f>
        <v/>
      </c>
      <c r="M44" s="118">
        <f>'Efs Real'!W62</f>
        <v/>
      </c>
      <c r="N44" s="118">
        <f>'Efs Real'!X62</f>
        <v/>
      </c>
      <c r="O44" s="118">
        <f>'Efs Real'!Y62</f>
        <v/>
      </c>
      <c r="P44" s="118">
        <f>'Efs Real'!Z62</f>
        <v/>
      </c>
      <c r="Q44" s="111"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row>
    <row r="45" ht="15.75" customHeight="1">
      <c r="A45" s="71" t="inlineStr">
        <is>
          <t>MIN</t>
        </is>
      </c>
      <c r="B45" s="111" t="n">
        <v>-0.02</v>
      </c>
      <c r="C45" s="111" t="n">
        <v>-0.02</v>
      </c>
      <c r="D45" s="111" t="n">
        <v>-0.02</v>
      </c>
      <c r="E45" s="111" t="n">
        <v>-0.02</v>
      </c>
      <c r="F45" s="111" t="n">
        <v>-0.02</v>
      </c>
      <c r="G45" s="111" t="n">
        <v>-0.02</v>
      </c>
      <c r="H45" s="111" t="n">
        <v>-0.02</v>
      </c>
      <c r="I45" s="111" t="n">
        <v>-0.02</v>
      </c>
      <c r="J45" s="111" t="n">
        <v>0</v>
      </c>
      <c r="K45" s="111" t="n">
        <v>0</v>
      </c>
      <c r="L45" s="111" t="n">
        <v>0</v>
      </c>
      <c r="M45" s="111" t="n">
        <v>0</v>
      </c>
      <c r="N45" s="111" t="n">
        <v>0</v>
      </c>
      <c r="O45" s="111" t="n">
        <v>0</v>
      </c>
      <c r="P45" s="111" t="n">
        <v>0</v>
      </c>
      <c r="Q45" s="111" t="n">
        <v>0</v>
      </c>
      <c r="R45" s="111" t="n">
        <v>0</v>
      </c>
      <c r="S45" s="111" t="n">
        <v>0</v>
      </c>
      <c r="T45" s="111" t="n">
        <v>0</v>
      </c>
      <c r="U45" s="111" t="n">
        <v>0</v>
      </c>
      <c r="V45" s="111" t="n">
        <v>0</v>
      </c>
      <c r="W45" s="111" t="n">
        <v>0</v>
      </c>
      <c r="X45" s="111" t="n">
        <v>0</v>
      </c>
      <c r="Y45" s="111" t="n">
        <v>0</v>
      </c>
      <c r="Z45" s="111" t="n">
        <v>0</v>
      </c>
      <c r="AA45" s="111" t="n">
        <v>0</v>
      </c>
      <c r="AB45" s="111" t="n">
        <v>0</v>
      </c>
      <c r="AC45" s="111" t="n">
        <v>0</v>
      </c>
      <c r="AD45" s="111" t="n">
        <v>0</v>
      </c>
      <c r="AE45" s="111" t="n">
        <v>0</v>
      </c>
      <c r="AF45" s="111" t="n">
        <v>0</v>
      </c>
      <c r="AG45" s="111" t="n">
        <v>0</v>
      </c>
      <c r="AH45" s="111" t="n">
        <v>0</v>
      </c>
      <c r="AI45" s="111" t="n">
        <v>0</v>
      </c>
      <c r="AJ45" s="111" t="n">
        <v>0</v>
      </c>
      <c r="AK45" s="111" t="n">
        <v>0</v>
      </c>
      <c r="AL45" s="111" t="n">
        <v>0</v>
      </c>
      <c r="AM45" s="111" t="n">
        <v>0</v>
      </c>
      <c r="AN45" s="111" t="n">
        <v>0</v>
      </c>
      <c r="AO45" s="111" t="n">
        <v>0</v>
      </c>
      <c r="AP45" s="111" t="n">
        <v>0</v>
      </c>
      <c r="AQ45" s="111" t="n">
        <v>0</v>
      </c>
      <c r="AR45" s="111" t="n">
        <v>0</v>
      </c>
      <c r="AS45" s="111" t="n">
        <v>0</v>
      </c>
      <c r="AT45" s="111" t="n">
        <v>0</v>
      </c>
      <c r="AU45" s="111" t="n">
        <v>0</v>
      </c>
      <c r="AV45" s="111" t="n">
        <v>0</v>
      </c>
      <c r="AW45" s="111" t="n">
        <v>0</v>
      </c>
      <c r="AX45" s="111" t="n">
        <v>0</v>
      </c>
      <c r="AY45" s="111" t="n">
        <v>0</v>
      </c>
      <c r="AZ45" s="111" t="n">
        <v>0</v>
      </c>
      <c r="BA45" s="111" t="n">
        <v>0</v>
      </c>
      <c r="BB45" s="111" t="n">
        <v>0</v>
      </c>
      <c r="BC45" s="111" t="n">
        <v>0</v>
      </c>
      <c r="BD45" s="111" t="n">
        <v>0</v>
      </c>
      <c r="BE45" s="111" t="n">
        <v>0</v>
      </c>
      <c r="BF45" s="111" t="n">
        <v>0</v>
      </c>
      <c r="BG45" s="111" t="n">
        <v>0</v>
      </c>
      <c r="BH45" s="111" t="n">
        <v>0</v>
      </c>
      <c r="BI45" s="111" t="n">
        <v>0</v>
      </c>
      <c r="BJ45" s="111" t="n">
        <v>0</v>
      </c>
    </row>
    <row r="46" ht="15.75" customHeight="1"/>
    <row r="47" ht="15.75" customHeight="1"/>
    <row r="48" ht="15.75" customHeight="1">
      <c r="B48" s="112" t="n">
        <v>45657</v>
      </c>
      <c r="C48" s="112">
        <f>EOMONTH(B48,1)</f>
        <v/>
      </c>
      <c r="D48" s="113">
        <f>EOMONTH(C48,1)</f>
        <v/>
      </c>
      <c r="E48" s="113">
        <f>EOMONTH(D48,1)</f>
        <v/>
      </c>
      <c r="F48" s="113">
        <f>EOMONTH(E48,1)</f>
        <v/>
      </c>
      <c r="G48" s="113">
        <f>EOMONTH(F48,1)</f>
        <v/>
      </c>
      <c r="H48" s="113">
        <f>EOMONTH(G48,1)</f>
        <v/>
      </c>
      <c r="I48" s="113">
        <f>EOMONTH(H48,1)</f>
        <v/>
      </c>
      <c r="J48" s="113">
        <f>EOMONTH(I48,1)</f>
        <v/>
      </c>
      <c r="K48" s="113">
        <f>EOMONTH(J48,1)</f>
        <v/>
      </c>
      <c r="L48" s="113">
        <f>EOMONTH(K48,1)</f>
        <v/>
      </c>
      <c r="M48" s="113">
        <f>EOMONTH(L48,1)</f>
        <v/>
      </c>
      <c r="N48" s="113">
        <f>EOMONTH(M48,1)</f>
        <v/>
      </c>
      <c r="O48" s="113">
        <f>EOMONTH(N48,1)</f>
        <v/>
      </c>
      <c r="P48" s="113">
        <f>EOMONTH(O48,1)</f>
        <v/>
      </c>
      <c r="Q48" s="113">
        <f>EOMONTH(P48,1)</f>
        <v/>
      </c>
      <c r="R48" s="113">
        <f>EOMONTH(Q48,1)</f>
        <v/>
      </c>
      <c r="S48" s="113">
        <f>EOMONTH(R48,1)</f>
        <v/>
      </c>
      <c r="T48" s="113">
        <f>EOMONTH(S48,1)</f>
        <v/>
      </c>
      <c r="U48" s="113">
        <f>EOMONTH(T48,1)</f>
        <v/>
      </c>
      <c r="V48" s="113">
        <f>EOMONTH(U48,1)</f>
        <v/>
      </c>
      <c r="W48" s="113">
        <f>EOMONTH(V48,1)</f>
        <v/>
      </c>
      <c r="X48" s="113">
        <f>EOMONTH(W48,1)</f>
        <v/>
      </c>
      <c r="Y48" s="113">
        <f>EOMONTH(X48,1)</f>
        <v/>
      </c>
      <c r="Z48" s="113">
        <f>EOMONTH(Y48,1)</f>
        <v/>
      </c>
      <c r="AA48" s="113">
        <f>EOMONTH(Z48,1)</f>
        <v/>
      </c>
      <c r="AB48" s="113">
        <f>EOMONTH(AA48,1)</f>
        <v/>
      </c>
      <c r="AC48" s="113">
        <f>EOMONTH(AB48,1)</f>
        <v/>
      </c>
      <c r="AD48" s="113">
        <f>EOMONTH(AC48,1)</f>
        <v/>
      </c>
      <c r="AE48" s="113">
        <f>EOMONTH(AD48,1)</f>
        <v/>
      </c>
      <c r="AF48" s="113">
        <f>EOMONTH(AE48,1)</f>
        <v/>
      </c>
      <c r="AG48" s="113">
        <f>EOMONTH(AF48,1)</f>
        <v/>
      </c>
      <c r="AH48" s="113">
        <f>EOMONTH(AG48,1)</f>
        <v/>
      </c>
      <c r="AI48" s="113">
        <f>EOMONTH(AH48,1)</f>
        <v/>
      </c>
      <c r="AJ48" s="113">
        <f>EOMONTH(AI48,1)</f>
        <v/>
      </c>
      <c r="AK48" s="113">
        <f>EOMONTH(AJ48,1)</f>
        <v/>
      </c>
      <c r="AL48" s="113">
        <f>EOMONTH(AK48,1)</f>
        <v/>
      </c>
      <c r="AM48" s="113">
        <f>EOMONTH(AL48,1)</f>
        <v/>
      </c>
      <c r="AN48" s="113">
        <f>EOMONTH(AM48,1)</f>
        <v/>
      </c>
      <c r="AO48" s="113">
        <f>EOMONTH(AN48,1)</f>
        <v/>
      </c>
      <c r="AP48" s="113">
        <f>EOMONTH(AO48,1)</f>
        <v/>
      </c>
      <c r="AQ48" s="113">
        <f>EOMONTH(AP48,1)</f>
        <v/>
      </c>
      <c r="AR48" s="113">
        <f>EOMONTH(AQ48,1)</f>
        <v/>
      </c>
      <c r="AS48" s="113">
        <f>EOMONTH(AR48,1)</f>
        <v/>
      </c>
      <c r="AT48" s="113">
        <f>EOMONTH(AS48,1)</f>
        <v/>
      </c>
      <c r="AU48" s="113">
        <f>EOMONTH(AT48,1)</f>
        <v/>
      </c>
      <c r="AV48" s="113">
        <f>EOMONTH(AU48,1)</f>
        <v/>
      </c>
      <c r="AW48" s="113">
        <f>EOMONTH(AV48,1)</f>
        <v/>
      </c>
      <c r="AX48" s="113">
        <f>EOMONTH(AW48,1)</f>
        <v/>
      </c>
      <c r="AY48" s="113">
        <f>EOMONTH(AX48,1)</f>
        <v/>
      </c>
      <c r="AZ48" s="113">
        <f>EOMONTH(AY48,1)</f>
        <v/>
      </c>
      <c r="BA48" s="113">
        <f>EOMONTH(AZ48,1)</f>
        <v/>
      </c>
      <c r="BB48" s="113">
        <f>EOMONTH(BA48,1)</f>
        <v/>
      </c>
      <c r="BC48" s="113">
        <f>EOMONTH(BB48,1)</f>
        <v/>
      </c>
      <c r="BD48" s="113">
        <f>EOMONTH(BC48,1)</f>
        <v/>
      </c>
      <c r="BE48" s="113">
        <f>EOMONTH(BD48,1)</f>
        <v/>
      </c>
      <c r="BF48" s="113">
        <f>EOMONTH(BE48,1)</f>
        <v/>
      </c>
      <c r="BG48" s="113">
        <f>EOMONTH(BF48,1)</f>
        <v/>
      </c>
      <c r="BH48" s="113">
        <f>EOMONTH(BG48,1)</f>
        <v/>
      </c>
      <c r="BI48" s="113">
        <f>EOMONTH(BH48,1)</f>
        <v/>
      </c>
      <c r="BJ48" s="113">
        <f>EOMONTH(BI48,1)</f>
        <v/>
      </c>
    </row>
    <row r="49" ht="15.75" customHeight="1">
      <c r="A49" s="71" t="inlineStr">
        <is>
          <t>Aforo mínimo</t>
        </is>
      </c>
      <c r="B49" s="71">
        <f>IF(B4&gt;7.5%, 1.5, 1.35)</f>
        <v/>
      </c>
      <c r="C49" s="71">
        <f>IF(C4&gt;7.5%, 1.5, 1.35)</f>
        <v/>
      </c>
      <c r="D49" s="71">
        <f>IF(D4&gt;7.5%, 1.5, 1.35)</f>
        <v/>
      </c>
      <c r="E49" s="71">
        <f>IF(E4&gt;7.5%, 1.5, 1.35)</f>
        <v/>
      </c>
      <c r="F49" s="71">
        <f>IF(F4&gt;7.5%, 1.5, 1.35)</f>
        <v/>
      </c>
      <c r="G49" s="71">
        <f>IF(G4&gt;7.5%, 1.5, 1.35)</f>
        <v/>
      </c>
      <c r="H49" s="71">
        <f>IF(H4&gt;7.5%, 1.5, 1.35)</f>
        <v/>
      </c>
      <c r="I49" s="71">
        <f>IF(I4&gt;7.5%, 1.5, 1.35)</f>
        <v/>
      </c>
      <c r="J49" s="71">
        <f>IF(J4&gt;7.5%, 1.5, 1.35)</f>
        <v/>
      </c>
      <c r="K49" s="71">
        <f>IF(J4&gt;7.5%, 1.5, 1.35)</f>
        <v/>
      </c>
      <c r="L49" s="71">
        <f>IF(L4&gt;7.5%, 1.5, 1.35)</f>
        <v/>
      </c>
      <c r="M49" s="71">
        <f>IF(M4&gt;7.5%, 1.5, 1.35)</f>
        <v/>
      </c>
      <c r="N49" s="71">
        <f>IF(N4&gt;7.5%, 1.5, 1.35)</f>
        <v/>
      </c>
      <c r="O49" s="71">
        <f>IF(O4&gt;7.5%, 1.5, 1.35)</f>
        <v/>
      </c>
      <c r="P49" s="71">
        <f>IF(P4&gt;7.5%, 1.5, 1.35)</f>
        <v/>
      </c>
      <c r="Q49" s="71">
        <f>IF(Q4&gt;7.5%, 1.5, 1.35)</f>
        <v/>
      </c>
      <c r="R49" s="71">
        <f>IF(R4&gt;7.5%, 1.5, 1.35)</f>
        <v/>
      </c>
      <c r="S49" s="71">
        <f>IF(S4&gt;7.5%, 1.5, 1.35)</f>
        <v/>
      </c>
      <c r="T49" s="71">
        <f>IF(T4&gt;7.5%, 1.5, 1.35)</f>
        <v/>
      </c>
      <c r="U49" s="71">
        <f>IF(U4&gt;7.5%, 1.5, 1.35)</f>
        <v/>
      </c>
      <c r="V49" s="71">
        <f>IF(V4&gt;7.5%, 1.5, 1.35)</f>
        <v/>
      </c>
      <c r="W49" s="71">
        <f>IF(W4&gt;7.5%, 1.5, 1.35)</f>
        <v/>
      </c>
      <c r="X49" s="71">
        <f>IF(X4&gt;7.5%, 1.5, 1.35)</f>
        <v/>
      </c>
      <c r="Y49" s="71">
        <f>IF(Y4&gt;7.5%, 1.5, 1.35)</f>
        <v/>
      </c>
      <c r="Z49" s="71">
        <f>IF(Z4&gt;7.5%, 1.5, 1.35)</f>
        <v/>
      </c>
      <c r="AA49" s="71">
        <f>IF(AA4&gt;7.5%, 1.5, 1.35)</f>
        <v/>
      </c>
      <c r="AB49" s="71">
        <f>IF(AB4&gt;7.5%, 1.5, 1.35)</f>
        <v/>
      </c>
      <c r="AC49" s="71">
        <f>IF(AC4&gt;7.5%, 1.5, 1.35)</f>
        <v/>
      </c>
      <c r="AD49" s="71">
        <f>IF(AD4&gt;7.5%, 1.5, 1.35)</f>
        <v/>
      </c>
      <c r="AE49" s="71">
        <f>IF(AE4&gt;7.5%, 1.5, 1.35)</f>
        <v/>
      </c>
      <c r="AF49" s="71">
        <f>IF(AF4&gt;7.5%, 1.5, 1.35)</f>
        <v/>
      </c>
      <c r="AG49" s="71">
        <f>IF(AG4&gt;7.5%, 1.5, 1.35)</f>
        <v/>
      </c>
      <c r="AH49" s="71">
        <f>IF(AH4&gt;7.5%, 1.5, 1.35)</f>
        <v/>
      </c>
      <c r="AI49" s="71">
        <f>IF(AI4&gt;7.5%, 1.5, 1.35)</f>
        <v/>
      </c>
      <c r="AJ49" s="71">
        <f>IF(AJ4&gt;7.5%, 1.5, 1.35)</f>
        <v/>
      </c>
      <c r="AK49" s="71">
        <f>IF(AK4&gt;7.5%, 1.5, 1.35)</f>
        <v/>
      </c>
      <c r="AL49" s="71">
        <f>IF(AL4&gt;7.5%, 1.5, 1.35)</f>
        <v/>
      </c>
      <c r="AM49" s="71">
        <f>IF(AM4&gt;7.5%, 1.5, 1.35)</f>
        <v/>
      </c>
      <c r="AN49" s="71">
        <f>IF(AN4&gt;7.5%, 1.5, 1.35)</f>
        <v/>
      </c>
      <c r="AO49" s="71">
        <f>IF(AO4&gt;7.5%, 1.5, 1.35)</f>
        <v/>
      </c>
      <c r="AP49" s="71">
        <f>IF(AP4&gt;7.5%, 1.5, 1.35)</f>
        <v/>
      </c>
      <c r="AQ49" s="71">
        <f>IF(AQ4&gt;7.5%, 1.5, 1.35)</f>
        <v/>
      </c>
      <c r="AR49" s="71">
        <f>IF(AR4&gt;7.5%, 1.5, 1.35)</f>
        <v/>
      </c>
      <c r="AS49" s="71">
        <f>IF(AS4&gt;7.5%, 1.5, 1.35)</f>
        <v/>
      </c>
      <c r="AT49" s="71">
        <f>IF(AT4&gt;7.5%, 1.5, 1.35)</f>
        <v/>
      </c>
      <c r="AU49" s="71">
        <f>IF(AU4&gt;7.5%, 1.5, 1.35)</f>
        <v/>
      </c>
      <c r="AV49" s="71">
        <f>IF(AV4&gt;7.5%, 1.5, 1.35)</f>
        <v/>
      </c>
      <c r="AW49" s="71">
        <f>IF(AW4&gt;7.5%, 1.5, 1.35)</f>
        <v/>
      </c>
      <c r="AX49" s="71">
        <f>IF(AX4&gt;7.5%, 1.5, 1.35)</f>
        <v/>
      </c>
      <c r="AY49" s="71">
        <f>IF(AY4&gt;7.5%, 1.5, 1.35)</f>
        <v/>
      </c>
      <c r="AZ49" s="71">
        <f>IF(AZ4&gt;7.5%, 1.5, 1.35)</f>
        <v/>
      </c>
      <c r="BA49" s="71">
        <f>IF(BA4&gt;7.5%, 1.5, 1.35)</f>
        <v/>
      </c>
      <c r="BB49" s="71">
        <f>IF(BB4&gt;7.5%, 1.5, 1.35)</f>
        <v/>
      </c>
      <c r="BC49" s="71">
        <f>IF(BC4&gt;7.5%, 1.5, 1.35)</f>
        <v/>
      </c>
      <c r="BD49" s="71">
        <f>IF(BD4&gt;7.5%, 1.5, 1.35)</f>
        <v/>
      </c>
      <c r="BE49" s="71">
        <f>IF(BE4&gt;7.5%, 1.5, 1.35)</f>
        <v/>
      </c>
      <c r="BF49" s="71">
        <f>IF(BF4&gt;7.5%, 1.5, 1.35)</f>
        <v/>
      </c>
      <c r="BG49" s="71">
        <f>IF(BG4&gt;7.5%, 1.5, 1.35)</f>
        <v/>
      </c>
      <c r="BH49" s="71">
        <f>IF(BH4&gt;7.5%, 1.5, 1.35)</f>
        <v/>
      </c>
      <c r="BI49" s="71">
        <f>IF(BI4&gt;7.5%, 1.5, 1.35)</f>
        <v/>
      </c>
      <c r="BJ49" s="71">
        <f>IF(BJ4&gt;7.5%, 1.5, 1.35)</f>
        <v/>
      </c>
    </row>
    <row r="50" ht="15.75" customHeight="1">
      <c r="A50" s="71" t="inlineStr">
        <is>
          <t>Saldo Insoluto</t>
        </is>
      </c>
      <c r="F50" s="119" t="n">
        <v>30000000</v>
      </c>
      <c r="H50" s="119" t="n">
        <v>43000000</v>
      </c>
      <c r="I50" s="119" t="n">
        <v>46000000</v>
      </c>
      <c r="J50" s="119" t="n">
        <v>52000000</v>
      </c>
      <c r="K50" s="119" t="n">
        <v>52000000</v>
      </c>
    </row>
    <row r="51" ht="15.75" customHeight="1">
      <c r="A51" s="71" t="inlineStr">
        <is>
          <t>Monto cedido</t>
        </is>
      </c>
      <c r="E51" s="119" t="n">
        <v>30148888.33712269</v>
      </c>
      <c r="F51" s="119" t="n">
        <v>40824371.3165543</v>
      </c>
      <c r="H51" s="119" t="n">
        <v>57893036.9350911</v>
      </c>
      <c r="I51" s="119" t="n">
        <v>69131448.67403087</v>
      </c>
      <c r="J51" s="119" t="n">
        <v>76881537.15000001</v>
      </c>
      <c r="K51" s="120" t="n">
        <v>75229006.18546279</v>
      </c>
    </row>
    <row r="52" ht="15.75" customHeight="1">
      <c r="A52" s="71" t="inlineStr">
        <is>
          <t>Aforo cedido</t>
        </is>
      </c>
      <c r="E52" s="71" t="n">
        <v>1.43</v>
      </c>
      <c r="F52" s="120">
        <f>F51/F50</f>
        <v/>
      </c>
      <c r="H52" s="120" t="n">
        <v>1.3543</v>
      </c>
      <c r="I52" s="120">
        <f>I51/I50</f>
        <v/>
      </c>
      <c r="J52" s="120">
        <f>J51/J50</f>
        <v/>
      </c>
      <c r="K52" s="120">
        <f>K51/K50</f>
        <v/>
      </c>
      <c r="M52" s="121" t="n">
        <v>1.4324</v>
      </c>
      <c r="N52" s="122" t="n">
        <v>1.4256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BJ4">
    <cfRule type="expression" priority="1" dxfId="0">
      <formula>AND(B4&lt;&gt;"", B4&lt;B5)</formula>
    </cfRule>
    <cfRule type="expression" priority="2" dxfId="1">
      <formula>AND(B4&lt;&gt;"", B4&gt;B5)</formula>
    </cfRule>
  </conditionalFormatting>
  <conditionalFormatting sqref="B10:BJ10">
    <cfRule type="expression" priority="3" dxfId="0">
      <formula>AND(B10&lt;&gt;"", B10&lt;B11)</formula>
    </cfRule>
    <cfRule type="expression" priority="4" dxfId="1">
      <formula>AND(B10&lt;&gt;"", B10&gt;B11)</formula>
    </cfRule>
  </conditionalFormatting>
  <conditionalFormatting sqref="B16:BJ16">
    <cfRule type="expression" priority="5" dxfId="0">
      <formula>AND(B16&lt;&gt;"", B16&lt;B17)</formula>
    </cfRule>
    <cfRule type="expression" priority="6" dxfId="1">
      <formula>AND(B16&lt;&gt;"", B16&gt;B17)</formula>
    </cfRule>
  </conditionalFormatting>
  <conditionalFormatting sqref="B22:BJ22">
    <cfRule type="expression" priority="7" dxfId="1">
      <formula>AND(B22&lt;&gt;"", B22&lt;B23)</formula>
    </cfRule>
    <cfRule type="expression" priority="8" dxfId="0">
      <formula>AND(B22&lt;&gt;"", B22&gt;B23)</formula>
    </cfRule>
  </conditionalFormatting>
  <conditionalFormatting sqref="B27:BJ27">
    <cfRule type="expression" priority="9" dxfId="0">
      <formula>AND(B27&lt;&gt;"", B27&lt;B28)</formula>
    </cfRule>
    <cfRule type="expression" priority="10" dxfId="1">
      <formula>AND(B27&lt;&gt;"", B27&gt;B28)</formula>
    </cfRule>
  </conditionalFormatting>
  <conditionalFormatting sqref="B32:BJ32">
    <cfRule type="expression" priority="11" dxfId="0">
      <formula>AND(B32&lt;&gt;"", B32&lt;B33)</formula>
    </cfRule>
    <cfRule type="expression" priority="12" dxfId="1">
      <formula>AND(B32&lt;&gt;"", B32&gt;B33)</formula>
    </cfRule>
  </conditionalFormatting>
  <conditionalFormatting sqref="B38:BJ38">
    <cfRule type="expression" priority="13" dxfId="1">
      <formula>AND(B38&lt;&gt;"", B38&lt;B39)</formula>
    </cfRule>
    <cfRule type="expression" priority="14" dxfId="0">
      <formula>AND(B38&lt;&gt;"", B38&gt;B39)</formula>
    </cfRule>
  </conditionalFormatting>
  <conditionalFormatting sqref="B44:BJ44">
    <cfRule type="expression" priority="15" dxfId="1">
      <formula>AND(B44&lt;&gt;"", B44&lt;B45)</formula>
    </cfRule>
    <cfRule type="expression" priority="16" dxfId="0">
      <formula>AND(B44&lt;&gt;"", B44&gt;B45)</formula>
    </cfRule>
  </conditionalFormatting>
  <pageMargins left="0.7" right="0.7" top="0.75" bottom="0.75" header="0" footer="0"/>
  <pageSetup orientation="landscape" scale="100" fitToHeight="1" fitToWidth="1" firstPageNumber="1" useFirstPageNumber="1" horizontalDpi="4294967295" verticalDpi="4294967295" copies="1"/>
</worksheet>
</file>

<file path=xl/worksheets/sheet6.xml><?xml version="1.0" encoding="utf-8"?>
<worksheet xmlns="http://schemas.openxmlformats.org/spreadsheetml/2006/main">
  <sheetPr>
    <outlinePr summaryBelow="1" summaryRight="1"/>
    <pageSetUpPr/>
  </sheetPr>
  <dimension ref="A1:CI79"/>
  <sheetViews>
    <sheetView zoomScale="100" zoomScaleNormal="100" workbookViewId="0">
      <pane xSplit="1" ySplit="1" topLeftCell="B2" activePane="bottomRight" state="frozen"/>
      <selection pane="bottomRight" activeCell="A6" sqref="A6"/>
    </sheetView>
  </sheetViews>
  <sheetFormatPr baseColWidth="8" defaultColWidth="12.6640625" defaultRowHeight="15" outlineLevelRow="0" outlineLevelCol="0"/>
  <cols>
    <col width="50.83203125" customWidth="1" min="1" max="1"/>
    <col width="15" customWidth="1" min="2" max="2"/>
    <col width="13.5" customWidth="1" min="3" max="11"/>
    <col width="15.6640625" customWidth="1" min="12" max="17"/>
    <col width="15.83203125" customWidth="1" min="18" max="18"/>
    <col width="15.6640625" customWidth="1" min="19" max="19"/>
    <col width="17.33203125" customWidth="1" min="20" max="20"/>
    <col width="15.6640625" customWidth="1" min="21" max="21"/>
    <col width="18.83203125" customWidth="1" min="22" max="24"/>
    <col width="17" customWidth="1" min="25" max="25"/>
    <col width="15.6640625" customWidth="1" min="26" max="26"/>
    <col width="13.6640625" customWidth="1" min="27" max="27"/>
    <col width="14.6640625" customWidth="1" min="28" max="28"/>
    <col width="42"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42"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s>
  <sheetData>
    <row r="1" ht="16" customHeight="1">
      <c r="A1" s="123" t="inlineStr">
        <is>
          <t>Estado de resultados</t>
        </is>
      </c>
      <c r="B1" s="124" t="n">
        <v>44713</v>
      </c>
      <c r="C1" s="124" t="n">
        <v>44805</v>
      </c>
      <c r="D1" s="124" t="n">
        <v>44896</v>
      </c>
      <c r="E1" s="124" t="n">
        <v>44986</v>
      </c>
      <c r="F1" s="124" t="n">
        <v>45078</v>
      </c>
      <c r="G1" s="124" t="n">
        <v>45170</v>
      </c>
      <c r="H1" s="124" t="n">
        <v>45261</v>
      </c>
      <c r="I1" s="124" t="n">
        <v>45352</v>
      </c>
      <c r="J1" s="124" t="n">
        <v>45444</v>
      </c>
      <c r="K1" s="124" t="n">
        <v>45536</v>
      </c>
      <c r="L1" s="124" t="n">
        <v>45627</v>
      </c>
      <c r="M1" s="124" t="n">
        <v>45658</v>
      </c>
      <c r="N1" s="124" t="n">
        <v>45689</v>
      </c>
      <c r="O1" s="124" t="n">
        <v>45717</v>
      </c>
      <c r="P1" s="124" t="n">
        <v>45748</v>
      </c>
      <c r="Q1" s="124" t="n">
        <v>45778</v>
      </c>
      <c r="R1" s="124" t="n">
        <v>45809</v>
      </c>
      <c r="S1" s="124" t="n">
        <v>45839</v>
      </c>
      <c r="T1" s="124" t="n">
        <v>45870</v>
      </c>
      <c r="U1" s="125" t="n">
        <v>45901</v>
      </c>
      <c r="V1" s="125" t="n">
        <v>45931</v>
      </c>
      <c r="W1" s="125" t="n">
        <v>45962</v>
      </c>
      <c r="X1" s="125" t="n">
        <v>45992</v>
      </c>
      <c r="Y1" s="125" t="n">
        <v>46023</v>
      </c>
      <c r="Z1" s="125" t="n">
        <v>46054</v>
      </c>
      <c r="AA1" t="inlineStr">
        <is>
          <t>feb-26 restado</t>
        </is>
      </c>
      <c r="AD1" s="251" t="inlineStr">
        <is>
          <t>ER - Analisis vertical (% Comisiones cobradas)</t>
        </is>
      </c>
      <c r="AE1" s="251" t="n"/>
      <c r="AF1" s="251" t="n"/>
      <c r="AG1" s="251" t="n"/>
      <c r="AH1" s="251" t="n"/>
      <c r="AI1" s="251" t="n"/>
      <c r="AJ1" s="251" t="n"/>
      <c r="AK1" s="251" t="n"/>
      <c r="AL1" s="251" t="n"/>
      <c r="AM1" s="251" t="n"/>
      <c r="AN1" s="251" t="n"/>
      <c r="AO1" s="251" t="n"/>
      <c r="AP1" s="251" t="n"/>
      <c r="AQ1" s="251" t="n"/>
      <c r="AR1" s="251" t="n"/>
      <c r="AS1" s="251" t="n"/>
      <c r="AT1" s="251" t="n"/>
      <c r="AU1" s="251" t="n"/>
      <c r="AV1" s="251" t="n"/>
      <c r="AW1" s="251" t="n"/>
      <c r="AX1" s="251" t="n"/>
      <c r="AY1" s="251" t="n"/>
      <c r="AZ1" s="251" t="n"/>
      <c r="BA1" s="251" t="n"/>
      <c r="BB1" s="251" t="n"/>
      <c r="BC1" s="251" t="n"/>
      <c r="BD1" s="251" t="n"/>
      <c r="BE1" s="251" t="n"/>
      <c r="BG1" s="258" t="inlineStr">
        <is>
          <t>ER - Analisis horizontal (% vs periodo anterior)</t>
        </is>
      </c>
      <c r="BH1" s="258" t="n"/>
      <c r="BI1" s="258" t="n"/>
      <c r="BJ1" s="258" t="n"/>
      <c r="BK1" s="258" t="n"/>
      <c r="BL1" s="258" t="n"/>
      <c r="BM1" s="258" t="n"/>
      <c r="BN1" s="258" t="n"/>
      <c r="BO1" s="258" t="n"/>
      <c r="BP1" s="258" t="n"/>
      <c r="BQ1" s="258" t="n"/>
      <c r="BR1" s="258" t="n"/>
      <c r="BS1" s="258" t="n"/>
      <c r="BT1" s="258" t="n"/>
      <c r="BU1" s="258" t="n"/>
      <c r="BV1" s="258" t="n"/>
      <c r="BW1" s="258" t="n"/>
      <c r="BX1" s="258" t="n"/>
      <c r="BY1" s="258" t="n"/>
      <c r="BZ1" s="258" t="n"/>
      <c r="CA1" s="258" t="n"/>
      <c r="CB1" s="258" t="n"/>
      <c r="CC1" s="258" t="n"/>
      <c r="CD1" s="258" t="n"/>
      <c r="CE1" s="258" t="n"/>
      <c r="CF1" s="258" t="n"/>
      <c r="CG1" s="258" t="n"/>
      <c r="CH1" s="258" t="n"/>
    </row>
    <row r="2" ht="16" customHeight="1">
      <c r="A2" s="126" t="inlineStr">
        <is>
          <t>Comisiones cobradas</t>
        </is>
      </c>
      <c r="B2" s="127" t="n">
        <v>3031000</v>
      </c>
      <c r="C2" s="127" t="n">
        <v>5147000</v>
      </c>
      <c r="D2" s="127" t="n">
        <v>7230000</v>
      </c>
      <c r="E2" s="127" t="n">
        <v>2199000</v>
      </c>
      <c r="F2" s="127" t="n">
        <v>2974000</v>
      </c>
      <c r="G2" s="127" t="n">
        <v>4870000</v>
      </c>
      <c r="H2" s="127" t="n">
        <v>7076000</v>
      </c>
      <c r="I2" s="127" t="n">
        <v>2519000</v>
      </c>
      <c r="J2" s="127" t="n">
        <v>5696000</v>
      </c>
      <c r="K2" s="127" t="n">
        <v>8874000</v>
      </c>
      <c r="L2" s="127" t="n">
        <v>12252000</v>
      </c>
      <c r="M2" s="127" t="n">
        <v>998000</v>
      </c>
      <c r="N2" s="90">
        <f>1957000-M2</f>
        <v/>
      </c>
      <c r="O2" s="127">
        <f>3385000-SUM(M2:N2)</f>
        <v/>
      </c>
      <c r="P2" s="127" t="n">
        <v>1908286</v>
      </c>
      <c r="Q2" s="127" t="n">
        <v>1343719.47</v>
      </c>
      <c r="R2" s="127">
        <f>8202000-SUM($M2:Q2)</f>
        <v/>
      </c>
      <c r="S2" s="127" t="n">
        <v>1214533.79</v>
      </c>
      <c r="T2" s="127" t="n">
        <v>1552749.03</v>
      </c>
      <c r="U2" s="127">
        <f>12705000-SUM($M2:T2)</f>
        <v/>
      </c>
      <c r="V2" s="128" t="n">
        <v>2341515.16</v>
      </c>
      <c r="W2" s="128" t="n">
        <v>1066373.38</v>
      </c>
      <c r="X2" s="128" t="n">
        <v>1580714.28</v>
      </c>
      <c r="Y2" s="128" t="n">
        <v>1053000</v>
      </c>
      <c r="Z2" s="128" t="n">
        <v>2144000</v>
      </c>
      <c r="AA2" s="129">
        <f>Z2-Y2</f>
        <v/>
      </c>
      <c r="AD2" s="252" t="inlineStr">
        <is>
          <t>Comisiones cobradas</t>
        </is>
      </c>
      <c r="AE2" s="253">
        <f>IFERROR(B2/B$2,0)</f>
        <v/>
      </c>
      <c r="AF2" s="253">
        <f>IFERROR(C2/C$2,0)</f>
        <v/>
      </c>
      <c r="AG2" s="253">
        <f>IFERROR(D2/D$2,0)</f>
        <v/>
      </c>
      <c r="AH2" s="253">
        <f>IFERROR(E2/E$2,0)</f>
        <v/>
      </c>
      <c r="AI2" s="253">
        <f>IFERROR(F2/F$2,0)</f>
        <v/>
      </c>
      <c r="AJ2" s="253">
        <f>IFERROR(G2/G$2,0)</f>
        <v/>
      </c>
      <c r="AK2" s="253">
        <f>IFERROR(H2/H$2,0)</f>
        <v/>
      </c>
      <c r="AL2" s="253">
        <f>IFERROR(I2/I$2,0)</f>
        <v/>
      </c>
      <c r="AM2" s="253">
        <f>IFERROR(J2/J$2,0)</f>
        <v/>
      </c>
      <c r="AN2" s="253">
        <f>IFERROR(K2/K$2,0)</f>
        <v/>
      </c>
      <c r="AO2" s="253">
        <f>IFERROR(L2/L$2,0)</f>
        <v/>
      </c>
      <c r="AP2" s="253">
        <f>IFERROR(M2/M$2,0)</f>
        <v/>
      </c>
      <c r="AQ2" s="253">
        <f>IFERROR(N2/N$2,0)</f>
        <v/>
      </c>
      <c r="AR2" s="253">
        <f>IFERROR(O2/O$2,0)</f>
        <v/>
      </c>
      <c r="AS2" s="253">
        <f>IFERROR(P2/P$2,0)</f>
        <v/>
      </c>
      <c r="AT2" s="253">
        <f>IFERROR(Q2/Q$2,0)</f>
        <v/>
      </c>
      <c r="AU2" s="253">
        <f>IFERROR(R2/R$2,0)</f>
        <v/>
      </c>
      <c r="AV2" s="253">
        <f>IFERROR(S2/S$2,0)</f>
        <v/>
      </c>
      <c r="AW2" s="253">
        <f>IFERROR(T2/T$2,0)</f>
        <v/>
      </c>
      <c r="AX2" s="253">
        <f>IFERROR(U2/U$2,0)</f>
        <v/>
      </c>
      <c r="AY2" s="253">
        <f>IFERROR(V2/V$2,0)</f>
        <v/>
      </c>
      <c r="AZ2" s="253">
        <f>IFERROR(W2/W$2,0)</f>
        <v/>
      </c>
      <c r="BA2" s="253">
        <f>IFERROR(X2/X$2,0)</f>
        <v/>
      </c>
      <c r="BB2" s="253">
        <f>IFERROR(Y2/Y$2,0)</f>
        <v/>
      </c>
      <c r="BC2" s="253">
        <f>IFERROR(Z2/Z$2,0)</f>
        <v/>
      </c>
      <c r="BD2" s="253">
        <f>IFERROR(AA2/AA$2,0)</f>
        <v/>
      </c>
      <c r="BE2" s="253">
        <f>IFERROR(AB2/AB$2,0)</f>
        <v/>
      </c>
      <c r="BG2" s="252" t="inlineStr">
        <is>
          <t>Comisiones cobradas</t>
        </is>
      </c>
      <c r="BH2" s="253" t="inlineStr"/>
      <c r="BI2" s="253">
        <f>IFERROR(C2/B2-1,0)</f>
        <v/>
      </c>
      <c r="BJ2" s="253">
        <f>IFERROR(D2/C2-1,0)</f>
        <v/>
      </c>
      <c r="BK2" s="253">
        <f>IFERROR(E2/D2-1,0)</f>
        <v/>
      </c>
      <c r="BL2" s="253">
        <f>IFERROR(F2/E2-1,0)</f>
        <v/>
      </c>
      <c r="BM2" s="253">
        <f>IFERROR(G2/F2-1,0)</f>
        <v/>
      </c>
      <c r="BN2" s="253">
        <f>IFERROR(H2/G2-1,0)</f>
        <v/>
      </c>
      <c r="BO2" s="253">
        <f>IFERROR(I2/H2-1,0)</f>
        <v/>
      </c>
      <c r="BP2" s="253">
        <f>IFERROR(J2/I2-1,0)</f>
        <v/>
      </c>
      <c r="BQ2" s="253">
        <f>IFERROR(K2/J2-1,0)</f>
        <v/>
      </c>
      <c r="BR2" s="253">
        <f>IFERROR(L2/K2-1,0)</f>
        <v/>
      </c>
      <c r="BS2" s="253">
        <f>IFERROR(M2/L2-1,0)</f>
        <v/>
      </c>
      <c r="BT2" s="253">
        <f>IFERROR(N2/M2-1,0)</f>
        <v/>
      </c>
      <c r="BU2" s="253">
        <f>IFERROR(O2/N2-1,0)</f>
        <v/>
      </c>
      <c r="BV2" s="253">
        <f>IFERROR(P2/O2-1,0)</f>
        <v/>
      </c>
      <c r="BW2" s="253">
        <f>IFERROR(Q2/P2-1,0)</f>
        <v/>
      </c>
      <c r="BX2" s="253">
        <f>IFERROR(R2/Q2-1,0)</f>
        <v/>
      </c>
      <c r="BY2" s="253">
        <f>IFERROR(S2/R2-1,0)</f>
        <v/>
      </c>
      <c r="BZ2" s="253">
        <f>IFERROR(T2/S2-1,0)</f>
        <v/>
      </c>
      <c r="CA2" s="253">
        <f>IFERROR(U2/T2-1,0)</f>
        <v/>
      </c>
      <c r="CB2" s="253">
        <f>IFERROR(V2/U2-1,0)</f>
        <v/>
      </c>
      <c r="CC2" s="253">
        <f>IFERROR(W2/V2-1,0)</f>
        <v/>
      </c>
      <c r="CD2" s="253">
        <f>IFERROR(X2/W2-1,0)</f>
        <v/>
      </c>
      <c r="CE2" s="253">
        <f>IFERROR(Y2/X2-1,0)</f>
        <v/>
      </c>
      <c r="CF2" s="253">
        <f>IFERROR(Z2/Y2-1,0)</f>
        <v/>
      </c>
      <c r="CG2" s="253">
        <f>IFERROR(AA2/Z2-1,0)</f>
        <v/>
      </c>
      <c r="CH2" s="253">
        <f>IFERROR(AB2/AA2-1,0)</f>
        <v/>
      </c>
    </row>
    <row r="3" ht="16" customHeight="1">
      <c r="A3" s="126" t="inlineStr">
        <is>
          <t>Comisiones pagadas</t>
        </is>
      </c>
      <c r="B3" s="127" t="n">
        <v>-112000</v>
      </c>
      <c r="C3" s="127" t="n">
        <v>-247000</v>
      </c>
      <c r="D3" s="127" t="n">
        <v>-322000</v>
      </c>
      <c r="E3" s="127" t="n">
        <v>-111000</v>
      </c>
      <c r="F3" s="127" t="n">
        <v>-194000</v>
      </c>
      <c r="G3" s="127" t="n">
        <v>-346000</v>
      </c>
      <c r="H3" s="127" t="n">
        <v>-515000</v>
      </c>
      <c r="I3" s="127" t="n">
        <v>-612000</v>
      </c>
      <c r="J3" s="127" t="n">
        <v>-1574000</v>
      </c>
      <c r="K3" s="127" t="n">
        <v>-2635000</v>
      </c>
      <c r="L3" s="127" t="n">
        <v>-3675000</v>
      </c>
      <c r="M3" s="127" t="n">
        <v>-415000</v>
      </c>
      <c r="N3" s="90">
        <f>-725000-M3</f>
        <v/>
      </c>
      <c r="O3" s="127">
        <f>-1056000-SUM(M3:N3)</f>
        <v/>
      </c>
      <c r="P3" s="127" t="n">
        <v>-195731</v>
      </c>
      <c r="Q3" s="127" t="n">
        <v>-254716.28</v>
      </c>
      <c r="R3" s="127">
        <f>-1627000-SUM(M3:Q3)</f>
        <v/>
      </c>
      <c r="S3" s="127" t="n">
        <v>-245747.17</v>
      </c>
      <c r="T3" s="127" t="n">
        <v>-109983.18</v>
      </c>
      <c r="U3" s="127">
        <f>-(SUM($M3:T3)+2407000)</f>
        <v/>
      </c>
      <c r="V3" s="128" t="n">
        <v>-239566.18</v>
      </c>
      <c r="W3" s="128" t="n">
        <v>-96599.85000000001</v>
      </c>
      <c r="X3" s="128" t="n">
        <v>-181499.01</v>
      </c>
      <c r="Y3" s="128" t="n">
        <v>-208000</v>
      </c>
      <c r="Z3" s="128" t="n">
        <v>-388000</v>
      </c>
      <c r="AA3" s="129">
        <f>Z3-Y3</f>
        <v/>
      </c>
      <c r="AD3" s="254" t="inlineStr">
        <is>
          <t>Comisiones pagadas</t>
        </is>
      </c>
      <c r="AE3" s="255">
        <f>IFERROR(B3/B$2,0)</f>
        <v/>
      </c>
      <c r="AF3" s="255">
        <f>IFERROR(C3/C$2,0)</f>
        <v/>
      </c>
      <c r="AG3" s="255">
        <f>IFERROR(D3/D$2,0)</f>
        <v/>
      </c>
      <c r="AH3" s="255">
        <f>IFERROR(E3/E$2,0)</f>
        <v/>
      </c>
      <c r="AI3" s="255">
        <f>IFERROR(F3/F$2,0)</f>
        <v/>
      </c>
      <c r="AJ3" s="255">
        <f>IFERROR(G3/G$2,0)</f>
        <v/>
      </c>
      <c r="AK3" s="255">
        <f>IFERROR(H3/H$2,0)</f>
        <v/>
      </c>
      <c r="AL3" s="255">
        <f>IFERROR(I3/I$2,0)</f>
        <v/>
      </c>
      <c r="AM3" s="255">
        <f>IFERROR(J3/J$2,0)</f>
        <v/>
      </c>
      <c r="AN3" s="255">
        <f>IFERROR(K3/K$2,0)</f>
        <v/>
      </c>
      <c r="AO3" s="255">
        <f>IFERROR(L3/L$2,0)</f>
        <v/>
      </c>
      <c r="AP3" s="255">
        <f>IFERROR(M3/M$2,0)</f>
        <v/>
      </c>
      <c r="AQ3" s="255">
        <f>IFERROR(N3/N$2,0)</f>
        <v/>
      </c>
      <c r="AR3" s="255">
        <f>IFERROR(O3/O$2,0)</f>
        <v/>
      </c>
      <c r="AS3" s="255">
        <f>IFERROR(P3/P$2,0)</f>
        <v/>
      </c>
      <c r="AT3" s="255">
        <f>IFERROR(Q3/Q$2,0)</f>
        <v/>
      </c>
      <c r="AU3" s="255">
        <f>IFERROR(R3/R$2,0)</f>
        <v/>
      </c>
      <c r="AV3" s="255">
        <f>IFERROR(S3/S$2,0)</f>
        <v/>
      </c>
      <c r="AW3" s="255">
        <f>IFERROR(T3/T$2,0)</f>
        <v/>
      </c>
      <c r="AX3" s="255">
        <f>IFERROR(U3/U$2,0)</f>
        <v/>
      </c>
      <c r="AY3" s="255">
        <f>IFERROR(V3/V$2,0)</f>
        <v/>
      </c>
      <c r="AZ3" s="255">
        <f>IFERROR(W3/W$2,0)</f>
        <v/>
      </c>
      <c r="BA3" s="255">
        <f>IFERROR(X3/X$2,0)</f>
        <v/>
      </c>
      <c r="BB3" s="255">
        <f>IFERROR(Y3/Y$2,0)</f>
        <v/>
      </c>
      <c r="BC3" s="255">
        <f>IFERROR(Z3/Z$2,0)</f>
        <v/>
      </c>
      <c r="BD3" s="255">
        <f>IFERROR(AA3/AA$2,0)</f>
        <v/>
      </c>
      <c r="BE3" s="255">
        <f>IFERROR(AB3/AB$2,0)</f>
        <v/>
      </c>
      <c r="BG3" s="254" t="inlineStr">
        <is>
          <t>Comisiones pagadas</t>
        </is>
      </c>
      <c r="BH3" s="255" t="inlineStr"/>
      <c r="BI3" s="255">
        <f>IFERROR(C3/B3-1,0)</f>
        <v/>
      </c>
      <c r="BJ3" s="255">
        <f>IFERROR(D3/C3-1,0)</f>
        <v/>
      </c>
      <c r="BK3" s="255">
        <f>IFERROR(E3/D3-1,0)</f>
        <v/>
      </c>
      <c r="BL3" s="255">
        <f>IFERROR(F3/E3-1,0)</f>
        <v/>
      </c>
      <c r="BM3" s="255">
        <f>IFERROR(G3/F3-1,0)</f>
        <v/>
      </c>
      <c r="BN3" s="255">
        <f>IFERROR(H3/G3-1,0)</f>
        <v/>
      </c>
      <c r="BO3" s="255">
        <f>IFERROR(I3/H3-1,0)</f>
        <v/>
      </c>
      <c r="BP3" s="255">
        <f>IFERROR(J3/I3-1,0)</f>
        <v/>
      </c>
      <c r="BQ3" s="255">
        <f>IFERROR(K3/J3-1,0)</f>
        <v/>
      </c>
      <c r="BR3" s="255">
        <f>IFERROR(L3/K3-1,0)</f>
        <v/>
      </c>
      <c r="BS3" s="255">
        <f>IFERROR(M3/L3-1,0)</f>
        <v/>
      </c>
      <c r="BT3" s="255">
        <f>IFERROR(N3/M3-1,0)</f>
        <v/>
      </c>
      <c r="BU3" s="255">
        <f>IFERROR(O3/N3-1,0)</f>
        <v/>
      </c>
      <c r="BV3" s="255">
        <f>IFERROR(P3/O3-1,0)</f>
        <v/>
      </c>
      <c r="BW3" s="255">
        <f>IFERROR(Q3/P3-1,0)</f>
        <v/>
      </c>
      <c r="BX3" s="255">
        <f>IFERROR(R3/Q3-1,0)</f>
        <v/>
      </c>
      <c r="BY3" s="255">
        <f>IFERROR(S3/R3-1,0)</f>
        <v/>
      </c>
      <c r="BZ3" s="255">
        <f>IFERROR(T3/S3-1,0)</f>
        <v/>
      </c>
      <c r="CA3" s="255">
        <f>IFERROR(U3/T3-1,0)</f>
        <v/>
      </c>
      <c r="CB3" s="255">
        <f>IFERROR(V3/U3-1,0)</f>
        <v/>
      </c>
      <c r="CC3" s="255">
        <f>IFERROR(W3/V3-1,0)</f>
        <v/>
      </c>
      <c r="CD3" s="255">
        <f>IFERROR(X3/W3-1,0)</f>
        <v/>
      </c>
      <c r="CE3" s="255">
        <f>IFERROR(Y3/X3-1,0)</f>
        <v/>
      </c>
      <c r="CF3" s="255">
        <f>IFERROR(Z3/Y3-1,0)</f>
        <v/>
      </c>
      <c r="CG3" s="255">
        <f>IFERROR(AA3/Z3-1,0)</f>
        <v/>
      </c>
      <c r="CH3" s="255">
        <f>IFERROR(AB3/AA3-1,0)</f>
        <v/>
      </c>
    </row>
    <row r="4" ht="16" customHeight="1">
      <c r="A4" s="130" t="inlineStr">
        <is>
          <t>Pagadas vs Cobradas</t>
        </is>
      </c>
      <c r="B4" s="131">
        <f>-B3/B2</f>
        <v/>
      </c>
      <c r="C4" s="131">
        <f>-C3/C2</f>
        <v/>
      </c>
      <c r="D4" s="131">
        <f>-D3/D2</f>
        <v/>
      </c>
      <c r="E4" s="131">
        <f>-E3/E2</f>
        <v/>
      </c>
      <c r="F4" s="131">
        <f>-F3/F2</f>
        <v/>
      </c>
      <c r="G4" s="131">
        <f>-G3/G2</f>
        <v/>
      </c>
      <c r="H4" s="131">
        <f>-H3/H2</f>
        <v/>
      </c>
      <c r="I4" s="131">
        <f>-I3/I2</f>
        <v/>
      </c>
      <c r="J4" s="131">
        <f>-J3/J2</f>
        <v/>
      </c>
      <c r="K4" s="131">
        <f>-K3/K2</f>
        <v/>
      </c>
      <c r="L4" s="131">
        <f>-L3/L2</f>
        <v/>
      </c>
      <c r="M4" s="131">
        <f>-M3/M2</f>
        <v/>
      </c>
      <c r="N4" s="131">
        <f>-N3/N2</f>
        <v/>
      </c>
      <c r="O4" s="131">
        <f>-O3/O2</f>
        <v/>
      </c>
      <c r="P4" s="131">
        <f>-P3/P2</f>
        <v/>
      </c>
      <c r="Q4" s="131">
        <f>-Q3/Q2</f>
        <v/>
      </c>
      <c r="R4" s="131">
        <f>-R3/R2</f>
        <v/>
      </c>
      <c r="S4" s="131">
        <f>-S3/S2</f>
        <v/>
      </c>
      <c r="T4" s="131">
        <f>-T3/T2</f>
        <v/>
      </c>
      <c r="U4" s="131">
        <f>-U3/U2</f>
        <v/>
      </c>
      <c r="V4" s="131">
        <f>-V3/V2</f>
        <v/>
      </c>
      <c r="W4" s="131">
        <f>-W3/W2</f>
        <v/>
      </c>
      <c r="X4" s="131">
        <f>-X3/X2</f>
        <v/>
      </c>
      <c r="Y4" s="131">
        <f>-Y3/Y2</f>
        <v/>
      </c>
      <c r="Z4" s="131">
        <f>-Z3/Z2</f>
        <v/>
      </c>
      <c r="AA4" s="129">
        <f>Z4-Y4</f>
        <v/>
      </c>
      <c r="AD4" s="254" t="inlineStr">
        <is>
          <t>Pagadas vs Cobradas</t>
        </is>
      </c>
      <c r="AE4" s="255">
        <f>IFERROR(B4/B$2,0)</f>
        <v/>
      </c>
      <c r="AF4" s="255">
        <f>IFERROR(C4/C$2,0)</f>
        <v/>
      </c>
      <c r="AG4" s="255">
        <f>IFERROR(D4/D$2,0)</f>
        <v/>
      </c>
      <c r="AH4" s="255">
        <f>IFERROR(E4/E$2,0)</f>
        <v/>
      </c>
      <c r="AI4" s="255">
        <f>IFERROR(F4/F$2,0)</f>
        <v/>
      </c>
      <c r="AJ4" s="255">
        <f>IFERROR(G4/G$2,0)</f>
        <v/>
      </c>
      <c r="AK4" s="255">
        <f>IFERROR(H4/H$2,0)</f>
        <v/>
      </c>
      <c r="AL4" s="255">
        <f>IFERROR(I4/I$2,0)</f>
        <v/>
      </c>
      <c r="AM4" s="255">
        <f>IFERROR(J4/J$2,0)</f>
        <v/>
      </c>
      <c r="AN4" s="255">
        <f>IFERROR(K4/K$2,0)</f>
        <v/>
      </c>
      <c r="AO4" s="255">
        <f>IFERROR(L4/L$2,0)</f>
        <v/>
      </c>
      <c r="AP4" s="255">
        <f>IFERROR(M4/M$2,0)</f>
        <v/>
      </c>
      <c r="AQ4" s="255">
        <f>IFERROR(N4/N$2,0)</f>
        <v/>
      </c>
      <c r="AR4" s="255">
        <f>IFERROR(O4/O$2,0)</f>
        <v/>
      </c>
      <c r="AS4" s="255">
        <f>IFERROR(P4/P$2,0)</f>
        <v/>
      </c>
      <c r="AT4" s="255">
        <f>IFERROR(Q4/Q$2,0)</f>
        <v/>
      </c>
      <c r="AU4" s="255">
        <f>IFERROR(R4/R$2,0)</f>
        <v/>
      </c>
      <c r="AV4" s="255">
        <f>IFERROR(S4/S$2,0)</f>
        <v/>
      </c>
      <c r="AW4" s="255">
        <f>IFERROR(T4/T$2,0)</f>
        <v/>
      </c>
      <c r="AX4" s="255">
        <f>IFERROR(U4/U$2,0)</f>
        <v/>
      </c>
      <c r="AY4" s="255">
        <f>IFERROR(V4/V$2,0)</f>
        <v/>
      </c>
      <c r="AZ4" s="255">
        <f>IFERROR(W4/W$2,0)</f>
        <v/>
      </c>
      <c r="BA4" s="255">
        <f>IFERROR(X4/X$2,0)</f>
        <v/>
      </c>
      <c r="BB4" s="255">
        <f>IFERROR(Y4/Y$2,0)</f>
        <v/>
      </c>
      <c r="BC4" s="255">
        <f>IFERROR(Z4/Z$2,0)</f>
        <v/>
      </c>
      <c r="BD4" s="255">
        <f>IFERROR(AA4/AA$2,0)</f>
        <v/>
      </c>
      <c r="BE4" s="255">
        <f>IFERROR(AB4/AB$2,0)</f>
        <v/>
      </c>
      <c r="BG4" s="254" t="inlineStr">
        <is>
          <t>Pagadas vs Cobradas</t>
        </is>
      </c>
      <c r="BH4" s="255" t="inlineStr"/>
      <c r="BI4" s="255">
        <f>IFERROR(C4/B4-1,0)</f>
        <v/>
      </c>
      <c r="BJ4" s="255">
        <f>IFERROR(D4/C4-1,0)</f>
        <v/>
      </c>
      <c r="BK4" s="255">
        <f>IFERROR(E4/D4-1,0)</f>
        <v/>
      </c>
      <c r="BL4" s="255">
        <f>IFERROR(F4/E4-1,0)</f>
        <v/>
      </c>
      <c r="BM4" s="255">
        <f>IFERROR(G4/F4-1,0)</f>
        <v/>
      </c>
      <c r="BN4" s="255">
        <f>IFERROR(H4/G4-1,0)</f>
        <v/>
      </c>
      <c r="BO4" s="255">
        <f>IFERROR(I4/H4-1,0)</f>
        <v/>
      </c>
      <c r="BP4" s="255">
        <f>IFERROR(J4/I4-1,0)</f>
        <v/>
      </c>
      <c r="BQ4" s="255">
        <f>IFERROR(K4/J4-1,0)</f>
        <v/>
      </c>
      <c r="BR4" s="255">
        <f>IFERROR(L4/K4-1,0)</f>
        <v/>
      </c>
      <c r="BS4" s="255">
        <f>IFERROR(M4/L4-1,0)</f>
        <v/>
      </c>
      <c r="BT4" s="255">
        <f>IFERROR(N4/M4-1,0)</f>
        <v/>
      </c>
      <c r="BU4" s="255">
        <f>IFERROR(O4/N4-1,0)</f>
        <v/>
      </c>
      <c r="BV4" s="255">
        <f>IFERROR(P4/O4-1,0)</f>
        <v/>
      </c>
      <c r="BW4" s="255">
        <f>IFERROR(Q4/P4-1,0)</f>
        <v/>
      </c>
      <c r="BX4" s="255">
        <f>IFERROR(R4/Q4-1,0)</f>
        <v/>
      </c>
      <c r="BY4" s="255">
        <f>IFERROR(S4/R4-1,0)</f>
        <v/>
      </c>
      <c r="BZ4" s="255">
        <f>IFERROR(T4/S4-1,0)</f>
        <v/>
      </c>
      <c r="CA4" s="255">
        <f>IFERROR(U4/T4-1,0)</f>
        <v/>
      </c>
      <c r="CB4" s="255">
        <f>IFERROR(V4/U4-1,0)</f>
        <v/>
      </c>
      <c r="CC4" s="255">
        <f>IFERROR(W4/V4-1,0)</f>
        <v/>
      </c>
      <c r="CD4" s="255">
        <f>IFERROR(X4/W4-1,0)</f>
        <v/>
      </c>
      <c r="CE4" s="255">
        <f>IFERROR(Y4/X4-1,0)</f>
        <v/>
      </c>
      <c r="CF4" s="255">
        <f>IFERROR(Z4/Y4-1,0)</f>
        <v/>
      </c>
      <c r="CG4" s="255">
        <f>IFERROR(AA4/Z4-1,0)</f>
        <v/>
      </c>
      <c r="CH4" s="255">
        <f>IFERROR(AB4/AA4-1,0)</f>
        <v/>
      </c>
    </row>
    <row r="5" ht="16" customHeight="1">
      <c r="A5" s="132" t="inlineStr">
        <is>
          <t>Resultado por Servicios</t>
        </is>
      </c>
      <c r="B5" s="133" t="n">
        <v>2919000</v>
      </c>
      <c r="C5" s="133" t="n">
        <v>4900000</v>
      </c>
      <c r="D5" s="133" t="n">
        <v>6908000</v>
      </c>
      <c r="E5" s="133" t="n">
        <v>2088000</v>
      </c>
      <c r="F5" s="133" t="n">
        <v>2780000</v>
      </c>
      <c r="G5" s="133" t="n">
        <v>4524000</v>
      </c>
      <c r="H5" s="133" t="n">
        <v>6561000</v>
      </c>
      <c r="I5" s="133" t="n">
        <v>1907000</v>
      </c>
      <c r="J5" s="133" t="n">
        <v>4122000</v>
      </c>
      <c r="K5" s="133">
        <f>SUM(K2:K3)</f>
        <v/>
      </c>
      <c r="L5" s="133">
        <f>SUM(L2:L3)</f>
        <v/>
      </c>
      <c r="M5" s="133">
        <f>SUM(M2:M3)</f>
        <v/>
      </c>
      <c r="N5" s="133">
        <f>SUM(N2:N3)</f>
        <v/>
      </c>
      <c r="O5" s="133">
        <f>SUM(O2:O3)</f>
        <v/>
      </c>
      <c r="P5" s="133">
        <f>SUM(P2:P3)</f>
        <v/>
      </c>
      <c r="Q5" s="133">
        <f>SUM(Q2:Q3)</f>
        <v/>
      </c>
      <c r="R5" s="133">
        <f>SUM(R2:R3)</f>
        <v/>
      </c>
      <c r="S5" s="133">
        <f>SUM(S2:S3)</f>
        <v/>
      </c>
      <c r="T5" s="133">
        <f>SUM(T2:T3)</f>
        <v/>
      </c>
      <c r="U5" s="133">
        <f>SUM(U2:U3)</f>
        <v/>
      </c>
      <c r="V5" s="133">
        <f>SUM(V2:V3)</f>
        <v/>
      </c>
      <c r="W5" s="133">
        <f>SUM(W2:W3)</f>
        <v/>
      </c>
      <c r="X5" s="133">
        <f>SUM(X2:X3)</f>
        <v/>
      </c>
      <c r="Y5" s="133">
        <f>SUM(Y2:Y3)</f>
        <v/>
      </c>
      <c r="Z5" s="133">
        <f>SUM(Z2:Z3)</f>
        <v/>
      </c>
      <c r="AA5" s="129">
        <f>Z5-Y5</f>
        <v/>
      </c>
      <c r="AD5" s="256" t="inlineStr">
        <is>
          <t>Resultado por Servicios</t>
        </is>
      </c>
      <c r="AE5" s="257">
        <f>IFERROR(B5/B$2,0)</f>
        <v/>
      </c>
      <c r="AF5" s="257">
        <f>IFERROR(C5/C$2,0)</f>
        <v/>
      </c>
      <c r="AG5" s="257">
        <f>IFERROR(D5/D$2,0)</f>
        <v/>
      </c>
      <c r="AH5" s="257">
        <f>IFERROR(E5/E$2,0)</f>
        <v/>
      </c>
      <c r="AI5" s="257">
        <f>IFERROR(F5/F$2,0)</f>
        <v/>
      </c>
      <c r="AJ5" s="257">
        <f>IFERROR(G5/G$2,0)</f>
        <v/>
      </c>
      <c r="AK5" s="257">
        <f>IFERROR(H5/H$2,0)</f>
        <v/>
      </c>
      <c r="AL5" s="257">
        <f>IFERROR(I5/I$2,0)</f>
        <v/>
      </c>
      <c r="AM5" s="257">
        <f>IFERROR(J5/J$2,0)</f>
        <v/>
      </c>
      <c r="AN5" s="257">
        <f>IFERROR(K5/K$2,0)</f>
        <v/>
      </c>
      <c r="AO5" s="257">
        <f>IFERROR(L5/L$2,0)</f>
        <v/>
      </c>
      <c r="AP5" s="257">
        <f>IFERROR(M5/M$2,0)</f>
        <v/>
      </c>
      <c r="AQ5" s="257">
        <f>IFERROR(N5/N$2,0)</f>
        <v/>
      </c>
      <c r="AR5" s="257">
        <f>IFERROR(O5/O$2,0)</f>
        <v/>
      </c>
      <c r="AS5" s="257">
        <f>IFERROR(P5/P$2,0)</f>
        <v/>
      </c>
      <c r="AT5" s="257">
        <f>IFERROR(Q5/Q$2,0)</f>
        <v/>
      </c>
      <c r="AU5" s="257">
        <f>IFERROR(R5/R$2,0)</f>
        <v/>
      </c>
      <c r="AV5" s="257">
        <f>IFERROR(S5/S$2,0)</f>
        <v/>
      </c>
      <c r="AW5" s="257">
        <f>IFERROR(T5/T$2,0)</f>
        <v/>
      </c>
      <c r="AX5" s="257">
        <f>IFERROR(U5/U$2,0)</f>
        <v/>
      </c>
      <c r="AY5" s="257">
        <f>IFERROR(V5/V$2,0)</f>
        <v/>
      </c>
      <c r="AZ5" s="257">
        <f>IFERROR(W5/W$2,0)</f>
        <v/>
      </c>
      <c r="BA5" s="257">
        <f>IFERROR(X5/X$2,0)</f>
        <v/>
      </c>
      <c r="BB5" s="257">
        <f>IFERROR(Y5/Y$2,0)</f>
        <v/>
      </c>
      <c r="BC5" s="257">
        <f>IFERROR(Z5/Z$2,0)</f>
        <v/>
      </c>
      <c r="BD5" s="257">
        <f>IFERROR(AA5/AA$2,0)</f>
        <v/>
      </c>
      <c r="BE5" s="257">
        <f>IFERROR(AB5/AB$2,0)</f>
        <v/>
      </c>
      <c r="BG5" s="256" t="inlineStr">
        <is>
          <t>Resultado por Servicios</t>
        </is>
      </c>
      <c r="BH5" s="257" t="inlineStr"/>
      <c r="BI5" s="257">
        <f>IFERROR(C5/B5-1,0)</f>
        <v/>
      </c>
      <c r="BJ5" s="257">
        <f>IFERROR(D5/C5-1,0)</f>
        <v/>
      </c>
      <c r="BK5" s="257">
        <f>IFERROR(E5/D5-1,0)</f>
        <v/>
      </c>
      <c r="BL5" s="257">
        <f>IFERROR(F5/E5-1,0)</f>
        <v/>
      </c>
      <c r="BM5" s="257">
        <f>IFERROR(G5/F5-1,0)</f>
        <v/>
      </c>
      <c r="BN5" s="257">
        <f>IFERROR(H5/G5-1,0)</f>
        <v/>
      </c>
      <c r="BO5" s="257">
        <f>IFERROR(I5/H5-1,0)</f>
        <v/>
      </c>
      <c r="BP5" s="257">
        <f>IFERROR(J5/I5-1,0)</f>
        <v/>
      </c>
      <c r="BQ5" s="257">
        <f>IFERROR(K5/J5-1,0)</f>
        <v/>
      </c>
      <c r="BR5" s="257">
        <f>IFERROR(L5/K5-1,0)</f>
        <v/>
      </c>
      <c r="BS5" s="257">
        <f>IFERROR(M5/L5-1,0)</f>
        <v/>
      </c>
      <c r="BT5" s="257">
        <f>IFERROR(N5/M5-1,0)</f>
        <v/>
      </c>
      <c r="BU5" s="257">
        <f>IFERROR(O5/N5-1,0)</f>
        <v/>
      </c>
      <c r="BV5" s="257">
        <f>IFERROR(P5/O5-1,0)</f>
        <v/>
      </c>
      <c r="BW5" s="257">
        <f>IFERROR(Q5/P5-1,0)</f>
        <v/>
      </c>
      <c r="BX5" s="257">
        <f>IFERROR(R5/Q5-1,0)</f>
        <v/>
      </c>
      <c r="BY5" s="257">
        <f>IFERROR(S5/R5-1,0)</f>
        <v/>
      </c>
      <c r="BZ5" s="257">
        <f>IFERROR(T5/S5-1,0)</f>
        <v/>
      </c>
      <c r="CA5" s="257">
        <f>IFERROR(U5/T5-1,0)</f>
        <v/>
      </c>
      <c r="CB5" s="257">
        <f>IFERROR(V5/U5-1,0)</f>
        <v/>
      </c>
      <c r="CC5" s="257">
        <f>IFERROR(W5/V5-1,0)</f>
        <v/>
      </c>
      <c r="CD5" s="257">
        <f>IFERROR(X5/W5-1,0)</f>
        <v/>
      </c>
      <c r="CE5" s="257">
        <f>IFERROR(Y5/X5-1,0)</f>
        <v/>
      </c>
      <c r="CF5" s="257">
        <f>IFERROR(Z5/Y5-1,0)</f>
        <v/>
      </c>
      <c r="CG5" s="257">
        <f>IFERROR(AA5/Z5-1,0)</f>
        <v/>
      </c>
      <c r="CH5" s="257">
        <f>IFERROR(AB5/AA5-1,0)</f>
        <v/>
      </c>
    </row>
    <row r="6" ht="16" customHeight="1">
      <c r="A6" s="126" t="inlineStr">
        <is>
          <t>Ingresos por intereses</t>
        </is>
      </c>
      <c r="B6" s="127" t="n">
        <v>357000</v>
      </c>
      <c r="C6" s="127" t="n">
        <v>656000</v>
      </c>
      <c r="D6" s="127" t="n">
        <v>880000</v>
      </c>
      <c r="E6" s="127" t="n">
        <v>262000</v>
      </c>
      <c r="F6" s="127" t="n">
        <v>699000</v>
      </c>
      <c r="G6" s="127" t="n">
        <v>874000</v>
      </c>
      <c r="H6" s="127" t="n">
        <v>1256000</v>
      </c>
      <c r="I6" s="127" t="n">
        <v>386000</v>
      </c>
      <c r="J6" s="127" t="n">
        <v>761000</v>
      </c>
      <c r="K6" s="127" t="n">
        <v>1093000</v>
      </c>
      <c r="L6" s="127" t="n">
        <v>1569000</v>
      </c>
      <c r="M6" s="127" t="n">
        <v>286000</v>
      </c>
      <c r="N6" s="90">
        <f>731000-M6</f>
        <v/>
      </c>
      <c r="O6" s="127">
        <f>1121000-SUM(M6:N6)</f>
        <v/>
      </c>
      <c r="P6" s="127" t="n">
        <v>566720</v>
      </c>
      <c r="Q6" s="127" t="n">
        <v>733525.58</v>
      </c>
      <c r="R6" s="127">
        <f>3124000-SUM(M6:Q6)</f>
        <v/>
      </c>
      <c r="S6" s="127" t="n">
        <v>806638.8</v>
      </c>
      <c r="T6" s="127" t="n">
        <v>855943.36</v>
      </c>
      <c r="U6" s="127">
        <f>5540000-SUM($M6:T6)</f>
        <v/>
      </c>
      <c r="V6" s="128" t="n">
        <v>1288378.57</v>
      </c>
      <c r="W6" s="128" t="n">
        <v>865868.25</v>
      </c>
      <c r="X6" s="128" t="n">
        <v>1031707.28</v>
      </c>
      <c r="Y6" s="128" t="n">
        <v>713000</v>
      </c>
      <c r="Z6" s="128" t="n">
        <v>1437000</v>
      </c>
      <c r="AA6" s="129">
        <f>Z6-Y6</f>
        <v/>
      </c>
      <c r="AD6" s="254" t="inlineStr">
        <is>
          <t>Ingresos por intereses</t>
        </is>
      </c>
      <c r="AE6" s="255">
        <f>IFERROR(B6/B$2,0)</f>
        <v/>
      </c>
      <c r="AF6" s="255">
        <f>IFERROR(C6/C$2,0)</f>
        <v/>
      </c>
      <c r="AG6" s="255">
        <f>IFERROR(D6/D$2,0)</f>
        <v/>
      </c>
      <c r="AH6" s="255">
        <f>IFERROR(E6/E$2,0)</f>
        <v/>
      </c>
      <c r="AI6" s="255">
        <f>IFERROR(F6/F$2,0)</f>
        <v/>
      </c>
      <c r="AJ6" s="255">
        <f>IFERROR(G6/G$2,0)</f>
        <v/>
      </c>
      <c r="AK6" s="255">
        <f>IFERROR(H6/H$2,0)</f>
        <v/>
      </c>
      <c r="AL6" s="255">
        <f>IFERROR(I6/I$2,0)</f>
        <v/>
      </c>
      <c r="AM6" s="255">
        <f>IFERROR(J6/J$2,0)</f>
        <v/>
      </c>
      <c r="AN6" s="255">
        <f>IFERROR(K6/K$2,0)</f>
        <v/>
      </c>
      <c r="AO6" s="255">
        <f>IFERROR(L6/L$2,0)</f>
        <v/>
      </c>
      <c r="AP6" s="255">
        <f>IFERROR(M6/M$2,0)</f>
        <v/>
      </c>
      <c r="AQ6" s="255">
        <f>IFERROR(N6/N$2,0)</f>
        <v/>
      </c>
      <c r="AR6" s="255">
        <f>IFERROR(O6/O$2,0)</f>
        <v/>
      </c>
      <c r="AS6" s="255">
        <f>IFERROR(P6/P$2,0)</f>
        <v/>
      </c>
      <c r="AT6" s="255">
        <f>IFERROR(Q6/Q$2,0)</f>
        <v/>
      </c>
      <c r="AU6" s="255">
        <f>IFERROR(R6/R$2,0)</f>
        <v/>
      </c>
      <c r="AV6" s="255">
        <f>IFERROR(S6/S$2,0)</f>
        <v/>
      </c>
      <c r="AW6" s="255">
        <f>IFERROR(T6/T$2,0)</f>
        <v/>
      </c>
      <c r="AX6" s="255">
        <f>IFERROR(U6/U$2,0)</f>
        <v/>
      </c>
      <c r="AY6" s="255">
        <f>IFERROR(V6/V$2,0)</f>
        <v/>
      </c>
      <c r="AZ6" s="255">
        <f>IFERROR(W6/W$2,0)</f>
        <v/>
      </c>
      <c r="BA6" s="255">
        <f>IFERROR(X6/X$2,0)</f>
        <v/>
      </c>
      <c r="BB6" s="255">
        <f>IFERROR(Y6/Y$2,0)</f>
        <v/>
      </c>
      <c r="BC6" s="255">
        <f>IFERROR(Z6/Z$2,0)</f>
        <v/>
      </c>
      <c r="BD6" s="255">
        <f>IFERROR(AA6/AA$2,0)</f>
        <v/>
      </c>
      <c r="BE6" s="255">
        <f>IFERROR(AB6/AB$2,0)</f>
        <v/>
      </c>
      <c r="BG6" s="254" t="inlineStr">
        <is>
          <t>Ingresos por intereses</t>
        </is>
      </c>
      <c r="BH6" s="255" t="inlineStr"/>
      <c r="BI6" s="255">
        <f>IFERROR(C6/B6-1,0)</f>
        <v/>
      </c>
      <c r="BJ6" s="255">
        <f>IFERROR(D6/C6-1,0)</f>
        <v/>
      </c>
      <c r="BK6" s="255">
        <f>IFERROR(E6/D6-1,0)</f>
        <v/>
      </c>
      <c r="BL6" s="255">
        <f>IFERROR(F6/E6-1,0)</f>
        <v/>
      </c>
      <c r="BM6" s="255">
        <f>IFERROR(G6/F6-1,0)</f>
        <v/>
      </c>
      <c r="BN6" s="255">
        <f>IFERROR(H6/G6-1,0)</f>
        <v/>
      </c>
      <c r="BO6" s="255">
        <f>IFERROR(I6/H6-1,0)</f>
        <v/>
      </c>
      <c r="BP6" s="255">
        <f>IFERROR(J6/I6-1,0)</f>
        <v/>
      </c>
      <c r="BQ6" s="255">
        <f>IFERROR(K6/J6-1,0)</f>
        <v/>
      </c>
      <c r="BR6" s="255">
        <f>IFERROR(L6/K6-1,0)</f>
        <v/>
      </c>
      <c r="BS6" s="255">
        <f>IFERROR(M6/L6-1,0)</f>
        <v/>
      </c>
      <c r="BT6" s="255">
        <f>IFERROR(N6/M6-1,0)</f>
        <v/>
      </c>
      <c r="BU6" s="255">
        <f>IFERROR(O6/N6-1,0)</f>
        <v/>
      </c>
      <c r="BV6" s="255">
        <f>IFERROR(P6/O6-1,0)</f>
        <v/>
      </c>
      <c r="BW6" s="255">
        <f>IFERROR(Q6/P6-1,0)</f>
        <v/>
      </c>
      <c r="BX6" s="255">
        <f>IFERROR(R6/Q6-1,0)</f>
        <v/>
      </c>
      <c r="BY6" s="255">
        <f>IFERROR(S6/R6-1,0)</f>
        <v/>
      </c>
      <c r="BZ6" s="255">
        <f>IFERROR(T6/S6-1,0)</f>
        <v/>
      </c>
      <c r="CA6" s="255">
        <f>IFERROR(U6/T6-1,0)</f>
        <v/>
      </c>
      <c r="CB6" s="255">
        <f>IFERROR(V6/U6-1,0)</f>
        <v/>
      </c>
      <c r="CC6" s="255">
        <f>IFERROR(W6/V6-1,0)</f>
        <v/>
      </c>
      <c r="CD6" s="255">
        <f>IFERROR(X6/W6-1,0)</f>
        <v/>
      </c>
      <c r="CE6" s="255">
        <f>IFERROR(Y6/X6-1,0)</f>
        <v/>
      </c>
      <c r="CF6" s="255">
        <f>IFERROR(Z6/Y6-1,0)</f>
        <v/>
      </c>
      <c r="CG6" s="255">
        <f>IFERROR(AA6/Z6-1,0)</f>
        <v/>
      </c>
      <c r="CH6" s="255">
        <f>IFERROR(AB6/AA6-1,0)</f>
        <v/>
      </c>
    </row>
    <row r="7" ht="16" customHeight="1">
      <c r="A7" s="126" t="inlineStr">
        <is>
          <t>Resultado por valuación a valor razonable</t>
        </is>
      </c>
      <c r="B7" s="127" t="n">
        <v>1000</v>
      </c>
      <c r="C7" s="127" t="n">
        <v>231000</v>
      </c>
      <c r="D7" s="127" t="n">
        <v>263000</v>
      </c>
      <c r="E7" s="127" t="n">
        <v>19000</v>
      </c>
      <c r="F7" s="127" t="n">
        <v>538000</v>
      </c>
      <c r="G7" s="127" t="n">
        <v>1252000</v>
      </c>
      <c r="H7" s="127" t="n">
        <v>1282000</v>
      </c>
      <c r="I7" s="127" t="n">
        <v>1000</v>
      </c>
      <c r="J7" s="127" t="n">
        <v>1000</v>
      </c>
      <c r="K7" s="127" t="n">
        <v>1000</v>
      </c>
      <c r="L7" s="127" t="n">
        <v>1000</v>
      </c>
      <c r="M7" s="127" t="n">
        <v>0</v>
      </c>
      <c r="N7" s="90">
        <f>0-M7</f>
        <v/>
      </c>
      <c r="O7" s="127" t="n">
        <v>0</v>
      </c>
      <c r="P7" s="127" t="n">
        <v>0</v>
      </c>
      <c r="Q7" s="134" t="n">
        <v>-724598.78</v>
      </c>
      <c r="R7" s="127">
        <f>-1706000-SUM(M7:Q7)</f>
        <v/>
      </c>
      <c r="S7" s="127" t="n">
        <v>0</v>
      </c>
      <c r="T7" s="127" t="n">
        <v>-990373.36</v>
      </c>
      <c r="U7" s="127">
        <f>SUM($M7:T7)+2696000</f>
        <v/>
      </c>
      <c r="V7" s="128" t="n">
        <v>0</v>
      </c>
      <c r="W7" s="128" t="n">
        <v>-476229.42</v>
      </c>
      <c r="X7" s="128" t="n">
        <v>0</v>
      </c>
      <c r="Y7" s="128" t="n">
        <v>0</v>
      </c>
      <c r="Z7" s="128" t="n">
        <v>0</v>
      </c>
      <c r="AA7" s="129">
        <f>Z7-Y7</f>
        <v/>
      </c>
      <c r="AD7" s="254" t="inlineStr">
        <is>
          <t>Resultado por valuación a valor razonable</t>
        </is>
      </c>
      <c r="AE7" s="255">
        <f>IFERROR(B7/B$2,0)</f>
        <v/>
      </c>
      <c r="AF7" s="255">
        <f>IFERROR(C7/C$2,0)</f>
        <v/>
      </c>
      <c r="AG7" s="255">
        <f>IFERROR(D7/D$2,0)</f>
        <v/>
      </c>
      <c r="AH7" s="255">
        <f>IFERROR(E7/E$2,0)</f>
        <v/>
      </c>
      <c r="AI7" s="255">
        <f>IFERROR(F7/F$2,0)</f>
        <v/>
      </c>
      <c r="AJ7" s="255">
        <f>IFERROR(G7/G$2,0)</f>
        <v/>
      </c>
      <c r="AK7" s="255">
        <f>IFERROR(H7/H$2,0)</f>
        <v/>
      </c>
      <c r="AL7" s="255">
        <f>IFERROR(I7/I$2,0)</f>
        <v/>
      </c>
      <c r="AM7" s="255">
        <f>IFERROR(J7/J$2,0)</f>
        <v/>
      </c>
      <c r="AN7" s="255">
        <f>IFERROR(K7/K$2,0)</f>
        <v/>
      </c>
      <c r="AO7" s="255">
        <f>IFERROR(L7/L$2,0)</f>
        <v/>
      </c>
      <c r="AP7" s="255">
        <f>IFERROR(M7/M$2,0)</f>
        <v/>
      </c>
      <c r="AQ7" s="255">
        <f>IFERROR(N7/N$2,0)</f>
        <v/>
      </c>
      <c r="AR7" s="255">
        <f>IFERROR(O7/O$2,0)</f>
        <v/>
      </c>
      <c r="AS7" s="255">
        <f>IFERROR(P7/P$2,0)</f>
        <v/>
      </c>
      <c r="AT7" s="255">
        <f>IFERROR(Q7/Q$2,0)</f>
        <v/>
      </c>
      <c r="AU7" s="255">
        <f>IFERROR(R7/R$2,0)</f>
        <v/>
      </c>
      <c r="AV7" s="255">
        <f>IFERROR(S7/S$2,0)</f>
        <v/>
      </c>
      <c r="AW7" s="255">
        <f>IFERROR(T7/T$2,0)</f>
        <v/>
      </c>
      <c r="AX7" s="255">
        <f>IFERROR(U7/U$2,0)</f>
        <v/>
      </c>
      <c r="AY7" s="255">
        <f>IFERROR(V7/V$2,0)</f>
        <v/>
      </c>
      <c r="AZ7" s="255">
        <f>IFERROR(W7/W$2,0)</f>
        <v/>
      </c>
      <c r="BA7" s="255">
        <f>IFERROR(X7/X$2,0)</f>
        <v/>
      </c>
      <c r="BB7" s="255">
        <f>IFERROR(Y7/Y$2,0)</f>
        <v/>
      </c>
      <c r="BC7" s="255">
        <f>IFERROR(Z7/Z$2,0)</f>
        <v/>
      </c>
      <c r="BD7" s="255">
        <f>IFERROR(AA7/AA$2,0)</f>
        <v/>
      </c>
      <c r="BE7" s="255">
        <f>IFERROR(AB7/AB$2,0)</f>
        <v/>
      </c>
      <c r="BG7" s="254" t="inlineStr">
        <is>
          <t>Resultado por valuación a valor razonable</t>
        </is>
      </c>
      <c r="BH7" s="255" t="inlineStr"/>
      <c r="BI7" s="255">
        <f>IFERROR(C7/B7-1,0)</f>
        <v/>
      </c>
      <c r="BJ7" s="255">
        <f>IFERROR(D7/C7-1,0)</f>
        <v/>
      </c>
      <c r="BK7" s="255">
        <f>IFERROR(E7/D7-1,0)</f>
        <v/>
      </c>
      <c r="BL7" s="255">
        <f>IFERROR(F7/E7-1,0)</f>
        <v/>
      </c>
      <c r="BM7" s="255">
        <f>IFERROR(G7/F7-1,0)</f>
        <v/>
      </c>
      <c r="BN7" s="255">
        <f>IFERROR(H7/G7-1,0)</f>
        <v/>
      </c>
      <c r="BO7" s="255">
        <f>IFERROR(I7/H7-1,0)</f>
        <v/>
      </c>
      <c r="BP7" s="255">
        <f>IFERROR(J7/I7-1,0)</f>
        <v/>
      </c>
      <c r="BQ7" s="255">
        <f>IFERROR(K7/J7-1,0)</f>
        <v/>
      </c>
      <c r="BR7" s="255">
        <f>IFERROR(L7/K7-1,0)</f>
        <v/>
      </c>
      <c r="BS7" s="255">
        <f>IFERROR(M7/L7-1,0)</f>
        <v/>
      </c>
      <c r="BT7" s="255">
        <f>IFERROR(N7/M7-1,0)</f>
        <v/>
      </c>
      <c r="BU7" s="255">
        <f>IFERROR(O7/N7-1,0)</f>
        <v/>
      </c>
      <c r="BV7" s="255">
        <f>IFERROR(P7/O7-1,0)</f>
        <v/>
      </c>
      <c r="BW7" s="255">
        <f>IFERROR(Q7/P7-1,0)</f>
        <v/>
      </c>
      <c r="BX7" s="255">
        <f>IFERROR(R7/Q7-1,0)</f>
        <v/>
      </c>
      <c r="BY7" s="255">
        <f>IFERROR(S7/R7-1,0)</f>
        <v/>
      </c>
      <c r="BZ7" s="255">
        <f>IFERROR(T7/S7-1,0)</f>
        <v/>
      </c>
      <c r="CA7" s="255">
        <f>IFERROR(U7/T7-1,0)</f>
        <v/>
      </c>
      <c r="CB7" s="255">
        <f>IFERROR(V7/U7-1,0)</f>
        <v/>
      </c>
      <c r="CC7" s="255">
        <f>IFERROR(W7/V7-1,0)</f>
        <v/>
      </c>
      <c r="CD7" s="255">
        <f>IFERROR(X7/W7-1,0)</f>
        <v/>
      </c>
      <c r="CE7" s="255">
        <f>IFERROR(Y7/X7-1,0)</f>
        <v/>
      </c>
      <c r="CF7" s="255">
        <f>IFERROR(Z7/Y7-1,0)</f>
        <v/>
      </c>
      <c r="CG7" s="255">
        <f>IFERROR(AA7/Z7-1,0)</f>
        <v/>
      </c>
      <c r="CH7" s="255">
        <f>IFERROR(AB7/AA7-1,0)</f>
        <v/>
      </c>
    </row>
    <row r="8" ht="16" customHeight="1">
      <c r="A8" s="126" t="inlineStr">
        <is>
          <t>Gastos por Intereses</t>
        </is>
      </c>
      <c r="B8" s="127" t="n">
        <v>-144000</v>
      </c>
      <c r="C8" s="127" t="n">
        <v>-245000</v>
      </c>
      <c r="D8" s="127" t="n">
        <v>-245000</v>
      </c>
      <c r="E8" s="127" t="n">
        <v>0</v>
      </c>
      <c r="F8" s="127" t="n">
        <v>0</v>
      </c>
      <c r="G8" s="127" t="n">
        <v>0</v>
      </c>
      <c r="H8" s="127" t="n">
        <v>0</v>
      </c>
      <c r="I8" s="127" t="n">
        <v>0</v>
      </c>
      <c r="J8" s="127" t="n">
        <v>0</v>
      </c>
      <c r="K8" s="127" t="n">
        <v>0</v>
      </c>
      <c r="L8" s="127" t="n">
        <v>-238000</v>
      </c>
      <c r="M8" s="127" t="n">
        <v>0</v>
      </c>
      <c r="N8" s="90">
        <f>-188000-M8</f>
        <v/>
      </c>
      <c r="O8" s="127">
        <f>-305000-SUM(M8:N8)</f>
        <v/>
      </c>
      <c r="P8" s="134" t="n">
        <v>0</v>
      </c>
      <c r="Q8" s="134" t="n">
        <v>-898013.89</v>
      </c>
      <c r="R8" s="127">
        <f>-1867000-SUM(M8:Q8)</f>
        <v/>
      </c>
      <c r="S8" s="127" t="n">
        <v>-844486.11</v>
      </c>
      <c r="T8" s="127" t="n">
        <v>-917944.4399999999</v>
      </c>
      <c r="U8" s="127">
        <f>-(SUM($M8:T8)+4517000)</f>
        <v/>
      </c>
      <c r="V8" s="128" t="n">
        <v>-917944.45</v>
      </c>
      <c r="W8" s="128" t="n">
        <v>-858722.21</v>
      </c>
      <c r="X8" s="128" t="n">
        <v>-962823.51</v>
      </c>
      <c r="Y8" s="128" t="n">
        <v>-943000</v>
      </c>
      <c r="Z8" s="128" t="n">
        <v>-1779000</v>
      </c>
      <c r="AA8" s="129">
        <f>Z8-Y8</f>
        <v/>
      </c>
      <c r="AD8" s="254" t="inlineStr">
        <is>
          <t>Gastos por Intereses</t>
        </is>
      </c>
      <c r="AE8" s="255">
        <f>IFERROR(B8/B$2,0)</f>
        <v/>
      </c>
      <c r="AF8" s="255">
        <f>IFERROR(C8/C$2,0)</f>
        <v/>
      </c>
      <c r="AG8" s="255">
        <f>IFERROR(D8/D$2,0)</f>
        <v/>
      </c>
      <c r="AH8" s="255">
        <f>IFERROR(E8/E$2,0)</f>
        <v/>
      </c>
      <c r="AI8" s="255">
        <f>IFERROR(F8/F$2,0)</f>
        <v/>
      </c>
      <c r="AJ8" s="255">
        <f>IFERROR(G8/G$2,0)</f>
        <v/>
      </c>
      <c r="AK8" s="255">
        <f>IFERROR(H8/H$2,0)</f>
        <v/>
      </c>
      <c r="AL8" s="255">
        <f>IFERROR(I8/I$2,0)</f>
        <v/>
      </c>
      <c r="AM8" s="255">
        <f>IFERROR(J8/J$2,0)</f>
        <v/>
      </c>
      <c r="AN8" s="255">
        <f>IFERROR(K8/K$2,0)</f>
        <v/>
      </c>
      <c r="AO8" s="255">
        <f>IFERROR(L8/L$2,0)</f>
        <v/>
      </c>
      <c r="AP8" s="255">
        <f>IFERROR(M8/M$2,0)</f>
        <v/>
      </c>
      <c r="AQ8" s="255">
        <f>IFERROR(N8/N$2,0)</f>
        <v/>
      </c>
      <c r="AR8" s="255">
        <f>IFERROR(O8/O$2,0)</f>
        <v/>
      </c>
      <c r="AS8" s="255">
        <f>IFERROR(P8/P$2,0)</f>
        <v/>
      </c>
      <c r="AT8" s="255">
        <f>IFERROR(Q8/Q$2,0)</f>
        <v/>
      </c>
      <c r="AU8" s="255">
        <f>IFERROR(R8/R$2,0)</f>
        <v/>
      </c>
      <c r="AV8" s="255">
        <f>IFERROR(S8/S$2,0)</f>
        <v/>
      </c>
      <c r="AW8" s="255">
        <f>IFERROR(T8/T$2,0)</f>
        <v/>
      </c>
      <c r="AX8" s="255">
        <f>IFERROR(U8/U$2,0)</f>
        <v/>
      </c>
      <c r="AY8" s="255">
        <f>IFERROR(V8/V$2,0)</f>
        <v/>
      </c>
      <c r="AZ8" s="255">
        <f>IFERROR(W8/W$2,0)</f>
        <v/>
      </c>
      <c r="BA8" s="255">
        <f>IFERROR(X8/X$2,0)</f>
        <v/>
      </c>
      <c r="BB8" s="255">
        <f>IFERROR(Y8/Y$2,0)</f>
        <v/>
      </c>
      <c r="BC8" s="255">
        <f>IFERROR(Z8/Z$2,0)</f>
        <v/>
      </c>
      <c r="BD8" s="255">
        <f>IFERROR(AA8/AA$2,0)</f>
        <v/>
      </c>
      <c r="BE8" s="255">
        <f>IFERROR(AB8/AB$2,0)</f>
        <v/>
      </c>
      <c r="BG8" s="254" t="inlineStr">
        <is>
          <t>Gastos por Intereses</t>
        </is>
      </c>
      <c r="BH8" s="255" t="inlineStr"/>
      <c r="BI8" s="255">
        <f>IFERROR(C8/B8-1,0)</f>
        <v/>
      </c>
      <c r="BJ8" s="255">
        <f>IFERROR(D8/C8-1,0)</f>
        <v/>
      </c>
      <c r="BK8" s="255">
        <f>IFERROR(E8/D8-1,0)</f>
        <v/>
      </c>
      <c r="BL8" s="255">
        <f>IFERROR(F8/E8-1,0)</f>
        <v/>
      </c>
      <c r="BM8" s="255">
        <f>IFERROR(G8/F8-1,0)</f>
        <v/>
      </c>
      <c r="BN8" s="255">
        <f>IFERROR(H8/G8-1,0)</f>
        <v/>
      </c>
      <c r="BO8" s="255">
        <f>IFERROR(I8/H8-1,0)</f>
        <v/>
      </c>
      <c r="BP8" s="255">
        <f>IFERROR(J8/I8-1,0)</f>
        <v/>
      </c>
      <c r="BQ8" s="255">
        <f>IFERROR(K8/J8-1,0)</f>
        <v/>
      </c>
      <c r="BR8" s="255">
        <f>IFERROR(L8/K8-1,0)</f>
        <v/>
      </c>
      <c r="BS8" s="255">
        <f>IFERROR(M8/L8-1,0)</f>
        <v/>
      </c>
      <c r="BT8" s="255">
        <f>IFERROR(N8/M8-1,0)</f>
        <v/>
      </c>
      <c r="BU8" s="255">
        <f>IFERROR(O8/N8-1,0)</f>
        <v/>
      </c>
      <c r="BV8" s="255">
        <f>IFERROR(P8/O8-1,0)</f>
        <v/>
      </c>
      <c r="BW8" s="255">
        <f>IFERROR(Q8/P8-1,0)</f>
        <v/>
      </c>
      <c r="BX8" s="255">
        <f>IFERROR(R8/Q8-1,0)</f>
        <v/>
      </c>
      <c r="BY8" s="255">
        <f>IFERROR(S8/R8-1,0)</f>
        <v/>
      </c>
      <c r="BZ8" s="255">
        <f>IFERROR(T8/S8-1,0)</f>
        <v/>
      </c>
      <c r="CA8" s="255">
        <f>IFERROR(U8/T8-1,0)</f>
        <v/>
      </c>
      <c r="CB8" s="255">
        <f>IFERROR(V8/U8-1,0)</f>
        <v/>
      </c>
      <c r="CC8" s="255">
        <f>IFERROR(W8/V8-1,0)</f>
        <v/>
      </c>
      <c r="CD8" s="255">
        <f>IFERROR(X8/W8-1,0)</f>
        <v/>
      </c>
      <c r="CE8" s="255">
        <f>IFERROR(Y8/X8-1,0)</f>
        <v/>
      </c>
      <c r="CF8" s="255">
        <f>IFERROR(Z8/Y8-1,0)</f>
        <v/>
      </c>
      <c r="CG8" s="255">
        <f>IFERROR(AA8/Z8-1,0)</f>
        <v/>
      </c>
      <c r="CH8" s="255">
        <f>IFERROR(AB8/AA8-1,0)</f>
        <v/>
      </c>
    </row>
    <row r="9" ht="16" customHeight="1">
      <c r="A9" s="132" t="inlineStr">
        <is>
          <t>Margen Financiero por Intermediación</t>
        </is>
      </c>
      <c r="B9" s="133" t="n">
        <v>3133000</v>
      </c>
      <c r="C9" s="133" t="n">
        <v>5542000</v>
      </c>
      <c r="D9" s="133" t="n">
        <v>7806000</v>
      </c>
      <c r="E9" s="133" t="n">
        <v>2369000</v>
      </c>
      <c r="F9" s="133" t="n">
        <v>4017000</v>
      </c>
      <c r="G9" s="133" t="n">
        <v>6650000</v>
      </c>
      <c r="H9" s="133" t="n">
        <v>9099000</v>
      </c>
      <c r="I9" s="133" t="n">
        <v>2294000</v>
      </c>
      <c r="J9" s="133" t="n">
        <v>4884000</v>
      </c>
      <c r="K9" s="133" t="n">
        <v>7333000</v>
      </c>
      <c r="L9" s="133">
        <f>SUM(L6:L8)+L5</f>
        <v/>
      </c>
      <c r="M9" s="133">
        <f>SUM(M6:M8)+M5</f>
        <v/>
      </c>
      <c r="N9" s="133">
        <f>SUM(N6:N8)+N5</f>
        <v/>
      </c>
      <c r="O9" s="133">
        <f>SUM(O6:O8)+O5</f>
        <v/>
      </c>
      <c r="P9" s="133">
        <f>SUM(P6:P8)+P5</f>
        <v/>
      </c>
      <c r="Q9" s="133">
        <f>SUM(Q6:Q8)+Q5</f>
        <v/>
      </c>
      <c r="R9" s="133">
        <f>R5+SUM(R6:R8)</f>
        <v/>
      </c>
      <c r="S9" s="133">
        <f>S5+SUM(S6:S8)</f>
        <v/>
      </c>
      <c r="T9" s="133">
        <f>T5+SUM(T6:T8)</f>
        <v/>
      </c>
      <c r="U9" s="133">
        <f>U5+SUM(U6:U8)</f>
        <v/>
      </c>
      <c r="V9" s="133">
        <f>V5+SUM(V6:V8)</f>
        <v/>
      </c>
      <c r="W9" s="133">
        <f>W5+SUM(W6:W8)</f>
        <v/>
      </c>
      <c r="X9" s="133">
        <f>X5+SUM(X6:X8)</f>
        <v/>
      </c>
      <c r="Y9" s="133">
        <f>Y5+SUM(Y6:Y8)</f>
        <v/>
      </c>
      <c r="Z9" s="129">
        <f>Z5+Z6+Z8</f>
        <v/>
      </c>
      <c r="AA9" s="129">
        <f>Z9-Y9</f>
        <v/>
      </c>
      <c r="AD9" s="256" t="inlineStr">
        <is>
          <t>Margen Financiero por Intermediación</t>
        </is>
      </c>
      <c r="AE9" s="257">
        <f>IFERROR(B9/B$2,0)</f>
        <v/>
      </c>
      <c r="AF9" s="257">
        <f>IFERROR(C9/C$2,0)</f>
        <v/>
      </c>
      <c r="AG9" s="257">
        <f>IFERROR(D9/D$2,0)</f>
        <v/>
      </c>
      <c r="AH9" s="257">
        <f>IFERROR(E9/E$2,0)</f>
        <v/>
      </c>
      <c r="AI9" s="257">
        <f>IFERROR(F9/F$2,0)</f>
        <v/>
      </c>
      <c r="AJ9" s="257">
        <f>IFERROR(G9/G$2,0)</f>
        <v/>
      </c>
      <c r="AK9" s="257">
        <f>IFERROR(H9/H$2,0)</f>
        <v/>
      </c>
      <c r="AL9" s="257">
        <f>IFERROR(I9/I$2,0)</f>
        <v/>
      </c>
      <c r="AM9" s="257">
        <f>IFERROR(J9/J$2,0)</f>
        <v/>
      </c>
      <c r="AN9" s="257">
        <f>IFERROR(K9/K$2,0)</f>
        <v/>
      </c>
      <c r="AO9" s="257">
        <f>IFERROR(L9/L$2,0)</f>
        <v/>
      </c>
      <c r="AP9" s="257">
        <f>IFERROR(M9/M$2,0)</f>
        <v/>
      </c>
      <c r="AQ9" s="257">
        <f>IFERROR(N9/N$2,0)</f>
        <v/>
      </c>
      <c r="AR9" s="257">
        <f>IFERROR(O9/O$2,0)</f>
        <v/>
      </c>
      <c r="AS9" s="257">
        <f>IFERROR(P9/P$2,0)</f>
        <v/>
      </c>
      <c r="AT9" s="257">
        <f>IFERROR(Q9/Q$2,0)</f>
        <v/>
      </c>
      <c r="AU9" s="257">
        <f>IFERROR(R9/R$2,0)</f>
        <v/>
      </c>
      <c r="AV9" s="257">
        <f>IFERROR(S9/S$2,0)</f>
        <v/>
      </c>
      <c r="AW9" s="257">
        <f>IFERROR(T9/T$2,0)</f>
        <v/>
      </c>
      <c r="AX9" s="257">
        <f>IFERROR(U9/U$2,0)</f>
        <v/>
      </c>
      <c r="AY9" s="257">
        <f>IFERROR(V9/V$2,0)</f>
        <v/>
      </c>
      <c r="AZ9" s="257">
        <f>IFERROR(W9/W$2,0)</f>
        <v/>
      </c>
      <c r="BA9" s="257">
        <f>IFERROR(X9/X$2,0)</f>
        <v/>
      </c>
      <c r="BB9" s="257">
        <f>IFERROR(Y9/Y$2,0)</f>
        <v/>
      </c>
      <c r="BC9" s="257">
        <f>IFERROR(Z9/Z$2,0)</f>
        <v/>
      </c>
      <c r="BD9" s="257">
        <f>IFERROR(AA9/AA$2,0)</f>
        <v/>
      </c>
      <c r="BE9" s="257">
        <f>IFERROR(AB9/AB$2,0)</f>
        <v/>
      </c>
      <c r="BG9" s="256" t="inlineStr">
        <is>
          <t>Margen Financiero por Intermediación</t>
        </is>
      </c>
      <c r="BH9" s="257" t="inlineStr"/>
      <c r="BI9" s="257">
        <f>IFERROR(C9/B9-1,0)</f>
        <v/>
      </c>
      <c r="BJ9" s="257">
        <f>IFERROR(D9/C9-1,0)</f>
        <v/>
      </c>
      <c r="BK9" s="257">
        <f>IFERROR(E9/D9-1,0)</f>
        <v/>
      </c>
      <c r="BL9" s="257">
        <f>IFERROR(F9/E9-1,0)</f>
        <v/>
      </c>
      <c r="BM9" s="257">
        <f>IFERROR(G9/F9-1,0)</f>
        <v/>
      </c>
      <c r="BN9" s="257">
        <f>IFERROR(H9/G9-1,0)</f>
        <v/>
      </c>
      <c r="BO9" s="257">
        <f>IFERROR(I9/H9-1,0)</f>
        <v/>
      </c>
      <c r="BP9" s="257">
        <f>IFERROR(J9/I9-1,0)</f>
        <v/>
      </c>
      <c r="BQ9" s="257">
        <f>IFERROR(K9/J9-1,0)</f>
        <v/>
      </c>
      <c r="BR9" s="257">
        <f>IFERROR(L9/K9-1,0)</f>
        <v/>
      </c>
      <c r="BS9" s="257">
        <f>IFERROR(M9/L9-1,0)</f>
        <v/>
      </c>
      <c r="BT9" s="257">
        <f>IFERROR(N9/M9-1,0)</f>
        <v/>
      </c>
      <c r="BU9" s="257">
        <f>IFERROR(O9/N9-1,0)</f>
        <v/>
      </c>
      <c r="BV9" s="257">
        <f>IFERROR(P9/O9-1,0)</f>
        <v/>
      </c>
      <c r="BW9" s="257">
        <f>IFERROR(Q9/P9-1,0)</f>
        <v/>
      </c>
      <c r="BX9" s="257">
        <f>IFERROR(R9/Q9-1,0)</f>
        <v/>
      </c>
      <c r="BY9" s="257">
        <f>IFERROR(S9/R9-1,0)</f>
        <v/>
      </c>
      <c r="BZ9" s="257">
        <f>IFERROR(T9/S9-1,0)</f>
        <v/>
      </c>
      <c r="CA9" s="257">
        <f>IFERROR(U9/T9-1,0)</f>
        <v/>
      </c>
      <c r="CB9" s="257">
        <f>IFERROR(V9/U9-1,0)</f>
        <v/>
      </c>
      <c r="CC9" s="257">
        <f>IFERROR(W9/V9-1,0)</f>
        <v/>
      </c>
      <c r="CD9" s="257">
        <f>IFERROR(X9/W9-1,0)</f>
        <v/>
      </c>
      <c r="CE9" s="257">
        <f>IFERROR(Y9/X9-1,0)</f>
        <v/>
      </c>
      <c r="CF9" s="257">
        <f>IFERROR(Z9/Y9-1,0)</f>
        <v/>
      </c>
      <c r="CG9" s="257">
        <f>IFERROR(AA9/Z9-1,0)</f>
        <v/>
      </c>
      <c r="CH9" s="257">
        <f>IFERROR(AB9/AA9-1,0)</f>
        <v/>
      </c>
    </row>
    <row r="10" ht="16" customHeight="1">
      <c r="A10" s="126" t="inlineStr">
        <is>
          <t>Otros ingresos (egresos) de la operación</t>
        </is>
      </c>
      <c r="B10" s="127" t="n">
        <v>1886000</v>
      </c>
      <c r="C10" s="127" t="n">
        <v>1882000</v>
      </c>
      <c r="D10" s="127" t="n">
        <v>1597000</v>
      </c>
      <c r="E10" s="127" t="n">
        <v>-401000</v>
      </c>
      <c r="F10" s="127" t="n">
        <v>-512000</v>
      </c>
      <c r="G10" s="127" t="n">
        <v>-565000</v>
      </c>
      <c r="H10" s="127" t="n">
        <v>-602000</v>
      </c>
      <c r="I10" s="127" t="n">
        <v>67000</v>
      </c>
      <c r="J10" s="127" t="n">
        <v>65000</v>
      </c>
      <c r="K10" s="127" t="n">
        <v>171000</v>
      </c>
      <c r="L10" s="127" t="n">
        <v>144000</v>
      </c>
      <c r="M10" s="127" t="n">
        <v>-4000</v>
      </c>
      <c r="N10" s="90">
        <f>-47000-M10</f>
        <v/>
      </c>
      <c r="O10" s="127">
        <f>-91000-SUM(M10:N10)</f>
        <v/>
      </c>
      <c r="P10" s="127" t="n">
        <v>-27793</v>
      </c>
      <c r="Q10" s="127" t="n">
        <v>-155119.55</v>
      </c>
      <c r="R10" s="127">
        <f>-444000-SUM(M10:Q10)</f>
        <v/>
      </c>
      <c r="S10" s="127" t="n">
        <v>-159333.15</v>
      </c>
      <c r="T10" s="127" t="n">
        <v>-258050.5</v>
      </c>
      <c r="U10" s="127">
        <f>-(SUM($M10:T10)+1098000)</f>
        <v/>
      </c>
      <c r="V10" s="128" t="n">
        <v>-462793.95</v>
      </c>
      <c r="W10" s="128" t="n">
        <v>-466796.14</v>
      </c>
      <c r="X10" s="128" t="n">
        <v>-156531.81</v>
      </c>
      <c r="Y10" s="128" t="n">
        <v>-38000</v>
      </c>
      <c r="Z10" s="128" t="n">
        <v>-84000</v>
      </c>
      <c r="AA10" s="129">
        <f>Z10-Y10</f>
        <v/>
      </c>
      <c r="AD10" s="254" t="inlineStr">
        <is>
          <t>Otros ingresos (egresos) de la operación</t>
        </is>
      </c>
      <c r="AE10" s="255">
        <f>IFERROR(B10/B$2,0)</f>
        <v/>
      </c>
      <c r="AF10" s="255">
        <f>IFERROR(C10/C$2,0)</f>
        <v/>
      </c>
      <c r="AG10" s="255">
        <f>IFERROR(D10/D$2,0)</f>
        <v/>
      </c>
      <c r="AH10" s="255">
        <f>IFERROR(E10/E$2,0)</f>
        <v/>
      </c>
      <c r="AI10" s="255">
        <f>IFERROR(F10/F$2,0)</f>
        <v/>
      </c>
      <c r="AJ10" s="255">
        <f>IFERROR(G10/G$2,0)</f>
        <v/>
      </c>
      <c r="AK10" s="255">
        <f>IFERROR(H10/H$2,0)</f>
        <v/>
      </c>
      <c r="AL10" s="255">
        <f>IFERROR(I10/I$2,0)</f>
        <v/>
      </c>
      <c r="AM10" s="255">
        <f>IFERROR(J10/J$2,0)</f>
        <v/>
      </c>
      <c r="AN10" s="255">
        <f>IFERROR(K10/K$2,0)</f>
        <v/>
      </c>
      <c r="AO10" s="255">
        <f>IFERROR(L10/L$2,0)</f>
        <v/>
      </c>
      <c r="AP10" s="255">
        <f>IFERROR(M10/M$2,0)</f>
        <v/>
      </c>
      <c r="AQ10" s="255">
        <f>IFERROR(N10/N$2,0)</f>
        <v/>
      </c>
      <c r="AR10" s="255">
        <f>IFERROR(O10/O$2,0)</f>
        <v/>
      </c>
      <c r="AS10" s="255">
        <f>IFERROR(P10/P$2,0)</f>
        <v/>
      </c>
      <c r="AT10" s="255">
        <f>IFERROR(Q10/Q$2,0)</f>
        <v/>
      </c>
      <c r="AU10" s="255">
        <f>IFERROR(R10/R$2,0)</f>
        <v/>
      </c>
      <c r="AV10" s="255">
        <f>IFERROR(S10/S$2,0)</f>
        <v/>
      </c>
      <c r="AW10" s="255">
        <f>IFERROR(T10/T$2,0)</f>
        <v/>
      </c>
      <c r="AX10" s="255">
        <f>IFERROR(U10/U$2,0)</f>
        <v/>
      </c>
      <c r="AY10" s="255">
        <f>IFERROR(V10/V$2,0)</f>
        <v/>
      </c>
      <c r="AZ10" s="255">
        <f>IFERROR(W10/W$2,0)</f>
        <v/>
      </c>
      <c r="BA10" s="255">
        <f>IFERROR(X10/X$2,0)</f>
        <v/>
      </c>
      <c r="BB10" s="255">
        <f>IFERROR(Y10/Y$2,0)</f>
        <v/>
      </c>
      <c r="BC10" s="255">
        <f>IFERROR(Z10/Z$2,0)</f>
        <v/>
      </c>
      <c r="BD10" s="255">
        <f>IFERROR(AA10/AA$2,0)</f>
        <v/>
      </c>
      <c r="BE10" s="255">
        <f>IFERROR(AB10/AB$2,0)</f>
        <v/>
      </c>
      <c r="BG10" s="254" t="inlineStr">
        <is>
          <t>Otros ingresos (egresos) de la operación</t>
        </is>
      </c>
      <c r="BH10" s="255" t="inlineStr"/>
      <c r="BI10" s="255">
        <f>IFERROR(C10/B10-1,0)</f>
        <v/>
      </c>
      <c r="BJ10" s="255">
        <f>IFERROR(D10/C10-1,0)</f>
        <v/>
      </c>
      <c r="BK10" s="255">
        <f>IFERROR(E10/D10-1,0)</f>
        <v/>
      </c>
      <c r="BL10" s="255">
        <f>IFERROR(F10/E10-1,0)</f>
        <v/>
      </c>
      <c r="BM10" s="255">
        <f>IFERROR(G10/F10-1,0)</f>
        <v/>
      </c>
      <c r="BN10" s="255">
        <f>IFERROR(H10/G10-1,0)</f>
        <v/>
      </c>
      <c r="BO10" s="255">
        <f>IFERROR(I10/H10-1,0)</f>
        <v/>
      </c>
      <c r="BP10" s="255">
        <f>IFERROR(J10/I10-1,0)</f>
        <v/>
      </c>
      <c r="BQ10" s="255">
        <f>IFERROR(K10/J10-1,0)</f>
        <v/>
      </c>
      <c r="BR10" s="255">
        <f>IFERROR(L10/K10-1,0)</f>
        <v/>
      </c>
      <c r="BS10" s="255">
        <f>IFERROR(M10/L10-1,0)</f>
        <v/>
      </c>
      <c r="BT10" s="255">
        <f>IFERROR(N10/M10-1,0)</f>
        <v/>
      </c>
      <c r="BU10" s="255">
        <f>IFERROR(O10/N10-1,0)</f>
        <v/>
      </c>
      <c r="BV10" s="255">
        <f>IFERROR(P10/O10-1,0)</f>
        <v/>
      </c>
      <c r="BW10" s="255">
        <f>IFERROR(Q10/P10-1,0)</f>
        <v/>
      </c>
      <c r="BX10" s="255">
        <f>IFERROR(R10/Q10-1,0)</f>
        <v/>
      </c>
      <c r="BY10" s="255">
        <f>IFERROR(S10/R10-1,0)</f>
        <v/>
      </c>
      <c r="BZ10" s="255">
        <f>IFERROR(T10/S10-1,0)</f>
        <v/>
      </c>
      <c r="CA10" s="255">
        <f>IFERROR(U10/T10-1,0)</f>
        <v/>
      </c>
      <c r="CB10" s="255">
        <f>IFERROR(V10/U10-1,0)</f>
        <v/>
      </c>
      <c r="CC10" s="255">
        <f>IFERROR(W10/V10-1,0)</f>
        <v/>
      </c>
      <c r="CD10" s="255">
        <f>IFERROR(X10/W10-1,0)</f>
        <v/>
      </c>
      <c r="CE10" s="255">
        <f>IFERROR(Y10/X10-1,0)</f>
        <v/>
      </c>
      <c r="CF10" s="255">
        <f>IFERROR(Z10/Y10-1,0)</f>
        <v/>
      </c>
      <c r="CG10" s="255">
        <f>IFERROR(AA10/Z10-1,0)</f>
        <v/>
      </c>
      <c r="CH10" s="255">
        <f>IFERROR(AB10/AA10-1,0)</f>
        <v/>
      </c>
    </row>
    <row r="11" ht="16" customHeight="1">
      <c r="A11" s="126" t="inlineStr">
        <is>
          <t>Gastos de Administración y Promoción</t>
        </is>
      </c>
      <c r="B11" s="127" t="n">
        <v>-4616000</v>
      </c>
      <c r="C11" s="127" t="n">
        <v>-7689000</v>
      </c>
      <c r="D11" s="127" t="n">
        <v>-13731000</v>
      </c>
      <c r="E11" s="127" t="n">
        <v>-3446000</v>
      </c>
      <c r="F11" s="127" t="n">
        <v>-7176000</v>
      </c>
      <c r="G11" s="127" t="n">
        <v>-11329000</v>
      </c>
      <c r="H11" s="127" t="n">
        <v>-15660000</v>
      </c>
      <c r="I11" s="127" t="n">
        <v>-4272000</v>
      </c>
      <c r="J11" s="127" t="n">
        <v>-8109000</v>
      </c>
      <c r="K11" s="127" t="n">
        <v>-12211000</v>
      </c>
      <c r="L11" s="127" t="n">
        <v>-16138000</v>
      </c>
      <c r="M11" s="127" t="n">
        <v>-1622000</v>
      </c>
      <c r="N11" s="90">
        <f>-2677000-M11</f>
        <v/>
      </c>
      <c r="O11" s="127">
        <f>-4358000-SUM(M11:N11)</f>
        <v/>
      </c>
      <c r="P11" s="127" t="n">
        <v>-1590408</v>
      </c>
      <c r="Q11" s="127" t="n">
        <v>-1955019.41</v>
      </c>
      <c r="R11" s="127">
        <f>-9500000-SUM(M11:Q11)</f>
        <v/>
      </c>
      <c r="S11" s="127" t="n">
        <v>-1598596.95</v>
      </c>
      <c r="T11" s="127" t="n">
        <v>-1622859.01</v>
      </c>
      <c r="U11" s="127">
        <f>-(SUM($M11:T11)+13964000)</f>
        <v/>
      </c>
      <c r="V11" s="128" t="n">
        <v>-1908771.3</v>
      </c>
      <c r="W11" s="128" t="n">
        <v>-1615578.54</v>
      </c>
      <c r="X11" s="128" t="n">
        <v>-1791374.21</v>
      </c>
      <c r="Y11" s="128" t="n">
        <v>-2031000</v>
      </c>
      <c r="Z11" s="128" t="n">
        <v>-3703000</v>
      </c>
      <c r="AA11" s="129">
        <f>Z11-Y11</f>
        <v/>
      </c>
      <c r="AD11" s="254" t="inlineStr">
        <is>
          <t>Gastos de Administración y Promoción</t>
        </is>
      </c>
      <c r="AE11" s="255">
        <f>IFERROR(B11/B$2,0)</f>
        <v/>
      </c>
      <c r="AF11" s="255">
        <f>IFERROR(C11/C$2,0)</f>
        <v/>
      </c>
      <c r="AG11" s="255">
        <f>IFERROR(D11/D$2,0)</f>
        <v/>
      </c>
      <c r="AH11" s="255">
        <f>IFERROR(E11/E$2,0)</f>
        <v/>
      </c>
      <c r="AI11" s="255">
        <f>IFERROR(F11/F$2,0)</f>
        <v/>
      </c>
      <c r="AJ11" s="255">
        <f>IFERROR(G11/G$2,0)</f>
        <v/>
      </c>
      <c r="AK11" s="255">
        <f>IFERROR(H11/H$2,0)</f>
        <v/>
      </c>
      <c r="AL11" s="255">
        <f>IFERROR(I11/I$2,0)</f>
        <v/>
      </c>
      <c r="AM11" s="255">
        <f>IFERROR(J11/J$2,0)</f>
        <v/>
      </c>
      <c r="AN11" s="255">
        <f>IFERROR(K11/K$2,0)</f>
        <v/>
      </c>
      <c r="AO11" s="255">
        <f>IFERROR(L11/L$2,0)</f>
        <v/>
      </c>
      <c r="AP11" s="255">
        <f>IFERROR(M11/M$2,0)</f>
        <v/>
      </c>
      <c r="AQ11" s="255">
        <f>IFERROR(N11/N$2,0)</f>
        <v/>
      </c>
      <c r="AR11" s="255">
        <f>IFERROR(O11/O$2,0)</f>
        <v/>
      </c>
      <c r="AS11" s="255">
        <f>IFERROR(P11/P$2,0)</f>
        <v/>
      </c>
      <c r="AT11" s="255">
        <f>IFERROR(Q11/Q$2,0)</f>
        <v/>
      </c>
      <c r="AU11" s="255">
        <f>IFERROR(R11/R$2,0)</f>
        <v/>
      </c>
      <c r="AV11" s="255">
        <f>IFERROR(S11/S$2,0)</f>
        <v/>
      </c>
      <c r="AW11" s="255">
        <f>IFERROR(T11/T$2,0)</f>
        <v/>
      </c>
      <c r="AX11" s="255">
        <f>IFERROR(U11/U$2,0)</f>
        <v/>
      </c>
      <c r="AY11" s="255">
        <f>IFERROR(V11/V$2,0)</f>
        <v/>
      </c>
      <c r="AZ11" s="255">
        <f>IFERROR(W11/W$2,0)</f>
        <v/>
      </c>
      <c r="BA11" s="255">
        <f>IFERROR(X11/X$2,0)</f>
        <v/>
      </c>
      <c r="BB11" s="255">
        <f>IFERROR(Y11/Y$2,0)</f>
        <v/>
      </c>
      <c r="BC11" s="255">
        <f>IFERROR(Z11/Z$2,0)</f>
        <v/>
      </c>
      <c r="BD11" s="255">
        <f>IFERROR(AA11/AA$2,0)</f>
        <v/>
      </c>
      <c r="BE11" s="255">
        <f>IFERROR(AB11/AB$2,0)</f>
        <v/>
      </c>
      <c r="BG11" s="254" t="inlineStr">
        <is>
          <t>Gastos de Administración y Promoción</t>
        </is>
      </c>
      <c r="BH11" s="255" t="inlineStr"/>
      <c r="BI11" s="255">
        <f>IFERROR(C11/B11-1,0)</f>
        <v/>
      </c>
      <c r="BJ11" s="255">
        <f>IFERROR(D11/C11-1,0)</f>
        <v/>
      </c>
      <c r="BK11" s="255">
        <f>IFERROR(E11/D11-1,0)</f>
        <v/>
      </c>
      <c r="BL11" s="255">
        <f>IFERROR(F11/E11-1,0)</f>
        <v/>
      </c>
      <c r="BM11" s="255">
        <f>IFERROR(G11/F11-1,0)</f>
        <v/>
      </c>
      <c r="BN11" s="255">
        <f>IFERROR(H11/G11-1,0)</f>
        <v/>
      </c>
      <c r="BO11" s="255">
        <f>IFERROR(I11/H11-1,0)</f>
        <v/>
      </c>
      <c r="BP11" s="255">
        <f>IFERROR(J11/I11-1,0)</f>
        <v/>
      </c>
      <c r="BQ11" s="255">
        <f>IFERROR(K11/J11-1,0)</f>
        <v/>
      </c>
      <c r="BR11" s="255">
        <f>IFERROR(L11/K11-1,0)</f>
        <v/>
      </c>
      <c r="BS11" s="255">
        <f>IFERROR(M11/L11-1,0)</f>
        <v/>
      </c>
      <c r="BT11" s="255">
        <f>IFERROR(N11/M11-1,0)</f>
        <v/>
      </c>
      <c r="BU11" s="255">
        <f>IFERROR(O11/N11-1,0)</f>
        <v/>
      </c>
      <c r="BV11" s="255">
        <f>IFERROR(P11/O11-1,0)</f>
        <v/>
      </c>
      <c r="BW11" s="255">
        <f>IFERROR(Q11/P11-1,0)</f>
        <v/>
      </c>
      <c r="BX11" s="255">
        <f>IFERROR(R11/Q11-1,0)</f>
        <v/>
      </c>
      <c r="BY11" s="255">
        <f>IFERROR(S11/R11-1,0)</f>
        <v/>
      </c>
      <c r="BZ11" s="255">
        <f>IFERROR(T11/S11-1,0)</f>
        <v/>
      </c>
      <c r="CA11" s="255">
        <f>IFERROR(U11/T11-1,0)</f>
        <v/>
      </c>
      <c r="CB11" s="255">
        <f>IFERROR(V11/U11-1,0)</f>
        <v/>
      </c>
      <c r="CC11" s="255">
        <f>IFERROR(W11/V11-1,0)</f>
        <v/>
      </c>
      <c r="CD11" s="255">
        <f>IFERROR(X11/W11-1,0)</f>
        <v/>
      </c>
      <c r="CE11" s="255">
        <f>IFERROR(Y11/X11-1,0)</f>
        <v/>
      </c>
      <c r="CF11" s="255">
        <f>IFERROR(Z11/Y11-1,0)</f>
        <v/>
      </c>
      <c r="CG11" s="255">
        <f>IFERROR(AA11/Z11-1,0)</f>
        <v/>
      </c>
      <c r="CH11" s="255">
        <f>IFERROR(AB11/AA11-1,0)</f>
        <v/>
      </c>
    </row>
    <row r="12" ht="16" customHeight="1">
      <c r="A12" s="126" t="inlineStr">
        <is>
          <t>Impuestos a la utilidad y diferido</t>
        </is>
      </c>
      <c r="B12" s="127" t="n">
        <v>434000</v>
      </c>
      <c r="C12" s="127" t="n">
        <v>378000</v>
      </c>
      <c r="D12" s="127" t="n">
        <v>449000</v>
      </c>
      <c r="E12" s="127" t="n">
        <v>0</v>
      </c>
      <c r="F12" s="127" t="n">
        <v>-154000</v>
      </c>
      <c r="G12" s="127" t="n">
        <v>-174000</v>
      </c>
      <c r="H12" s="127" t="n">
        <v>-332000</v>
      </c>
      <c r="I12" s="127" t="n">
        <v>0</v>
      </c>
      <c r="J12" s="127" t="n">
        <v>0</v>
      </c>
      <c r="K12" s="127" t="n">
        <v>0</v>
      </c>
      <c r="L12" s="127" t="n">
        <v>0</v>
      </c>
      <c r="M12" s="127" t="n">
        <v>0</v>
      </c>
      <c r="N12" s="90">
        <f>0-M12</f>
        <v/>
      </c>
      <c r="O12" s="127" t="n">
        <v>0</v>
      </c>
      <c r="P12" s="127" t="n">
        <v>0</v>
      </c>
      <c r="Q12" s="127" t="n">
        <v>0</v>
      </c>
      <c r="R12" s="127">
        <f>0-SUM(M12:Q12)</f>
        <v/>
      </c>
      <c r="S12" s="127">
        <f>0-SUM(N12:R12)</f>
        <v/>
      </c>
      <c r="T12" s="127">
        <f>0-SUM(O12:S12)</f>
        <v/>
      </c>
      <c r="U12" s="127">
        <f>SUM($M12:T12)+0</f>
        <v/>
      </c>
      <c r="V12" s="128" t="n">
        <v>0</v>
      </c>
      <c r="W12" s="128" t="n"/>
      <c r="X12" s="128" t="n"/>
      <c r="Y12" s="128" t="n">
        <v>0</v>
      </c>
      <c r="Z12" s="128" t="n">
        <v>0</v>
      </c>
      <c r="AA12" s="129">
        <f>Z12-Y12</f>
        <v/>
      </c>
      <c r="AD12" s="254" t="inlineStr">
        <is>
          <t>Impuestos a la utilidad y diferido</t>
        </is>
      </c>
      <c r="AE12" s="255">
        <f>IFERROR(B12/B$2,0)</f>
        <v/>
      </c>
      <c r="AF12" s="255">
        <f>IFERROR(C12/C$2,0)</f>
        <v/>
      </c>
      <c r="AG12" s="255">
        <f>IFERROR(D12/D$2,0)</f>
        <v/>
      </c>
      <c r="AH12" s="255">
        <f>IFERROR(E12/E$2,0)</f>
        <v/>
      </c>
      <c r="AI12" s="255">
        <f>IFERROR(F12/F$2,0)</f>
        <v/>
      </c>
      <c r="AJ12" s="255">
        <f>IFERROR(G12/G$2,0)</f>
        <v/>
      </c>
      <c r="AK12" s="255">
        <f>IFERROR(H12/H$2,0)</f>
        <v/>
      </c>
      <c r="AL12" s="255">
        <f>IFERROR(I12/I$2,0)</f>
        <v/>
      </c>
      <c r="AM12" s="255">
        <f>IFERROR(J12/J$2,0)</f>
        <v/>
      </c>
      <c r="AN12" s="255">
        <f>IFERROR(K12/K$2,0)</f>
        <v/>
      </c>
      <c r="AO12" s="255">
        <f>IFERROR(L12/L$2,0)</f>
        <v/>
      </c>
      <c r="AP12" s="255">
        <f>IFERROR(M12/M$2,0)</f>
        <v/>
      </c>
      <c r="AQ12" s="255">
        <f>IFERROR(N12/N$2,0)</f>
        <v/>
      </c>
      <c r="AR12" s="255">
        <f>IFERROR(O12/O$2,0)</f>
        <v/>
      </c>
      <c r="AS12" s="255">
        <f>IFERROR(P12/P$2,0)</f>
        <v/>
      </c>
      <c r="AT12" s="255">
        <f>IFERROR(Q12/Q$2,0)</f>
        <v/>
      </c>
      <c r="AU12" s="255">
        <f>IFERROR(R12/R$2,0)</f>
        <v/>
      </c>
      <c r="AV12" s="255">
        <f>IFERROR(S12/S$2,0)</f>
        <v/>
      </c>
      <c r="AW12" s="255">
        <f>IFERROR(T12/T$2,0)</f>
        <v/>
      </c>
      <c r="AX12" s="255">
        <f>IFERROR(U12/U$2,0)</f>
        <v/>
      </c>
      <c r="AY12" s="255">
        <f>IFERROR(V12/V$2,0)</f>
        <v/>
      </c>
      <c r="AZ12" s="255">
        <f>IFERROR(W12/W$2,0)</f>
        <v/>
      </c>
      <c r="BA12" s="255">
        <f>IFERROR(X12/X$2,0)</f>
        <v/>
      </c>
      <c r="BB12" s="255">
        <f>IFERROR(Y12/Y$2,0)</f>
        <v/>
      </c>
      <c r="BC12" s="255">
        <f>IFERROR(Z12/Z$2,0)</f>
        <v/>
      </c>
      <c r="BD12" s="255">
        <f>IFERROR(AA12/AA$2,0)</f>
        <v/>
      </c>
      <c r="BE12" s="255">
        <f>IFERROR(AB12/AB$2,0)</f>
        <v/>
      </c>
      <c r="BG12" s="254" t="inlineStr">
        <is>
          <t>Impuestos a la utilidad y diferido</t>
        </is>
      </c>
      <c r="BH12" s="255" t="inlineStr"/>
      <c r="BI12" s="255">
        <f>IFERROR(C12/B12-1,0)</f>
        <v/>
      </c>
      <c r="BJ12" s="255">
        <f>IFERROR(D12/C12-1,0)</f>
        <v/>
      </c>
      <c r="BK12" s="255">
        <f>IFERROR(E12/D12-1,0)</f>
        <v/>
      </c>
      <c r="BL12" s="255">
        <f>IFERROR(F12/E12-1,0)</f>
        <v/>
      </c>
      <c r="BM12" s="255">
        <f>IFERROR(G12/F12-1,0)</f>
        <v/>
      </c>
      <c r="BN12" s="255">
        <f>IFERROR(H12/G12-1,0)</f>
        <v/>
      </c>
      <c r="BO12" s="255">
        <f>IFERROR(I12/H12-1,0)</f>
        <v/>
      </c>
      <c r="BP12" s="255">
        <f>IFERROR(J12/I12-1,0)</f>
        <v/>
      </c>
      <c r="BQ12" s="255">
        <f>IFERROR(K12/J12-1,0)</f>
        <v/>
      </c>
      <c r="BR12" s="255">
        <f>IFERROR(L12/K12-1,0)</f>
        <v/>
      </c>
      <c r="BS12" s="255">
        <f>IFERROR(M12/L12-1,0)</f>
        <v/>
      </c>
      <c r="BT12" s="255">
        <f>IFERROR(N12/M12-1,0)</f>
        <v/>
      </c>
      <c r="BU12" s="255">
        <f>IFERROR(O12/N12-1,0)</f>
        <v/>
      </c>
      <c r="BV12" s="255">
        <f>IFERROR(P12/O12-1,0)</f>
        <v/>
      </c>
      <c r="BW12" s="255">
        <f>IFERROR(Q12/P12-1,0)</f>
        <v/>
      </c>
      <c r="BX12" s="255">
        <f>IFERROR(R12/Q12-1,0)</f>
        <v/>
      </c>
      <c r="BY12" s="255">
        <f>IFERROR(S12/R12-1,0)</f>
        <v/>
      </c>
      <c r="BZ12" s="255">
        <f>IFERROR(T12/S12-1,0)</f>
        <v/>
      </c>
      <c r="CA12" s="255">
        <f>IFERROR(U12/T12-1,0)</f>
        <v/>
      </c>
      <c r="CB12" s="255">
        <f>IFERROR(V12/U12-1,0)</f>
        <v/>
      </c>
      <c r="CC12" s="255">
        <f>IFERROR(W12/V12-1,0)</f>
        <v/>
      </c>
      <c r="CD12" s="255">
        <f>IFERROR(X12/W12-1,0)</f>
        <v/>
      </c>
      <c r="CE12" s="255">
        <f>IFERROR(Y12/X12-1,0)</f>
        <v/>
      </c>
      <c r="CF12" s="255">
        <f>IFERROR(Z12/Y12-1,0)</f>
        <v/>
      </c>
      <c r="CG12" s="255">
        <f>IFERROR(AA12/Z12-1,0)</f>
        <v/>
      </c>
      <c r="CH12" s="255">
        <f>IFERROR(AB12/AA12-1,0)</f>
        <v/>
      </c>
    </row>
    <row r="13" ht="16" customHeight="1">
      <c r="A13" s="132" t="inlineStr">
        <is>
          <t>Resultado Neto</t>
        </is>
      </c>
      <c r="B13" s="133" t="n">
        <v>837000</v>
      </c>
      <c r="C13" s="133" t="n">
        <v>113000</v>
      </c>
      <c r="D13" s="133" t="n">
        <v>-3879000</v>
      </c>
      <c r="E13" s="133" t="n">
        <v>-1478000</v>
      </c>
      <c r="F13" s="133" t="n">
        <v>-3825000</v>
      </c>
      <c r="G13" s="133" t="n">
        <v>-5418000</v>
      </c>
      <c r="H13" s="133" t="n">
        <v>-7495000</v>
      </c>
      <c r="I13" s="133" t="n">
        <v>-1911000</v>
      </c>
      <c r="J13" s="133" t="n">
        <v>-3160000</v>
      </c>
      <c r="K13" s="133" t="n">
        <v>-4707000</v>
      </c>
      <c r="L13" s="133">
        <f>SUM(L10:L12)+L9</f>
        <v/>
      </c>
      <c r="M13" s="133">
        <f>SUM(M10:M12)+M9</f>
        <v/>
      </c>
      <c r="N13" s="133">
        <f>SUM(N10:N12)+N9</f>
        <v/>
      </c>
      <c r="O13" s="133">
        <f>SUM(O10:O12)+O9</f>
        <v/>
      </c>
      <c r="P13" s="133">
        <f>SUM(P10:P12)+P9</f>
        <v/>
      </c>
      <c r="Q13" s="133">
        <f>SUM(Q10:Q12)+Q9</f>
        <v/>
      </c>
      <c r="R13" s="133">
        <f>SUM(R10:R12)+R9</f>
        <v/>
      </c>
      <c r="S13" s="133">
        <f>SUM(S10:S12)+S9</f>
        <v/>
      </c>
      <c r="T13" s="133">
        <f>SUM(T10:T12)+T9</f>
        <v/>
      </c>
      <c r="U13" s="133">
        <f>SUM(U10:U12)+U9</f>
        <v/>
      </c>
      <c r="V13" s="133">
        <f>SUM(V10:V12)+V9</f>
        <v/>
      </c>
      <c r="W13" s="133">
        <f>SUM(W10:W12)+W9</f>
        <v/>
      </c>
      <c r="X13" s="133">
        <f>SUM(X10:X12)+X9</f>
        <v/>
      </c>
      <c r="Y13" s="133">
        <f>SUM(Y10:Y12)+Y9</f>
        <v/>
      </c>
      <c r="Z13" s="129">
        <f>Z9+Z10+Z11</f>
        <v/>
      </c>
      <c r="AA13" s="129">
        <f>Z13-Y13</f>
        <v/>
      </c>
      <c r="AD13" s="256" t="inlineStr">
        <is>
          <t>Resultado Neto</t>
        </is>
      </c>
      <c r="AE13" s="257">
        <f>IFERROR(B13/B$2,0)</f>
        <v/>
      </c>
      <c r="AF13" s="257">
        <f>IFERROR(C13/C$2,0)</f>
        <v/>
      </c>
      <c r="AG13" s="257">
        <f>IFERROR(D13/D$2,0)</f>
        <v/>
      </c>
      <c r="AH13" s="257">
        <f>IFERROR(E13/E$2,0)</f>
        <v/>
      </c>
      <c r="AI13" s="257">
        <f>IFERROR(F13/F$2,0)</f>
        <v/>
      </c>
      <c r="AJ13" s="257">
        <f>IFERROR(G13/G$2,0)</f>
        <v/>
      </c>
      <c r="AK13" s="257">
        <f>IFERROR(H13/H$2,0)</f>
        <v/>
      </c>
      <c r="AL13" s="257">
        <f>IFERROR(I13/I$2,0)</f>
        <v/>
      </c>
      <c r="AM13" s="257">
        <f>IFERROR(J13/J$2,0)</f>
        <v/>
      </c>
      <c r="AN13" s="257">
        <f>IFERROR(K13/K$2,0)</f>
        <v/>
      </c>
      <c r="AO13" s="257">
        <f>IFERROR(L13/L$2,0)</f>
        <v/>
      </c>
      <c r="AP13" s="257">
        <f>IFERROR(M13/M$2,0)</f>
        <v/>
      </c>
      <c r="AQ13" s="257">
        <f>IFERROR(N13/N$2,0)</f>
        <v/>
      </c>
      <c r="AR13" s="257">
        <f>IFERROR(O13/O$2,0)</f>
        <v/>
      </c>
      <c r="AS13" s="257">
        <f>IFERROR(P13/P$2,0)</f>
        <v/>
      </c>
      <c r="AT13" s="257">
        <f>IFERROR(Q13/Q$2,0)</f>
        <v/>
      </c>
      <c r="AU13" s="257">
        <f>IFERROR(R13/R$2,0)</f>
        <v/>
      </c>
      <c r="AV13" s="257">
        <f>IFERROR(S13/S$2,0)</f>
        <v/>
      </c>
      <c r="AW13" s="257">
        <f>IFERROR(T13/T$2,0)</f>
        <v/>
      </c>
      <c r="AX13" s="257">
        <f>IFERROR(U13/U$2,0)</f>
        <v/>
      </c>
      <c r="AY13" s="257">
        <f>IFERROR(V13/V$2,0)</f>
        <v/>
      </c>
      <c r="AZ13" s="257">
        <f>IFERROR(W13/W$2,0)</f>
        <v/>
      </c>
      <c r="BA13" s="257">
        <f>IFERROR(X13/X$2,0)</f>
        <v/>
      </c>
      <c r="BB13" s="257">
        <f>IFERROR(Y13/Y$2,0)</f>
        <v/>
      </c>
      <c r="BC13" s="257">
        <f>IFERROR(Z13/Z$2,0)</f>
        <v/>
      </c>
      <c r="BD13" s="257">
        <f>IFERROR(AA13/AA$2,0)</f>
        <v/>
      </c>
      <c r="BE13" s="257">
        <f>IFERROR(AB13/AB$2,0)</f>
        <v/>
      </c>
      <c r="BG13" s="256" t="inlineStr">
        <is>
          <t>Resultado Neto</t>
        </is>
      </c>
      <c r="BH13" s="257" t="inlineStr"/>
      <c r="BI13" s="257">
        <f>IFERROR(C13/B13-1,0)</f>
        <v/>
      </c>
      <c r="BJ13" s="257">
        <f>IFERROR(D13/C13-1,0)</f>
        <v/>
      </c>
      <c r="BK13" s="257">
        <f>IFERROR(E13/D13-1,0)</f>
        <v/>
      </c>
      <c r="BL13" s="257">
        <f>IFERROR(F13/E13-1,0)</f>
        <v/>
      </c>
      <c r="BM13" s="257">
        <f>IFERROR(G13/F13-1,0)</f>
        <v/>
      </c>
      <c r="BN13" s="257">
        <f>IFERROR(H13/G13-1,0)</f>
        <v/>
      </c>
      <c r="BO13" s="257">
        <f>IFERROR(I13/H13-1,0)</f>
        <v/>
      </c>
      <c r="BP13" s="257">
        <f>IFERROR(J13/I13-1,0)</f>
        <v/>
      </c>
      <c r="BQ13" s="257">
        <f>IFERROR(K13/J13-1,0)</f>
        <v/>
      </c>
      <c r="BR13" s="257">
        <f>IFERROR(L13/K13-1,0)</f>
        <v/>
      </c>
      <c r="BS13" s="257">
        <f>IFERROR(M13/L13-1,0)</f>
        <v/>
      </c>
      <c r="BT13" s="257">
        <f>IFERROR(N13/M13-1,0)</f>
        <v/>
      </c>
      <c r="BU13" s="257">
        <f>IFERROR(O13/N13-1,0)</f>
        <v/>
      </c>
      <c r="BV13" s="257">
        <f>IFERROR(P13/O13-1,0)</f>
        <v/>
      </c>
      <c r="BW13" s="257">
        <f>IFERROR(Q13/P13-1,0)</f>
        <v/>
      </c>
      <c r="BX13" s="257">
        <f>IFERROR(R13/Q13-1,0)</f>
        <v/>
      </c>
      <c r="BY13" s="257">
        <f>IFERROR(S13/R13-1,0)</f>
        <v/>
      </c>
      <c r="BZ13" s="257">
        <f>IFERROR(T13/S13-1,0)</f>
        <v/>
      </c>
      <c r="CA13" s="257">
        <f>IFERROR(U13/T13-1,0)</f>
        <v/>
      </c>
      <c r="CB13" s="257">
        <f>IFERROR(V13/U13-1,0)</f>
        <v/>
      </c>
      <c r="CC13" s="257">
        <f>IFERROR(W13/V13-1,0)</f>
        <v/>
      </c>
      <c r="CD13" s="257">
        <f>IFERROR(X13/W13-1,0)</f>
        <v/>
      </c>
      <c r="CE13" s="257">
        <f>IFERROR(Y13/X13-1,0)</f>
        <v/>
      </c>
      <c r="CF13" s="257">
        <f>IFERROR(Z13/Y13-1,0)</f>
        <v/>
      </c>
      <c r="CG13" s="257">
        <f>IFERROR(AA13/Z13-1,0)</f>
        <v/>
      </c>
      <c r="CH13" s="257">
        <f>IFERROR(AB13/AA13-1,0)</f>
        <v/>
      </c>
    </row>
    <row r="14" ht="16" customHeight="1">
      <c r="B14" s="135" t="n">
        <v>6</v>
      </c>
      <c r="C14" s="135" t="n">
        <v>9</v>
      </c>
      <c r="D14" s="135" t="n">
        <v>12</v>
      </c>
      <c r="E14" s="135" t="n">
        <v>3</v>
      </c>
      <c r="F14" s="135" t="n">
        <v>6</v>
      </c>
      <c r="G14" s="135" t="n">
        <v>9</v>
      </c>
      <c r="H14" s="135" t="n">
        <v>12</v>
      </c>
      <c r="I14" s="135" t="n">
        <v>3</v>
      </c>
      <c r="J14" s="135" t="n">
        <v>6</v>
      </c>
      <c r="K14" s="135" t="n">
        <v>9</v>
      </c>
      <c r="L14" s="135" t="n">
        <v>12</v>
      </c>
      <c r="M14" s="136" t="n">
        <v>1</v>
      </c>
      <c r="N14" s="136" t="n">
        <v>2</v>
      </c>
      <c r="V14" s="110" t="inlineStr">
        <is>
          <t>|</t>
        </is>
      </c>
      <c r="W14" s="110" t="inlineStr">
        <is>
          <t>|</t>
        </is>
      </c>
      <c r="X14" s="110" t="inlineStr">
        <is>
          <t>|</t>
        </is>
      </c>
      <c r="Y14" s="110" t="inlineStr">
        <is>
          <t>|</t>
        </is>
      </c>
    </row>
    <row r="15" ht="16" customHeight="1">
      <c r="A15" s="123" t="inlineStr">
        <is>
          <t>Cuentas Bajo Administración</t>
        </is>
      </c>
      <c r="B15" s="124" t="n">
        <v>44713</v>
      </c>
      <c r="C15" s="124" t="n">
        <v>44805</v>
      </c>
      <c r="D15" s="124" t="n">
        <v>44896</v>
      </c>
      <c r="E15" s="124" t="n">
        <v>44986</v>
      </c>
      <c r="F15" s="124" t="n">
        <v>45078</v>
      </c>
      <c r="G15" s="124" t="n">
        <v>45170</v>
      </c>
      <c r="H15" s="124" t="n">
        <v>45261</v>
      </c>
      <c r="I15" s="124" t="n">
        <v>45352</v>
      </c>
      <c r="J15" s="124" t="n">
        <v>45444</v>
      </c>
      <c r="K15" s="124" t="n">
        <v>45536</v>
      </c>
      <c r="L15" s="124" t="n">
        <v>45627</v>
      </c>
      <c r="M15" s="124" t="n">
        <v>45658</v>
      </c>
      <c r="N15" s="124" t="n">
        <v>45689</v>
      </c>
      <c r="O15" s="124" t="n">
        <v>45717</v>
      </c>
      <c r="P15" s="124" t="n">
        <v>45748</v>
      </c>
      <c r="Q15" s="124" t="n">
        <v>45778</v>
      </c>
      <c r="R15" s="124" t="n">
        <v>45809</v>
      </c>
      <c r="S15" s="124" t="n">
        <v>45839</v>
      </c>
      <c r="T15" s="124" t="n">
        <v>45870</v>
      </c>
      <c r="U15" s="125" t="n">
        <v>45901</v>
      </c>
      <c r="V15" s="125" t="n">
        <v>45931</v>
      </c>
      <c r="W15" s="125" t="n">
        <v>45931</v>
      </c>
      <c r="X15" s="125" t="n">
        <v>45992</v>
      </c>
      <c r="Y15" s="125" t="n">
        <v>46023</v>
      </c>
      <c r="Z15" s="125" t="n">
        <v>46054</v>
      </c>
    </row>
    <row r="16" ht="16" customHeight="1">
      <c r="A16" s="137" t="inlineStr">
        <is>
          <t>Deuda cuentas corrientes</t>
        </is>
      </c>
      <c r="B16" s="127" t="n">
        <v>2339000</v>
      </c>
      <c r="C16" s="127" t="n">
        <v>3307000</v>
      </c>
      <c r="D16" s="127" t="n">
        <v>5406000</v>
      </c>
      <c r="E16" s="127" t="n">
        <v>4330000</v>
      </c>
      <c r="F16" s="127" t="n">
        <v>4512000</v>
      </c>
      <c r="G16" s="127" t="n">
        <v>4995000</v>
      </c>
      <c r="H16" s="127" t="n">
        <v>6718000</v>
      </c>
      <c r="I16" s="127" t="n">
        <v>5575000</v>
      </c>
      <c r="J16" s="127" t="n">
        <v>5215000</v>
      </c>
      <c r="K16" s="127" t="n">
        <v>6889000</v>
      </c>
      <c r="L16" s="127" t="n">
        <v>11052000</v>
      </c>
      <c r="M16" s="127" t="n">
        <v>10315000</v>
      </c>
      <c r="N16" s="127" t="n">
        <v>10349000</v>
      </c>
      <c r="O16" s="127" t="n">
        <v>10201000</v>
      </c>
      <c r="P16" s="127" t="n">
        <v>6418014</v>
      </c>
      <c r="Q16" s="127" t="n"/>
      <c r="R16" s="127" t="n">
        <v>3424000</v>
      </c>
      <c r="U16" s="128" t="n">
        <v>4130000</v>
      </c>
      <c r="V16" s="128" t="n"/>
      <c r="W16" s="128" t="n"/>
      <c r="X16" s="128" t="n"/>
      <c r="Y16" s="128" t="n">
        <v>5222000</v>
      </c>
      <c r="Z16" s="128" t="n">
        <v>7042000</v>
      </c>
    </row>
    <row r="17" ht="16" customHeight="1">
      <c r="A17" s="137" t="inlineStr">
        <is>
          <t>Depósitos de inversionistas</t>
        </is>
      </c>
      <c r="B17" s="127" t="n">
        <v>4458000</v>
      </c>
      <c r="C17" s="127" t="n">
        <v>5356000</v>
      </c>
      <c r="D17" s="127" t="n">
        <v>4906000</v>
      </c>
      <c r="E17" s="127" t="n">
        <v>7587000</v>
      </c>
      <c r="F17" s="127" t="n">
        <v>7267000</v>
      </c>
      <c r="G17" s="127" t="n">
        <v>6142000</v>
      </c>
      <c r="H17" s="127" t="n">
        <v>6825000</v>
      </c>
      <c r="I17" s="127" t="n">
        <v>8451000</v>
      </c>
      <c r="J17" s="127" t="n">
        <v>9034000</v>
      </c>
      <c r="K17" s="127" t="n">
        <v>8643000</v>
      </c>
      <c r="L17" s="127" t="n">
        <v>7734000</v>
      </c>
      <c r="M17" s="127" t="n">
        <v>7538000</v>
      </c>
      <c r="N17" s="127" t="n">
        <v>7236000</v>
      </c>
      <c r="O17" s="127" t="n">
        <v>7543000</v>
      </c>
      <c r="P17" s="127" t="n">
        <v>10336837</v>
      </c>
      <c r="Q17" s="127" t="n"/>
      <c r="R17" s="127" t="n">
        <v>11544000</v>
      </c>
      <c r="U17" s="128" t="n">
        <v>7770000</v>
      </c>
      <c r="V17" s="128" t="n"/>
      <c r="W17" s="128" t="n"/>
      <c r="X17" s="128" t="n"/>
      <c r="Y17" s="128" t="n">
        <v>7943000</v>
      </c>
      <c r="Z17" s="128" t="n">
        <v>10938000</v>
      </c>
    </row>
    <row r="18" ht="16" customHeight="1">
      <c r="A18" s="137" t="inlineStr">
        <is>
          <t>Otras cuentas corrientes</t>
        </is>
      </c>
      <c r="B18" s="127" t="n">
        <v>6524000</v>
      </c>
      <c r="C18" s="127" t="n">
        <v>8079000</v>
      </c>
      <c r="D18" s="127" t="n">
        <v>10063000</v>
      </c>
      <c r="E18" s="127" t="n">
        <v>11779000</v>
      </c>
      <c r="F18" s="127" t="n">
        <v>11608000</v>
      </c>
      <c r="G18" s="127" t="n">
        <v>10980000</v>
      </c>
      <c r="H18" s="127" t="n">
        <v>13791000</v>
      </c>
      <c r="I18" s="127" t="n">
        <v>13851000</v>
      </c>
      <c r="J18" s="127" t="n">
        <v>13566000</v>
      </c>
      <c r="K18" s="127" t="n">
        <v>15240000</v>
      </c>
      <c r="L18" s="127" t="n">
        <v>17276000</v>
      </c>
      <c r="M18" s="127" t="n">
        <v>13842000</v>
      </c>
      <c r="N18" s="127" t="n">
        <v>17655000</v>
      </c>
      <c r="O18" s="127" t="n">
        <v>18747000</v>
      </c>
      <c r="P18" s="127" t="n">
        <v>17709968</v>
      </c>
      <c r="Q18" s="127" t="n"/>
      <c r="R18" s="127" t="n">
        <v>0</v>
      </c>
      <c r="U18" s="128" t="n">
        <v>12210000</v>
      </c>
      <c r="V18" s="128" t="n"/>
      <c r="W18" s="128" t="n"/>
      <c r="X18" s="128" t="n"/>
      <c r="Y18" s="128" t="n">
        <v>13241000</v>
      </c>
      <c r="Z18" s="128" t="n">
        <v>17906000</v>
      </c>
    </row>
    <row r="19" ht="16" customHeight="1">
      <c r="A19" s="137" t="inlineStr">
        <is>
          <t>Instrumentos financieros de clientes en administración</t>
        </is>
      </c>
      <c r="B19" s="127" t="n">
        <v>97373000</v>
      </c>
      <c r="C19" s="127" t="n">
        <v>100058000</v>
      </c>
      <c r="D19" s="127" t="n">
        <v>111072000</v>
      </c>
      <c r="E19" s="127" t="n">
        <v>116535000</v>
      </c>
      <c r="F19" s="127" t="n">
        <v>119344000</v>
      </c>
      <c r="G19" s="127" t="n">
        <v>130759000</v>
      </c>
      <c r="H19" s="127" t="n">
        <v>136571000</v>
      </c>
      <c r="I19" s="127" t="n">
        <v>152097000</v>
      </c>
      <c r="J19" s="127" t="n">
        <v>152920000</v>
      </c>
      <c r="K19" s="127" t="n">
        <v>160492000</v>
      </c>
      <c r="L19" s="127" t="n">
        <v>173957000</v>
      </c>
      <c r="M19" s="127" t="n">
        <v>175565000</v>
      </c>
      <c r="N19" s="127" t="n">
        <v>173917000</v>
      </c>
      <c r="O19" s="127" t="n">
        <v>184923000</v>
      </c>
      <c r="P19" s="127" t="n">
        <v>194537486</v>
      </c>
      <c r="Q19" s="127" t="n"/>
      <c r="R19" s="127" t="n">
        <v>202657000</v>
      </c>
      <c r="U19" s="128" t="n">
        <v>204013000</v>
      </c>
      <c r="V19" s="128" t="n"/>
      <c r="W19" s="128" t="n"/>
      <c r="X19" s="128" t="n"/>
      <c r="Y19" s="128" t="n">
        <v>196293000</v>
      </c>
      <c r="Z19" s="128" t="n">
        <v>196245000</v>
      </c>
    </row>
    <row r="20" ht="16" customHeight="1">
      <c r="A20" s="130" t="inlineStr">
        <is>
          <t>Comisiones vs. Cartera</t>
        </is>
      </c>
      <c r="B20" s="131">
        <f>(B2/B14*12)/B19</f>
        <v/>
      </c>
      <c r="C20" s="131">
        <f>(C2/C14*12)/C19</f>
        <v/>
      </c>
      <c r="D20" s="131">
        <f>(D2/D14*12)/D19</f>
        <v/>
      </c>
      <c r="E20" s="131">
        <f>(E2/E14*12)/E19</f>
        <v/>
      </c>
      <c r="F20" s="131">
        <f>(F2/F14*12)/F19</f>
        <v/>
      </c>
      <c r="G20" s="131">
        <f>(G2/G14*12)/G19</f>
        <v/>
      </c>
      <c r="H20" s="131">
        <f>(H2/H14*12)/H19</f>
        <v/>
      </c>
      <c r="I20" s="131">
        <f>(I2/I14*12)/I19</f>
        <v/>
      </c>
      <c r="J20" s="131">
        <f>(J2/J14*12)/J19</f>
        <v/>
      </c>
      <c r="K20" s="131">
        <f>(K2/K14*12)/K19</f>
        <v/>
      </c>
      <c r="L20" s="131">
        <f>(L2/L14*12)/L19</f>
        <v/>
      </c>
      <c r="M20" s="131">
        <f>(M2*12)/M19</f>
        <v/>
      </c>
      <c r="N20" s="131">
        <f>(N2*12)/N19</f>
        <v/>
      </c>
      <c r="O20" s="131">
        <f>(O2*12)/O19</f>
        <v/>
      </c>
      <c r="P20" s="131">
        <f>(P2*12)/P19</f>
        <v/>
      </c>
      <c r="Q20" s="131">
        <f>(Q2*12)/Q19</f>
        <v/>
      </c>
      <c r="R20" s="131">
        <f>(R2*12)/R19</f>
        <v/>
      </c>
      <c r="S20" s="138" t="n"/>
      <c r="T20" s="138" t="n"/>
      <c r="U20" s="131">
        <f>(U2*12)/U19</f>
        <v/>
      </c>
      <c r="V20" s="131">
        <f>(V2*12)/V19</f>
        <v/>
      </c>
      <c r="W20" s="131">
        <f>(W2*12)/W19</f>
        <v/>
      </c>
      <c r="X20" s="131">
        <f>(X2*12)/X19</f>
        <v/>
      </c>
      <c r="Y20" s="131">
        <f>(Y2*12)/Y19</f>
        <v/>
      </c>
      <c r="Z20" s="131">
        <f>(Z2*12)/Z19</f>
        <v/>
      </c>
      <c r="AA20" s="138" t="n"/>
    </row>
    <row r="21" ht="15.75" customHeight="1">
      <c r="A21" s="137" t="inlineStr">
        <is>
          <t>Colaterales recibidos en garanía por cuenta de solicitantes</t>
        </is>
      </c>
      <c r="B21" s="127" t="n">
        <v>117285000</v>
      </c>
      <c r="C21" s="127" t="n">
        <v>125400000</v>
      </c>
      <c r="D21" s="127" t="n">
        <v>134270000</v>
      </c>
      <c r="E21" s="127" t="n">
        <v>151502000</v>
      </c>
      <c r="F21" s="127" t="n">
        <v>166160000</v>
      </c>
      <c r="G21" s="127" t="n">
        <v>186115000</v>
      </c>
      <c r="H21" s="127" t="n">
        <v>203482000</v>
      </c>
      <c r="I21" s="127" t="n">
        <v>198647000</v>
      </c>
      <c r="J21" s="127" t="n">
        <v>208366000</v>
      </c>
      <c r="K21" s="127" t="n">
        <v>216152000</v>
      </c>
      <c r="L21" s="127" t="n">
        <v>231653000</v>
      </c>
      <c r="M21" s="127" t="n">
        <v>233750000</v>
      </c>
      <c r="N21" s="127" t="n">
        <v>242718000</v>
      </c>
      <c r="O21" s="127" t="n">
        <v>247111000</v>
      </c>
      <c r="P21" s="127" t="n">
        <v>253062289</v>
      </c>
      <c r="Q21" s="127" t="n"/>
      <c r="R21" s="127" t="n">
        <v>271081000</v>
      </c>
      <c r="U21" s="128" t="n">
        <v>270589000</v>
      </c>
      <c r="V21" s="128" t="n"/>
      <c r="W21" s="128" t="n"/>
      <c r="X21" s="128" t="n"/>
      <c r="Y21" s="128" t="n">
        <v>252127000</v>
      </c>
      <c r="Z21" s="128" t="n">
        <v>252751000</v>
      </c>
    </row>
    <row r="22" ht="15.75" customHeight="1">
      <c r="A22" s="139" t="inlineStr">
        <is>
          <t>Total Operaciones de Administración</t>
        </is>
      </c>
      <c r="B22" s="133" t="n">
        <v>227979000</v>
      </c>
      <c r="C22" s="133" t="n">
        <v>242200000</v>
      </c>
      <c r="D22" s="133" t="n">
        <v>265717000</v>
      </c>
      <c r="E22" s="133" t="n">
        <v>291733000</v>
      </c>
      <c r="F22" s="133" t="n">
        <v>308891000</v>
      </c>
      <c r="G22" s="133" t="n">
        <v>338991000</v>
      </c>
      <c r="H22" s="133" t="n">
        <v>367387000</v>
      </c>
      <c r="I22" s="133" t="n">
        <v>378621000</v>
      </c>
      <c r="J22" s="133" t="n">
        <v>389101000</v>
      </c>
      <c r="K22" s="133" t="n">
        <v>407416000</v>
      </c>
      <c r="L22" s="133">
        <f>L21+L19+L18+L17+L16</f>
        <v/>
      </c>
      <c r="M22" s="133">
        <f>M21+M19+M18+M17+M16</f>
        <v/>
      </c>
      <c r="N22" s="133">
        <f>N21+N19+N18+N17+N16</f>
        <v/>
      </c>
      <c r="O22" s="133">
        <f>O21+O19+O18+O17+O16</f>
        <v/>
      </c>
      <c r="P22" s="133">
        <f>P21+P19+P18+P17+P16</f>
        <v/>
      </c>
      <c r="Q22" s="133">
        <f>Q21+Q19+Q18+Q17+Q16</f>
        <v/>
      </c>
      <c r="R22" s="133">
        <f>R21+R19+R18+R17+R16</f>
        <v/>
      </c>
      <c r="U22" s="133">
        <f>U21+U19+U18+U17+U16</f>
        <v/>
      </c>
      <c r="V22" s="133">
        <f>V21+V19+V18+V17+V16</f>
        <v/>
      </c>
      <c r="W22" s="133">
        <f>W21+W19+W18+W17+W16</f>
        <v/>
      </c>
      <c r="X22" s="133">
        <f>X21+X19+X18+X17+X16</f>
        <v/>
      </c>
      <c r="Y22" s="133">
        <f>Y21+Y19+Y18+Y17+Y16</f>
        <v/>
      </c>
      <c r="Z22" s="133">
        <f>Z21+Z19+Z18+Z17+Z16</f>
        <v/>
      </c>
    </row>
    <row r="23" ht="15.75" customHeight="1">
      <c r="M23" s="140" t="n">
        <v>1</v>
      </c>
      <c r="N23" s="140" t="n">
        <v>2</v>
      </c>
    </row>
    <row r="24" ht="15.75" customHeight="1">
      <c r="A24" s="123" t="inlineStr">
        <is>
          <t>Balance General</t>
        </is>
      </c>
      <c r="B24" s="124" t="n">
        <v>44713</v>
      </c>
      <c r="C24" s="124" t="n">
        <v>44805</v>
      </c>
      <c r="D24" s="124" t="n">
        <v>44896</v>
      </c>
      <c r="E24" s="124" t="n">
        <v>44986</v>
      </c>
      <c r="F24" s="124" t="n">
        <v>45078</v>
      </c>
      <c r="G24" s="124" t="n">
        <v>45170</v>
      </c>
      <c r="H24" s="124" t="n">
        <v>45261</v>
      </c>
      <c r="I24" s="124" t="n">
        <v>45352</v>
      </c>
      <c r="J24" s="124" t="n">
        <v>45444</v>
      </c>
      <c r="K24" s="124" t="n">
        <v>45536</v>
      </c>
      <c r="L24" s="124" t="n">
        <v>45627</v>
      </c>
      <c r="M24" s="124" t="n">
        <v>45658</v>
      </c>
      <c r="N24" s="124" t="n">
        <v>45689</v>
      </c>
      <c r="O24" s="124" t="n">
        <v>45717</v>
      </c>
      <c r="P24" s="124" t="n">
        <v>45748</v>
      </c>
      <c r="Q24" s="124" t="n">
        <v>45778</v>
      </c>
      <c r="R24" s="124" t="n">
        <v>45809</v>
      </c>
      <c r="S24" s="124" t="n">
        <v>45839</v>
      </c>
      <c r="T24" s="124" t="n">
        <v>45870</v>
      </c>
      <c r="U24" s="125" t="n">
        <v>45901</v>
      </c>
      <c r="V24" s="125" t="n">
        <v>45931</v>
      </c>
      <c r="W24" s="125" t="n">
        <v>45931</v>
      </c>
      <c r="X24" s="125" t="n">
        <v>45992</v>
      </c>
      <c r="Y24" s="125" t="n">
        <v>46023</v>
      </c>
      <c r="Z24" s="125" t="n">
        <v>46054</v>
      </c>
      <c r="AD24" s="251" t="inlineStr">
        <is>
          <t>BG - Analisis vertical (% Total Activo)</t>
        </is>
      </c>
      <c r="AE24" s="251" t="n"/>
      <c r="AF24" s="251" t="n"/>
      <c r="AG24" s="251" t="n"/>
      <c r="AH24" s="251" t="n"/>
      <c r="AI24" s="251" t="n"/>
      <c r="AJ24" s="251" t="n"/>
      <c r="AK24" s="251" t="n"/>
      <c r="AL24" s="251" t="n"/>
      <c r="AM24" s="251" t="n"/>
      <c r="AN24" s="251" t="n"/>
      <c r="AO24" s="251" t="n"/>
      <c r="AP24" s="251" t="n"/>
      <c r="AQ24" s="251" t="n"/>
      <c r="AR24" s="251" t="n"/>
      <c r="AS24" s="251" t="n"/>
      <c r="AT24" s="251" t="n"/>
      <c r="AU24" s="251" t="n"/>
      <c r="AV24" s="251" t="n"/>
      <c r="AW24" s="251" t="n"/>
      <c r="AX24" s="251" t="n"/>
      <c r="AY24" s="251" t="n"/>
      <c r="AZ24" s="251" t="n"/>
      <c r="BA24" s="251" t="n"/>
      <c r="BB24" s="251" t="n"/>
      <c r="BC24" s="251" t="n"/>
      <c r="BD24" s="251" t="n"/>
      <c r="BE24" s="251" t="n"/>
      <c r="BG24" s="258" t="inlineStr">
        <is>
          <t>BG - Analisis horizontal (% vs periodo anterior)</t>
        </is>
      </c>
      <c r="BH24" s="258" t="n"/>
      <c r="BI24" s="258" t="n"/>
      <c r="BJ24" s="258" t="n"/>
      <c r="BK24" s="258" t="n"/>
      <c r="BL24" s="258" t="n"/>
      <c r="BM24" s="258" t="n"/>
      <c r="BN24" s="258" t="n"/>
      <c r="BO24" s="258" t="n"/>
      <c r="BP24" s="258" t="n"/>
      <c r="BQ24" s="258" t="n"/>
      <c r="BR24" s="258" t="n"/>
      <c r="BS24" s="258" t="n"/>
      <c r="BT24" s="258" t="n"/>
      <c r="BU24" s="258" t="n"/>
      <c r="BV24" s="258" t="n"/>
      <c r="BW24" s="258" t="n"/>
      <c r="BX24" s="258" t="n"/>
      <c r="BY24" s="258" t="n"/>
      <c r="BZ24" s="258" t="n"/>
      <c r="CA24" s="258" t="n"/>
      <c r="CB24" s="258" t="n"/>
      <c r="CC24" s="258" t="n"/>
      <c r="CD24" s="258" t="n"/>
      <c r="CE24" s="258" t="n"/>
      <c r="CF24" s="258" t="n"/>
      <c r="CG24" s="258" t="n"/>
      <c r="CH24" s="258" t="n"/>
    </row>
    <row r="25" ht="15.75" customHeight="1">
      <c r="A25" s="137" t="inlineStr">
        <is>
          <t>Efectivo y equivalentes de efectivo</t>
        </is>
      </c>
      <c r="B25" s="127" t="n">
        <v>544000</v>
      </c>
      <c r="C25" s="127" t="n">
        <v>6371000</v>
      </c>
      <c r="D25" s="127" t="n">
        <v>1962000</v>
      </c>
      <c r="E25" s="127" t="n">
        <v>3241000</v>
      </c>
      <c r="F25" s="127" t="n">
        <v>2397000</v>
      </c>
      <c r="G25" s="127" t="n">
        <v>3151000</v>
      </c>
      <c r="H25" s="127" t="n">
        <v>945000</v>
      </c>
      <c r="I25" s="127" t="n">
        <v>113000</v>
      </c>
      <c r="J25" s="127" t="n">
        <v>634000</v>
      </c>
      <c r="K25" s="127" t="n">
        <v>458000</v>
      </c>
      <c r="L25" s="127" t="n">
        <v>334000</v>
      </c>
      <c r="M25" s="127" t="n">
        <v>678000</v>
      </c>
      <c r="N25" s="127" t="n">
        <v>65000</v>
      </c>
      <c r="O25" s="127" t="n">
        <v>443000</v>
      </c>
      <c r="P25" s="127" t="n">
        <v>279981</v>
      </c>
      <c r="Q25" s="127" t="n">
        <v>1501430.3</v>
      </c>
      <c r="R25" s="127" t="n">
        <v>253000</v>
      </c>
      <c r="S25" s="127" t="n">
        <v>661157.8</v>
      </c>
      <c r="T25" s="127" t="n">
        <v>62726.5</v>
      </c>
      <c r="U25" s="128" t="n">
        <v>121000</v>
      </c>
      <c r="V25" s="128" t="n">
        <v>401123.31</v>
      </c>
      <c r="W25" s="128" t="n">
        <v>687768.41</v>
      </c>
      <c r="X25" s="128" t="n">
        <v>290091.799999574</v>
      </c>
      <c r="Y25" s="128" t="n">
        <v>160000</v>
      </c>
      <c r="Z25" s="128" t="n">
        <v>813000</v>
      </c>
      <c r="AD25" s="252" t="inlineStr">
        <is>
          <t>Efectivo y equivalentes de efectivo</t>
        </is>
      </c>
      <c r="AE25" s="253">
        <f>IFERROR(B25/B$33,0)</f>
        <v/>
      </c>
      <c r="AF25" s="253">
        <f>IFERROR(C25/C$33,0)</f>
        <v/>
      </c>
      <c r="AG25" s="253">
        <f>IFERROR(D25/D$33,0)</f>
        <v/>
      </c>
      <c r="AH25" s="253">
        <f>IFERROR(E25/E$33,0)</f>
        <v/>
      </c>
      <c r="AI25" s="253">
        <f>IFERROR(F25/F$33,0)</f>
        <v/>
      </c>
      <c r="AJ25" s="253">
        <f>IFERROR(G25/G$33,0)</f>
        <v/>
      </c>
      <c r="AK25" s="253">
        <f>IFERROR(H25/H$33,0)</f>
        <v/>
      </c>
      <c r="AL25" s="253">
        <f>IFERROR(I25/I$33,0)</f>
        <v/>
      </c>
      <c r="AM25" s="253">
        <f>IFERROR(J25/J$33,0)</f>
        <v/>
      </c>
      <c r="AN25" s="253">
        <f>IFERROR(K25/K$33,0)</f>
        <v/>
      </c>
      <c r="AO25" s="253">
        <f>IFERROR(L25/L$33,0)</f>
        <v/>
      </c>
      <c r="AP25" s="253">
        <f>IFERROR(M25/M$33,0)</f>
        <v/>
      </c>
      <c r="AQ25" s="253">
        <f>IFERROR(N25/N$33,0)</f>
        <v/>
      </c>
      <c r="AR25" s="253">
        <f>IFERROR(O25/O$33,0)</f>
        <v/>
      </c>
      <c r="AS25" s="253">
        <f>IFERROR(P25/P$33,0)</f>
        <v/>
      </c>
      <c r="AT25" s="253">
        <f>IFERROR(Q25/Q$33,0)</f>
        <v/>
      </c>
      <c r="AU25" s="253">
        <f>IFERROR(R25/R$33,0)</f>
        <v/>
      </c>
      <c r="AV25" s="253">
        <f>IFERROR(S25/S$33,0)</f>
        <v/>
      </c>
      <c r="AW25" s="253">
        <f>IFERROR(T25/T$33,0)</f>
        <v/>
      </c>
      <c r="AX25" s="253">
        <f>IFERROR(U25/U$33,0)</f>
        <v/>
      </c>
      <c r="AY25" s="253">
        <f>IFERROR(V25/V$33,0)</f>
        <v/>
      </c>
      <c r="AZ25" s="253">
        <f>IFERROR(W25/W$33,0)</f>
        <v/>
      </c>
      <c r="BA25" s="253">
        <f>IFERROR(X25/X$33,0)</f>
        <v/>
      </c>
      <c r="BB25" s="253">
        <f>IFERROR(Y25/Y$33,0)</f>
        <v/>
      </c>
      <c r="BC25" s="253">
        <f>IFERROR(Z25/Z$33,0)</f>
        <v/>
      </c>
      <c r="BD25" s="253">
        <f>IFERROR(AA25/AA$33,0)</f>
        <v/>
      </c>
      <c r="BE25" s="253">
        <f>IFERROR(AB25/AB$33,0)</f>
        <v/>
      </c>
      <c r="BG25" s="252" t="inlineStr">
        <is>
          <t>Efectivo y equivalentes de efectivo</t>
        </is>
      </c>
      <c r="BH25" s="253" t="inlineStr"/>
      <c r="BI25" s="253">
        <f>IFERROR(C25/B25-1,0)</f>
        <v/>
      </c>
      <c r="BJ25" s="253">
        <f>IFERROR(D25/C25-1,0)</f>
        <v/>
      </c>
      <c r="BK25" s="253">
        <f>IFERROR(E25/D25-1,0)</f>
        <v/>
      </c>
      <c r="BL25" s="253">
        <f>IFERROR(F25/E25-1,0)</f>
        <v/>
      </c>
      <c r="BM25" s="253">
        <f>IFERROR(G25/F25-1,0)</f>
        <v/>
      </c>
      <c r="BN25" s="253">
        <f>IFERROR(H25/G25-1,0)</f>
        <v/>
      </c>
      <c r="BO25" s="253">
        <f>IFERROR(I25/H25-1,0)</f>
        <v/>
      </c>
      <c r="BP25" s="253">
        <f>IFERROR(J25/I25-1,0)</f>
        <v/>
      </c>
      <c r="BQ25" s="253">
        <f>IFERROR(K25/J25-1,0)</f>
        <v/>
      </c>
      <c r="BR25" s="253">
        <f>IFERROR(L25/K25-1,0)</f>
        <v/>
      </c>
      <c r="BS25" s="253">
        <f>IFERROR(M25/L25-1,0)</f>
        <v/>
      </c>
      <c r="BT25" s="253">
        <f>IFERROR(N25/M25-1,0)</f>
        <v/>
      </c>
      <c r="BU25" s="253">
        <f>IFERROR(O25/N25-1,0)</f>
        <v/>
      </c>
      <c r="BV25" s="253">
        <f>IFERROR(P25/O25-1,0)</f>
        <v/>
      </c>
      <c r="BW25" s="253">
        <f>IFERROR(Q25/P25-1,0)</f>
        <v/>
      </c>
      <c r="BX25" s="253">
        <f>IFERROR(R25/Q25-1,0)</f>
        <v/>
      </c>
      <c r="BY25" s="253">
        <f>IFERROR(S25/R25-1,0)</f>
        <v/>
      </c>
      <c r="BZ25" s="253">
        <f>IFERROR(T25/S25-1,0)</f>
        <v/>
      </c>
      <c r="CA25" s="253">
        <f>IFERROR(U25/T25-1,0)</f>
        <v/>
      </c>
      <c r="CB25" s="253">
        <f>IFERROR(V25/U25-1,0)</f>
        <v/>
      </c>
      <c r="CC25" s="253">
        <f>IFERROR(W25/V25-1,0)</f>
        <v/>
      </c>
      <c r="CD25" s="253">
        <f>IFERROR(X25/W25-1,0)</f>
        <v/>
      </c>
      <c r="CE25" s="253">
        <f>IFERROR(Y25/X25-1,0)</f>
        <v/>
      </c>
      <c r="CF25" s="253">
        <f>IFERROR(Z25/Y25-1,0)</f>
        <v/>
      </c>
      <c r="CG25" s="253">
        <f>IFERROR(AA25/Z25-1,0)</f>
        <v/>
      </c>
      <c r="CH25" s="253">
        <f>IFERROR(AB25/AA25-1,0)</f>
        <v/>
      </c>
    </row>
    <row r="26" ht="15.75" customHeight="1">
      <c r="A26" s="137" t="inlineStr">
        <is>
          <t>Inversiones en instrumentos financieros (cartera RG)</t>
        </is>
      </c>
      <c r="B26" s="127" t="n">
        <v>6209000</v>
      </c>
      <c r="C26" s="127" t="n">
        <v>6678000</v>
      </c>
      <c r="D26" s="127" t="n">
        <v>6905000</v>
      </c>
      <c r="E26" s="127" t="n">
        <v>6430000</v>
      </c>
      <c r="F26" s="127" t="n">
        <v>6187000</v>
      </c>
      <c r="G26" s="127" t="n">
        <v>1298000</v>
      </c>
      <c r="H26" s="127" t="n">
        <v>1996000</v>
      </c>
      <c r="I26" s="127" t="n">
        <v>1476000</v>
      </c>
      <c r="J26" s="127" t="n">
        <v>1516000</v>
      </c>
      <c r="K26" s="127" t="n">
        <v>6208000</v>
      </c>
      <c r="L26" s="127" t="n">
        <v>25517000</v>
      </c>
      <c r="M26" s="127" t="n">
        <v>24388000</v>
      </c>
      <c r="N26" s="127" t="n">
        <v>24356000</v>
      </c>
      <c r="O26" s="127" t="n">
        <v>38503000</v>
      </c>
      <c r="P26" s="134" t="n">
        <v>50875285</v>
      </c>
      <c r="Q26" s="134" t="n">
        <v>50875229.59</v>
      </c>
      <c r="R26" s="127" t="n">
        <v>61878000</v>
      </c>
      <c r="S26" s="127" t="n">
        <v>72564876.73999999</v>
      </c>
      <c r="T26" s="127" t="n">
        <v>72334954.55</v>
      </c>
      <c r="U26" s="128" t="n">
        <v>69199000</v>
      </c>
      <c r="V26" s="128" t="n">
        <v>77800817.45999999</v>
      </c>
      <c r="W26" s="128" t="n">
        <v>72500789.7</v>
      </c>
      <c r="X26" s="128" t="n">
        <v>64999893.12000005</v>
      </c>
      <c r="Y26" s="128" t="n">
        <v>63365000</v>
      </c>
      <c r="Z26" s="128" t="n">
        <v>61408000</v>
      </c>
      <c r="AD26" s="254" t="inlineStr">
        <is>
          <t>Inversiones en instrumentos financieros (cartera RG)</t>
        </is>
      </c>
      <c r="AE26" s="255">
        <f>IFERROR(B26/B$33,0)</f>
        <v/>
      </c>
      <c r="AF26" s="255">
        <f>IFERROR(C26/C$33,0)</f>
        <v/>
      </c>
      <c r="AG26" s="255">
        <f>IFERROR(D26/D$33,0)</f>
        <v/>
      </c>
      <c r="AH26" s="255">
        <f>IFERROR(E26/E$33,0)</f>
        <v/>
      </c>
      <c r="AI26" s="255">
        <f>IFERROR(F26/F$33,0)</f>
        <v/>
      </c>
      <c r="AJ26" s="255">
        <f>IFERROR(G26/G$33,0)</f>
        <v/>
      </c>
      <c r="AK26" s="255">
        <f>IFERROR(H26/H$33,0)</f>
        <v/>
      </c>
      <c r="AL26" s="255">
        <f>IFERROR(I26/I$33,0)</f>
        <v/>
      </c>
      <c r="AM26" s="255">
        <f>IFERROR(J26/J$33,0)</f>
        <v/>
      </c>
      <c r="AN26" s="255">
        <f>IFERROR(K26/K$33,0)</f>
        <v/>
      </c>
      <c r="AO26" s="255">
        <f>IFERROR(L26/L$33,0)</f>
        <v/>
      </c>
      <c r="AP26" s="255">
        <f>IFERROR(M26/M$33,0)</f>
        <v/>
      </c>
      <c r="AQ26" s="255">
        <f>IFERROR(N26/N$33,0)</f>
        <v/>
      </c>
      <c r="AR26" s="255">
        <f>IFERROR(O26/O$33,0)</f>
        <v/>
      </c>
      <c r="AS26" s="255">
        <f>IFERROR(P26/P$33,0)</f>
        <v/>
      </c>
      <c r="AT26" s="255">
        <f>IFERROR(Q26/Q$33,0)</f>
        <v/>
      </c>
      <c r="AU26" s="255">
        <f>IFERROR(R26/R$33,0)</f>
        <v/>
      </c>
      <c r="AV26" s="255">
        <f>IFERROR(S26/S$33,0)</f>
        <v/>
      </c>
      <c r="AW26" s="255">
        <f>IFERROR(T26/T$33,0)</f>
        <v/>
      </c>
      <c r="AX26" s="255">
        <f>IFERROR(U26/U$33,0)</f>
        <v/>
      </c>
      <c r="AY26" s="255">
        <f>IFERROR(V26/V$33,0)</f>
        <v/>
      </c>
      <c r="AZ26" s="255">
        <f>IFERROR(W26/W$33,0)</f>
        <v/>
      </c>
      <c r="BA26" s="255">
        <f>IFERROR(X26/X$33,0)</f>
        <v/>
      </c>
      <c r="BB26" s="255">
        <f>IFERROR(Y26/Y$33,0)</f>
        <v/>
      </c>
      <c r="BC26" s="255">
        <f>IFERROR(Z26/Z$33,0)</f>
        <v/>
      </c>
      <c r="BD26" s="255">
        <f>IFERROR(AA26/AA$33,0)</f>
        <v/>
      </c>
      <c r="BE26" s="255">
        <f>IFERROR(AB26/AB$33,0)</f>
        <v/>
      </c>
      <c r="BG26" s="254" t="inlineStr">
        <is>
          <t>Inversiones en instrumentos financieros (cartera RG)</t>
        </is>
      </c>
      <c r="BH26" s="255" t="inlineStr"/>
      <c r="BI26" s="255">
        <f>IFERROR(C26/B26-1,0)</f>
        <v/>
      </c>
      <c r="BJ26" s="255">
        <f>IFERROR(D26/C26-1,0)</f>
        <v/>
      </c>
      <c r="BK26" s="255">
        <f>IFERROR(E26/D26-1,0)</f>
        <v/>
      </c>
      <c r="BL26" s="255">
        <f>IFERROR(F26/E26-1,0)</f>
        <v/>
      </c>
      <c r="BM26" s="255">
        <f>IFERROR(G26/F26-1,0)</f>
        <v/>
      </c>
      <c r="BN26" s="255">
        <f>IFERROR(H26/G26-1,0)</f>
        <v/>
      </c>
      <c r="BO26" s="255">
        <f>IFERROR(I26/H26-1,0)</f>
        <v/>
      </c>
      <c r="BP26" s="255">
        <f>IFERROR(J26/I26-1,0)</f>
        <v/>
      </c>
      <c r="BQ26" s="255">
        <f>IFERROR(K26/J26-1,0)</f>
        <v/>
      </c>
      <c r="BR26" s="255">
        <f>IFERROR(L26/K26-1,0)</f>
        <v/>
      </c>
      <c r="BS26" s="255">
        <f>IFERROR(M26/L26-1,0)</f>
        <v/>
      </c>
      <c r="BT26" s="255">
        <f>IFERROR(N26/M26-1,0)</f>
        <v/>
      </c>
      <c r="BU26" s="255">
        <f>IFERROR(O26/N26-1,0)</f>
        <v/>
      </c>
      <c r="BV26" s="255">
        <f>IFERROR(P26/O26-1,0)</f>
        <v/>
      </c>
      <c r="BW26" s="255">
        <f>IFERROR(Q26/P26-1,0)</f>
        <v/>
      </c>
      <c r="BX26" s="255">
        <f>IFERROR(R26/Q26-1,0)</f>
        <v/>
      </c>
      <c r="BY26" s="255">
        <f>IFERROR(S26/R26-1,0)</f>
        <v/>
      </c>
      <c r="BZ26" s="255">
        <f>IFERROR(T26/S26-1,0)</f>
        <v/>
      </c>
      <c r="CA26" s="255">
        <f>IFERROR(U26/T26-1,0)</f>
        <v/>
      </c>
      <c r="CB26" s="255">
        <f>IFERROR(V26/U26-1,0)</f>
        <v/>
      </c>
      <c r="CC26" s="255">
        <f>IFERROR(W26/V26-1,0)</f>
        <v/>
      </c>
      <c r="CD26" s="255">
        <f>IFERROR(X26/W26-1,0)</f>
        <v/>
      </c>
      <c r="CE26" s="255">
        <f>IFERROR(Y26/X26-1,0)</f>
        <v/>
      </c>
      <c r="CF26" s="255">
        <f>IFERROR(Z26/Y26-1,0)</f>
        <v/>
      </c>
      <c r="CG26" s="255">
        <f>IFERROR(AA26/Z26-1,0)</f>
        <v/>
      </c>
      <c r="CH26" s="255">
        <f>IFERROR(AB26/AA26-1,0)</f>
        <v/>
      </c>
    </row>
    <row r="27" ht="15.75" customHeight="1">
      <c r="A27" s="137" t="inlineStr">
        <is>
          <t>Estimación de pérdidas crediticias</t>
        </is>
      </c>
      <c r="B27" s="127" t="n">
        <v>-1683000</v>
      </c>
      <c r="C27" s="127" t="n">
        <v>-1495000</v>
      </c>
      <c r="D27" s="127" t="n">
        <v>-1548000</v>
      </c>
      <c r="E27" s="127" t="n">
        <v>-1550000</v>
      </c>
      <c r="F27" s="127" t="n">
        <v>-1221000</v>
      </c>
      <c r="G27" s="127" t="n">
        <v>-403000</v>
      </c>
      <c r="H27" s="127" t="n">
        <v>-403000</v>
      </c>
      <c r="I27" s="127" t="n">
        <v>-403000</v>
      </c>
      <c r="J27" s="127" t="n">
        <v>-403000</v>
      </c>
      <c r="K27" s="127" t="n">
        <v>-403000</v>
      </c>
      <c r="L27" s="127" t="n">
        <v>-403000</v>
      </c>
      <c r="M27" s="127" t="n">
        <v>-403000</v>
      </c>
      <c r="N27" s="127" t="n">
        <v>-403000</v>
      </c>
      <c r="O27" s="134" t="n">
        <v>-2503000</v>
      </c>
      <c r="P27" s="127" t="n">
        <v>-2503265</v>
      </c>
      <c r="Q27" s="127" t="n">
        <v>-3227863.73</v>
      </c>
      <c r="R27" s="127" t="n">
        <v>-4209000</v>
      </c>
      <c r="S27" s="127" t="n">
        <v>-4209174.63</v>
      </c>
      <c r="T27" s="127" t="n">
        <v>-5199547.99</v>
      </c>
      <c r="U27" s="128" t="n">
        <v>-5200000</v>
      </c>
      <c r="V27" s="128" t="n">
        <v>-5199547.99</v>
      </c>
      <c r="W27" s="128" t="n">
        <v>-5675777.41</v>
      </c>
      <c r="X27" s="128" t="n">
        <v>-5675777.41</v>
      </c>
      <c r="Y27" s="128" t="n">
        <v>-5676000</v>
      </c>
      <c r="Z27" s="128" t="n">
        <v>-5676000</v>
      </c>
      <c r="AD27" s="254" t="inlineStr">
        <is>
          <t>Estimación de pérdidas crediticias</t>
        </is>
      </c>
      <c r="AE27" s="255">
        <f>IFERROR(B27/B$33,0)</f>
        <v/>
      </c>
      <c r="AF27" s="255">
        <f>IFERROR(C27/C$33,0)</f>
        <v/>
      </c>
      <c r="AG27" s="255">
        <f>IFERROR(D27/D$33,0)</f>
        <v/>
      </c>
      <c r="AH27" s="255">
        <f>IFERROR(E27/E$33,0)</f>
        <v/>
      </c>
      <c r="AI27" s="255">
        <f>IFERROR(F27/F$33,0)</f>
        <v/>
      </c>
      <c r="AJ27" s="255">
        <f>IFERROR(G27/G$33,0)</f>
        <v/>
      </c>
      <c r="AK27" s="255">
        <f>IFERROR(H27/H$33,0)</f>
        <v/>
      </c>
      <c r="AL27" s="255">
        <f>IFERROR(I27/I$33,0)</f>
        <v/>
      </c>
      <c r="AM27" s="255">
        <f>IFERROR(J27/J$33,0)</f>
        <v/>
      </c>
      <c r="AN27" s="255">
        <f>IFERROR(K27/K$33,0)</f>
        <v/>
      </c>
      <c r="AO27" s="255">
        <f>IFERROR(L27/L$33,0)</f>
        <v/>
      </c>
      <c r="AP27" s="255">
        <f>IFERROR(M27/M$33,0)</f>
        <v/>
      </c>
      <c r="AQ27" s="255">
        <f>IFERROR(N27/N$33,0)</f>
        <v/>
      </c>
      <c r="AR27" s="255">
        <f>IFERROR(O27/O$33,0)</f>
        <v/>
      </c>
      <c r="AS27" s="255">
        <f>IFERROR(P27/P$33,0)</f>
        <v/>
      </c>
      <c r="AT27" s="255">
        <f>IFERROR(Q27/Q$33,0)</f>
        <v/>
      </c>
      <c r="AU27" s="255">
        <f>IFERROR(R27/R$33,0)</f>
        <v/>
      </c>
      <c r="AV27" s="255">
        <f>IFERROR(S27/S$33,0)</f>
        <v/>
      </c>
      <c r="AW27" s="255">
        <f>IFERROR(T27/T$33,0)</f>
        <v/>
      </c>
      <c r="AX27" s="255">
        <f>IFERROR(U27/U$33,0)</f>
        <v/>
      </c>
      <c r="AY27" s="255">
        <f>IFERROR(V27/V$33,0)</f>
        <v/>
      </c>
      <c r="AZ27" s="255">
        <f>IFERROR(W27/W$33,0)</f>
        <v/>
      </c>
      <c r="BA27" s="255">
        <f>IFERROR(X27/X$33,0)</f>
        <v/>
      </c>
      <c r="BB27" s="255">
        <f>IFERROR(Y27/Y$33,0)</f>
        <v/>
      </c>
      <c r="BC27" s="255">
        <f>IFERROR(Z27/Z$33,0)</f>
        <v/>
      </c>
      <c r="BD27" s="255">
        <f>IFERROR(AA27/AA$33,0)</f>
        <v/>
      </c>
      <c r="BE27" s="255">
        <f>IFERROR(AB27/AB$33,0)</f>
        <v/>
      </c>
      <c r="BG27" s="254" t="inlineStr">
        <is>
          <t>Estimación de pérdidas crediticias</t>
        </is>
      </c>
      <c r="BH27" s="255" t="inlineStr"/>
      <c r="BI27" s="255">
        <f>IFERROR(C27/B27-1,0)</f>
        <v/>
      </c>
      <c r="BJ27" s="255">
        <f>IFERROR(D27/C27-1,0)</f>
        <v/>
      </c>
      <c r="BK27" s="255">
        <f>IFERROR(E27/D27-1,0)</f>
        <v/>
      </c>
      <c r="BL27" s="255">
        <f>IFERROR(F27/E27-1,0)</f>
        <v/>
      </c>
      <c r="BM27" s="255">
        <f>IFERROR(G27/F27-1,0)</f>
        <v/>
      </c>
      <c r="BN27" s="255">
        <f>IFERROR(H27/G27-1,0)</f>
        <v/>
      </c>
      <c r="BO27" s="255">
        <f>IFERROR(I27/H27-1,0)</f>
        <v/>
      </c>
      <c r="BP27" s="255">
        <f>IFERROR(J27/I27-1,0)</f>
        <v/>
      </c>
      <c r="BQ27" s="255">
        <f>IFERROR(K27/J27-1,0)</f>
        <v/>
      </c>
      <c r="BR27" s="255">
        <f>IFERROR(L27/K27-1,0)</f>
        <v/>
      </c>
      <c r="BS27" s="255">
        <f>IFERROR(M27/L27-1,0)</f>
        <v/>
      </c>
      <c r="BT27" s="255">
        <f>IFERROR(N27/M27-1,0)</f>
        <v/>
      </c>
      <c r="BU27" s="255">
        <f>IFERROR(O27/N27-1,0)</f>
        <v/>
      </c>
      <c r="BV27" s="255">
        <f>IFERROR(P27/O27-1,0)</f>
        <v/>
      </c>
      <c r="BW27" s="255">
        <f>IFERROR(Q27/P27-1,0)</f>
        <v/>
      </c>
      <c r="BX27" s="255">
        <f>IFERROR(R27/Q27-1,0)</f>
        <v/>
      </c>
      <c r="BY27" s="255">
        <f>IFERROR(S27/R27-1,0)</f>
        <v/>
      </c>
      <c r="BZ27" s="255">
        <f>IFERROR(T27/S27-1,0)</f>
        <v/>
      </c>
      <c r="CA27" s="255">
        <f>IFERROR(U27/T27-1,0)</f>
        <v/>
      </c>
      <c r="CB27" s="255">
        <f>IFERROR(V27/U27-1,0)</f>
        <v/>
      </c>
      <c r="CC27" s="255">
        <f>IFERROR(W27/V27-1,0)</f>
        <v/>
      </c>
      <c r="CD27" s="255">
        <f>IFERROR(X27/W27-1,0)</f>
        <v/>
      </c>
      <c r="CE27" s="255">
        <f>IFERROR(Y27/X27-1,0)</f>
        <v/>
      </c>
      <c r="CF27" s="255">
        <f>IFERROR(Z27/Y27-1,0)</f>
        <v/>
      </c>
      <c r="CG27" s="255">
        <f>IFERROR(AA27/Z27-1,0)</f>
        <v/>
      </c>
      <c r="CH27" s="255">
        <f>IFERROR(AB27/AA27-1,0)</f>
        <v/>
      </c>
    </row>
    <row r="28" ht="15.75" customHeight="1">
      <c r="A28" s="137" t="inlineStr">
        <is>
          <t>Cuentas por cobrar, neto</t>
        </is>
      </c>
      <c r="B28" s="127" t="n">
        <v>325000</v>
      </c>
      <c r="C28" s="127" t="n">
        <v>1231000</v>
      </c>
      <c r="D28" s="127" t="n">
        <v>6980000</v>
      </c>
      <c r="E28" s="127" t="n">
        <v>7253000</v>
      </c>
      <c r="F28" s="127" t="n">
        <v>7160000</v>
      </c>
      <c r="G28" s="127" t="n">
        <v>11824000</v>
      </c>
      <c r="H28" s="127" t="n">
        <v>11779000</v>
      </c>
      <c r="I28" s="127" t="n">
        <v>11677000</v>
      </c>
      <c r="J28" s="127" t="n">
        <v>11821000</v>
      </c>
      <c r="K28" s="127" t="n">
        <v>11405000</v>
      </c>
      <c r="L28" s="127" t="n">
        <v>11266000</v>
      </c>
      <c r="M28" s="127" t="n">
        <v>11398000</v>
      </c>
      <c r="N28" s="127" t="n">
        <v>13552000</v>
      </c>
      <c r="O28" s="127" t="n">
        <v>12011000</v>
      </c>
      <c r="P28" s="127" t="n">
        <v>12321419</v>
      </c>
      <c r="Q28" s="127" t="n">
        <v>12473028.69</v>
      </c>
      <c r="R28" s="127" t="n">
        <v>11183000</v>
      </c>
      <c r="S28" s="127" t="n">
        <v>11623339</v>
      </c>
      <c r="T28" s="127" t="n">
        <v>12428383.68</v>
      </c>
      <c r="U28" s="128" t="n">
        <v>13152000</v>
      </c>
      <c r="V28" s="128" t="n">
        <v>13035760.87</v>
      </c>
      <c r="W28" s="128" t="n">
        <v>11717400.37</v>
      </c>
      <c r="X28" s="128" t="n">
        <v>12311004.45999996</v>
      </c>
      <c r="Y28" s="128" t="n">
        <v>12186000</v>
      </c>
      <c r="Z28" s="128" t="n">
        <v>12264000</v>
      </c>
      <c r="AD28" s="254" t="inlineStr">
        <is>
          <t>Cuentas por cobrar, neto</t>
        </is>
      </c>
      <c r="AE28" s="255">
        <f>IFERROR(B28/B$33,0)</f>
        <v/>
      </c>
      <c r="AF28" s="255">
        <f>IFERROR(C28/C$33,0)</f>
        <v/>
      </c>
      <c r="AG28" s="255">
        <f>IFERROR(D28/D$33,0)</f>
        <v/>
      </c>
      <c r="AH28" s="255">
        <f>IFERROR(E28/E$33,0)</f>
        <v/>
      </c>
      <c r="AI28" s="255">
        <f>IFERROR(F28/F$33,0)</f>
        <v/>
      </c>
      <c r="AJ28" s="255">
        <f>IFERROR(G28/G$33,0)</f>
        <v/>
      </c>
      <c r="AK28" s="255">
        <f>IFERROR(H28/H$33,0)</f>
        <v/>
      </c>
      <c r="AL28" s="255">
        <f>IFERROR(I28/I$33,0)</f>
        <v/>
      </c>
      <c r="AM28" s="255">
        <f>IFERROR(J28/J$33,0)</f>
        <v/>
      </c>
      <c r="AN28" s="255">
        <f>IFERROR(K28/K$33,0)</f>
        <v/>
      </c>
      <c r="AO28" s="255">
        <f>IFERROR(L28/L$33,0)</f>
        <v/>
      </c>
      <c r="AP28" s="255">
        <f>IFERROR(M28/M$33,0)</f>
        <v/>
      </c>
      <c r="AQ28" s="255">
        <f>IFERROR(N28/N$33,0)</f>
        <v/>
      </c>
      <c r="AR28" s="255">
        <f>IFERROR(O28/O$33,0)</f>
        <v/>
      </c>
      <c r="AS28" s="255">
        <f>IFERROR(P28/P$33,0)</f>
        <v/>
      </c>
      <c r="AT28" s="255">
        <f>IFERROR(Q28/Q$33,0)</f>
        <v/>
      </c>
      <c r="AU28" s="255">
        <f>IFERROR(R28/R$33,0)</f>
        <v/>
      </c>
      <c r="AV28" s="255">
        <f>IFERROR(S28/S$33,0)</f>
        <v/>
      </c>
      <c r="AW28" s="255">
        <f>IFERROR(T28/T$33,0)</f>
        <v/>
      </c>
      <c r="AX28" s="255">
        <f>IFERROR(U28/U$33,0)</f>
        <v/>
      </c>
      <c r="AY28" s="255">
        <f>IFERROR(V28/V$33,0)</f>
        <v/>
      </c>
      <c r="AZ28" s="255">
        <f>IFERROR(W28/W$33,0)</f>
        <v/>
      </c>
      <c r="BA28" s="255">
        <f>IFERROR(X28/X$33,0)</f>
        <v/>
      </c>
      <c r="BB28" s="255">
        <f>IFERROR(Y28/Y$33,0)</f>
        <v/>
      </c>
      <c r="BC28" s="255">
        <f>IFERROR(Z28/Z$33,0)</f>
        <v/>
      </c>
      <c r="BD28" s="255">
        <f>IFERROR(AA28/AA$33,0)</f>
        <v/>
      </c>
      <c r="BE28" s="255">
        <f>IFERROR(AB28/AB$33,0)</f>
        <v/>
      </c>
      <c r="BG28" s="254" t="inlineStr">
        <is>
          <t>Cuentas por cobrar, neto</t>
        </is>
      </c>
      <c r="BH28" s="255" t="inlineStr"/>
      <c r="BI28" s="255">
        <f>IFERROR(C28/B28-1,0)</f>
        <v/>
      </c>
      <c r="BJ28" s="255">
        <f>IFERROR(D28/C28-1,0)</f>
        <v/>
      </c>
      <c r="BK28" s="255">
        <f>IFERROR(E28/D28-1,0)</f>
        <v/>
      </c>
      <c r="BL28" s="255">
        <f>IFERROR(F28/E28-1,0)</f>
        <v/>
      </c>
      <c r="BM28" s="255">
        <f>IFERROR(G28/F28-1,0)</f>
        <v/>
      </c>
      <c r="BN28" s="255">
        <f>IFERROR(H28/G28-1,0)</f>
        <v/>
      </c>
      <c r="BO28" s="255">
        <f>IFERROR(I28/H28-1,0)</f>
        <v/>
      </c>
      <c r="BP28" s="255">
        <f>IFERROR(J28/I28-1,0)</f>
        <v/>
      </c>
      <c r="BQ28" s="255">
        <f>IFERROR(K28/J28-1,0)</f>
        <v/>
      </c>
      <c r="BR28" s="255">
        <f>IFERROR(L28/K28-1,0)</f>
        <v/>
      </c>
      <c r="BS28" s="255">
        <f>IFERROR(M28/L28-1,0)</f>
        <v/>
      </c>
      <c r="BT28" s="255">
        <f>IFERROR(N28/M28-1,0)</f>
        <v/>
      </c>
      <c r="BU28" s="255">
        <f>IFERROR(O28/N28-1,0)</f>
        <v/>
      </c>
      <c r="BV28" s="255">
        <f>IFERROR(P28/O28-1,0)</f>
        <v/>
      </c>
      <c r="BW28" s="255">
        <f>IFERROR(Q28/P28-1,0)</f>
        <v/>
      </c>
      <c r="BX28" s="255">
        <f>IFERROR(R28/Q28-1,0)</f>
        <v/>
      </c>
      <c r="BY28" s="255">
        <f>IFERROR(S28/R28-1,0)</f>
        <v/>
      </c>
      <c r="BZ28" s="255">
        <f>IFERROR(T28/S28-1,0)</f>
        <v/>
      </c>
      <c r="CA28" s="255">
        <f>IFERROR(U28/T28-1,0)</f>
        <v/>
      </c>
      <c r="CB28" s="255">
        <f>IFERROR(V28/U28-1,0)</f>
        <v/>
      </c>
      <c r="CC28" s="255">
        <f>IFERROR(W28/V28-1,0)</f>
        <v/>
      </c>
      <c r="CD28" s="255">
        <f>IFERROR(X28/W28-1,0)</f>
        <v/>
      </c>
      <c r="CE28" s="255">
        <f>IFERROR(Y28/X28-1,0)</f>
        <v/>
      </c>
      <c r="CF28" s="255">
        <f>IFERROR(Z28/Y28-1,0)</f>
        <v/>
      </c>
      <c r="CG28" s="255">
        <f>IFERROR(AA28/Z28-1,0)</f>
        <v/>
      </c>
      <c r="CH28" s="255">
        <f>IFERROR(AB28/AA28-1,0)</f>
        <v/>
      </c>
    </row>
    <row r="29" ht="15.75" customHeight="1">
      <c r="A29" s="137" t="inlineStr">
        <is>
          <t>Pagos anticipados y otros activos, neto</t>
        </is>
      </c>
      <c r="B29" s="127" t="n">
        <v>1630000</v>
      </c>
      <c r="C29" s="127" t="n">
        <v>2000000</v>
      </c>
      <c r="D29" s="127" t="n">
        <v>2472000</v>
      </c>
      <c r="E29" s="127" t="n">
        <v>1696000</v>
      </c>
      <c r="F29" s="127" t="n">
        <v>1675000</v>
      </c>
      <c r="G29" s="127" t="n">
        <v>1529000</v>
      </c>
      <c r="H29" s="127" t="n">
        <v>1549000</v>
      </c>
      <c r="I29" s="127" t="n">
        <v>1511000</v>
      </c>
      <c r="J29" s="127" t="n">
        <v>1460000</v>
      </c>
      <c r="K29" s="127" t="n">
        <v>1419000</v>
      </c>
      <c r="L29" s="127" t="n">
        <v>1382000</v>
      </c>
      <c r="M29" s="127" t="n">
        <v>1617000</v>
      </c>
      <c r="N29" s="127" t="n">
        <v>1450000</v>
      </c>
      <c r="O29" s="127" t="n">
        <v>2747000</v>
      </c>
      <c r="P29" s="127" t="n">
        <v>4619536</v>
      </c>
      <c r="Q29" s="127">
        <f>2271537.47+3494711.12+1037057.22</f>
        <v/>
      </c>
      <c r="R29" s="127" t="n">
        <v>7792000</v>
      </c>
      <c r="S29" s="127" t="n">
        <v>4781463.68</v>
      </c>
      <c r="T29" s="127" t="n">
        <v>5390587.61</v>
      </c>
      <c r="U29" s="128" t="n">
        <v>6322000</v>
      </c>
      <c r="V29" s="128" t="n">
        <v>7862888.99</v>
      </c>
      <c r="W29" s="128" t="n">
        <v>7908494.38</v>
      </c>
      <c r="X29" s="128" t="n">
        <v>10047809.97</v>
      </c>
      <c r="Y29" s="128" t="n">
        <v>11203000</v>
      </c>
      <c r="Z29" s="128" t="n">
        <v>12406000</v>
      </c>
      <c r="AD29" s="254" t="inlineStr">
        <is>
          <t>Pagos anticipados y otros activos, neto</t>
        </is>
      </c>
      <c r="AE29" s="255">
        <f>IFERROR(B29/B$33,0)</f>
        <v/>
      </c>
      <c r="AF29" s="255">
        <f>IFERROR(C29/C$33,0)</f>
        <v/>
      </c>
      <c r="AG29" s="255">
        <f>IFERROR(D29/D$33,0)</f>
        <v/>
      </c>
      <c r="AH29" s="255">
        <f>IFERROR(E29/E$33,0)</f>
        <v/>
      </c>
      <c r="AI29" s="255">
        <f>IFERROR(F29/F$33,0)</f>
        <v/>
      </c>
      <c r="AJ29" s="255">
        <f>IFERROR(G29/G$33,0)</f>
        <v/>
      </c>
      <c r="AK29" s="255">
        <f>IFERROR(H29/H$33,0)</f>
        <v/>
      </c>
      <c r="AL29" s="255">
        <f>IFERROR(I29/I$33,0)</f>
        <v/>
      </c>
      <c r="AM29" s="255">
        <f>IFERROR(J29/J$33,0)</f>
        <v/>
      </c>
      <c r="AN29" s="255">
        <f>IFERROR(K29/K$33,0)</f>
        <v/>
      </c>
      <c r="AO29" s="255">
        <f>IFERROR(L29/L$33,0)</f>
        <v/>
      </c>
      <c r="AP29" s="255">
        <f>IFERROR(M29/M$33,0)</f>
        <v/>
      </c>
      <c r="AQ29" s="255">
        <f>IFERROR(N29/N$33,0)</f>
        <v/>
      </c>
      <c r="AR29" s="255">
        <f>IFERROR(O29/O$33,0)</f>
        <v/>
      </c>
      <c r="AS29" s="255">
        <f>IFERROR(P29/P$33,0)</f>
        <v/>
      </c>
      <c r="AT29" s="255">
        <f>IFERROR(Q29/Q$33,0)</f>
        <v/>
      </c>
      <c r="AU29" s="255">
        <f>IFERROR(R29/R$33,0)</f>
        <v/>
      </c>
      <c r="AV29" s="255">
        <f>IFERROR(S29/S$33,0)</f>
        <v/>
      </c>
      <c r="AW29" s="255">
        <f>IFERROR(T29/T$33,0)</f>
        <v/>
      </c>
      <c r="AX29" s="255">
        <f>IFERROR(U29/U$33,0)</f>
        <v/>
      </c>
      <c r="AY29" s="255">
        <f>IFERROR(V29/V$33,0)</f>
        <v/>
      </c>
      <c r="AZ29" s="255">
        <f>IFERROR(W29/W$33,0)</f>
        <v/>
      </c>
      <c r="BA29" s="255">
        <f>IFERROR(X29/X$33,0)</f>
        <v/>
      </c>
      <c r="BB29" s="255">
        <f>IFERROR(Y29/Y$33,0)</f>
        <v/>
      </c>
      <c r="BC29" s="255">
        <f>IFERROR(Z29/Z$33,0)</f>
        <v/>
      </c>
      <c r="BD29" s="255">
        <f>IFERROR(AA29/AA$33,0)</f>
        <v/>
      </c>
      <c r="BE29" s="255">
        <f>IFERROR(AB29/AB$33,0)</f>
        <v/>
      </c>
      <c r="BG29" s="254" t="inlineStr">
        <is>
          <t>Pagos anticipados y otros activos, neto</t>
        </is>
      </c>
      <c r="BH29" s="255" t="inlineStr"/>
      <c r="BI29" s="255">
        <f>IFERROR(C29/B29-1,0)</f>
        <v/>
      </c>
      <c r="BJ29" s="255">
        <f>IFERROR(D29/C29-1,0)</f>
        <v/>
      </c>
      <c r="BK29" s="255">
        <f>IFERROR(E29/D29-1,0)</f>
        <v/>
      </c>
      <c r="BL29" s="255">
        <f>IFERROR(F29/E29-1,0)</f>
        <v/>
      </c>
      <c r="BM29" s="255">
        <f>IFERROR(G29/F29-1,0)</f>
        <v/>
      </c>
      <c r="BN29" s="255">
        <f>IFERROR(H29/G29-1,0)</f>
        <v/>
      </c>
      <c r="BO29" s="255">
        <f>IFERROR(I29/H29-1,0)</f>
        <v/>
      </c>
      <c r="BP29" s="255">
        <f>IFERROR(J29/I29-1,0)</f>
        <v/>
      </c>
      <c r="BQ29" s="255">
        <f>IFERROR(K29/J29-1,0)</f>
        <v/>
      </c>
      <c r="BR29" s="255">
        <f>IFERROR(L29/K29-1,0)</f>
        <v/>
      </c>
      <c r="BS29" s="255">
        <f>IFERROR(M29/L29-1,0)</f>
        <v/>
      </c>
      <c r="BT29" s="255">
        <f>IFERROR(N29/M29-1,0)</f>
        <v/>
      </c>
      <c r="BU29" s="255">
        <f>IFERROR(O29/N29-1,0)</f>
        <v/>
      </c>
      <c r="BV29" s="255">
        <f>IFERROR(P29/O29-1,0)</f>
        <v/>
      </c>
      <c r="BW29" s="255">
        <f>IFERROR(Q29/P29-1,0)</f>
        <v/>
      </c>
      <c r="BX29" s="255">
        <f>IFERROR(R29/Q29-1,0)</f>
        <v/>
      </c>
      <c r="BY29" s="255">
        <f>IFERROR(S29/R29-1,0)</f>
        <v/>
      </c>
      <c r="BZ29" s="255">
        <f>IFERROR(T29/S29-1,0)</f>
        <v/>
      </c>
      <c r="CA29" s="255">
        <f>IFERROR(U29/T29-1,0)</f>
        <v/>
      </c>
      <c r="CB29" s="255">
        <f>IFERROR(V29/U29-1,0)</f>
        <v/>
      </c>
      <c r="CC29" s="255">
        <f>IFERROR(W29/V29-1,0)</f>
        <v/>
      </c>
      <c r="CD29" s="255">
        <f>IFERROR(X29/W29-1,0)</f>
        <v/>
      </c>
      <c r="CE29" s="255">
        <f>IFERROR(Y29/X29-1,0)</f>
        <v/>
      </c>
      <c r="CF29" s="255">
        <f>IFERROR(Z29/Y29-1,0)</f>
        <v/>
      </c>
      <c r="CG29" s="255">
        <f>IFERROR(AA29/Z29-1,0)</f>
        <v/>
      </c>
      <c r="CH29" s="255">
        <f>IFERROR(AB29/AA29-1,0)</f>
        <v/>
      </c>
    </row>
    <row r="30" ht="15.75" customHeight="1">
      <c r="A30" s="137" t="inlineStr">
        <is>
          <t>Propiedades, mobiliario y equipo, neto</t>
        </is>
      </c>
      <c r="B30" s="127" t="n">
        <v>132000</v>
      </c>
      <c r="C30" s="127" t="n">
        <v>114000</v>
      </c>
      <c r="D30" s="127" t="n">
        <v>96000</v>
      </c>
      <c r="E30" s="127" t="n">
        <v>109000</v>
      </c>
      <c r="F30" s="127" t="n">
        <v>180000</v>
      </c>
      <c r="G30" s="127" t="n">
        <v>174000</v>
      </c>
      <c r="H30" s="127" t="n">
        <v>207000</v>
      </c>
      <c r="I30" s="127" t="n">
        <v>208000</v>
      </c>
      <c r="J30" s="127" t="n">
        <v>210000</v>
      </c>
      <c r="K30" s="127" t="n">
        <v>208000</v>
      </c>
      <c r="L30" s="127" t="n">
        <v>238000</v>
      </c>
      <c r="M30" s="127" t="n">
        <v>235000</v>
      </c>
      <c r="N30" s="127" t="n">
        <v>232000</v>
      </c>
      <c r="O30" s="127" t="n">
        <v>243000</v>
      </c>
      <c r="P30" s="127" t="n">
        <v>242599</v>
      </c>
      <c r="Q30" s="127" t="n">
        <v>642052.9300000001</v>
      </c>
      <c r="R30" s="127" t="n">
        <v>300000</v>
      </c>
      <c r="S30" s="127" t="n">
        <v>656383.1</v>
      </c>
      <c r="T30" s="127" t="n">
        <v>656383.1</v>
      </c>
      <c r="U30" s="128" t="n">
        <v>301000</v>
      </c>
      <c r="V30" s="128" t="n">
        <v>684494.3100000001</v>
      </c>
      <c r="W30" s="128" t="n">
        <v>684494.3100000001</v>
      </c>
      <c r="X30" s="128" t="n">
        <v>684494.3099999996</v>
      </c>
      <c r="Y30" s="128" t="n">
        <v>452000</v>
      </c>
      <c r="Z30" s="128" t="n">
        <v>394000</v>
      </c>
      <c r="AD30" s="254" t="inlineStr">
        <is>
          <t>Propiedades, mobiliario y equipo, neto</t>
        </is>
      </c>
      <c r="AE30" s="255">
        <f>IFERROR(B30/B$33,0)</f>
        <v/>
      </c>
      <c r="AF30" s="255">
        <f>IFERROR(C30/C$33,0)</f>
        <v/>
      </c>
      <c r="AG30" s="255">
        <f>IFERROR(D30/D$33,0)</f>
        <v/>
      </c>
      <c r="AH30" s="255">
        <f>IFERROR(E30/E$33,0)</f>
        <v/>
      </c>
      <c r="AI30" s="255">
        <f>IFERROR(F30/F$33,0)</f>
        <v/>
      </c>
      <c r="AJ30" s="255">
        <f>IFERROR(G30/G$33,0)</f>
        <v/>
      </c>
      <c r="AK30" s="255">
        <f>IFERROR(H30/H$33,0)</f>
        <v/>
      </c>
      <c r="AL30" s="255">
        <f>IFERROR(I30/I$33,0)</f>
        <v/>
      </c>
      <c r="AM30" s="255">
        <f>IFERROR(J30/J$33,0)</f>
        <v/>
      </c>
      <c r="AN30" s="255">
        <f>IFERROR(K30/K$33,0)</f>
        <v/>
      </c>
      <c r="AO30" s="255">
        <f>IFERROR(L30/L$33,0)</f>
        <v/>
      </c>
      <c r="AP30" s="255">
        <f>IFERROR(M30/M$33,0)</f>
        <v/>
      </c>
      <c r="AQ30" s="255">
        <f>IFERROR(N30/N$33,0)</f>
        <v/>
      </c>
      <c r="AR30" s="255">
        <f>IFERROR(O30/O$33,0)</f>
        <v/>
      </c>
      <c r="AS30" s="255">
        <f>IFERROR(P30/P$33,0)</f>
        <v/>
      </c>
      <c r="AT30" s="255">
        <f>IFERROR(Q30/Q$33,0)</f>
        <v/>
      </c>
      <c r="AU30" s="255">
        <f>IFERROR(R30/R$33,0)</f>
        <v/>
      </c>
      <c r="AV30" s="255">
        <f>IFERROR(S30/S$33,0)</f>
        <v/>
      </c>
      <c r="AW30" s="255">
        <f>IFERROR(T30/T$33,0)</f>
        <v/>
      </c>
      <c r="AX30" s="255">
        <f>IFERROR(U30/U$33,0)</f>
        <v/>
      </c>
      <c r="AY30" s="255">
        <f>IFERROR(V30/V$33,0)</f>
        <v/>
      </c>
      <c r="AZ30" s="255">
        <f>IFERROR(W30/W$33,0)</f>
        <v/>
      </c>
      <c r="BA30" s="255">
        <f>IFERROR(X30/X$33,0)</f>
        <v/>
      </c>
      <c r="BB30" s="255">
        <f>IFERROR(Y30/Y$33,0)</f>
        <v/>
      </c>
      <c r="BC30" s="255">
        <f>IFERROR(Z30/Z$33,0)</f>
        <v/>
      </c>
      <c r="BD30" s="255">
        <f>IFERROR(AA30/AA$33,0)</f>
        <v/>
      </c>
      <c r="BE30" s="255">
        <f>IFERROR(AB30/AB$33,0)</f>
        <v/>
      </c>
      <c r="BG30" s="254" t="inlineStr">
        <is>
          <t>Propiedades, mobiliario y equipo, neto</t>
        </is>
      </c>
      <c r="BH30" s="255" t="inlineStr"/>
      <c r="BI30" s="255">
        <f>IFERROR(C30/B30-1,0)</f>
        <v/>
      </c>
      <c r="BJ30" s="255">
        <f>IFERROR(D30/C30-1,0)</f>
        <v/>
      </c>
      <c r="BK30" s="255">
        <f>IFERROR(E30/D30-1,0)</f>
        <v/>
      </c>
      <c r="BL30" s="255">
        <f>IFERROR(F30/E30-1,0)</f>
        <v/>
      </c>
      <c r="BM30" s="255">
        <f>IFERROR(G30/F30-1,0)</f>
        <v/>
      </c>
      <c r="BN30" s="255">
        <f>IFERROR(H30/G30-1,0)</f>
        <v/>
      </c>
      <c r="BO30" s="255">
        <f>IFERROR(I30/H30-1,0)</f>
        <v/>
      </c>
      <c r="BP30" s="255">
        <f>IFERROR(J30/I30-1,0)</f>
        <v/>
      </c>
      <c r="BQ30" s="255">
        <f>IFERROR(K30/J30-1,0)</f>
        <v/>
      </c>
      <c r="BR30" s="255">
        <f>IFERROR(L30/K30-1,0)</f>
        <v/>
      </c>
      <c r="BS30" s="255">
        <f>IFERROR(M30/L30-1,0)</f>
        <v/>
      </c>
      <c r="BT30" s="255">
        <f>IFERROR(N30/M30-1,0)</f>
        <v/>
      </c>
      <c r="BU30" s="255">
        <f>IFERROR(O30/N30-1,0)</f>
        <v/>
      </c>
      <c r="BV30" s="255">
        <f>IFERROR(P30/O30-1,0)</f>
        <v/>
      </c>
      <c r="BW30" s="255">
        <f>IFERROR(Q30/P30-1,0)</f>
        <v/>
      </c>
      <c r="BX30" s="255">
        <f>IFERROR(R30/Q30-1,0)</f>
        <v/>
      </c>
      <c r="BY30" s="255">
        <f>IFERROR(S30/R30-1,0)</f>
        <v/>
      </c>
      <c r="BZ30" s="255">
        <f>IFERROR(T30/S30-1,0)</f>
        <v/>
      </c>
      <c r="CA30" s="255">
        <f>IFERROR(U30/T30-1,0)</f>
        <v/>
      </c>
      <c r="CB30" s="255">
        <f>IFERROR(V30/U30-1,0)</f>
        <v/>
      </c>
      <c r="CC30" s="255">
        <f>IFERROR(W30/V30-1,0)</f>
        <v/>
      </c>
      <c r="CD30" s="255">
        <f>IFERROR(X30/W30-1,0)</f>
        <v/>
      </c>
      <c r="CE30" s="255">
        <f>IFERROR(Y30/X30-1,0)</f>
        <v/>
      </c>
      <c r="CF30" s="255">
        <f>IFERROR(Z30/Y30-1,0)</f>
        <v/>
      </c>
      <c r="CG30" s="255">
        <f>IFERROR(AA30/Z30-1,0)</f>
        <v/>
      </c>
      <c r="CH30" s="255">
        <f>IFERROR(AB30/AA30-1,0)</f>
        <v/>
      </c>
    </row>
    <row r="31" ht="15.75" customHeight="1">
      <c r="A31" s="137" t="inlineStr">
        <is>
          <t>Depreciación acumulada</t>
        </is>
      </c>
      <c r="B31" s="127" t="n"/>
      <c r="C31" s="127" t="n"/>
      <c r="D31" s="127" t="n"/>
      <c r="E31" s="127" t="n"/>
      <c r="F31" s="127" t="n"/>
      <c r="G31" s="127" t="n"/>
      <c r="H31" s="127" t="n"/>
      <c r="I31" s="127" t="n"/>
      <c r="J31" s="127" t="n"/>
      <c r="K31" s="127" t="n"/>
      <c r="L31" s="127" t="n"/>
      <c r="M31" s="127" t="n"/>
      <c r="N31" s="127" t="n"/>
      <c r="O31" s="127" t="n"/>
      <c r="P31" s="127" t="n"/>
      <c r="Q31" s="127" t="n">
        <v>-354157.06</v>
      </c>
      <c r="R31" s="127" t="n">
        <v>0</v>
      </c>
      <c r="S31" s="127" t="n">
        <v>-354947.44</v>
      </c>
      <c r="T31" s="127" t="n">
        <v>-355342.63</v>
      </c>
      <c r="U31" s="128" t="n">
        <v>0</v>
      </c>
      <c r="V31" s="128" t="n">
        <v>-356133.01</v>
      </c>
      <c r="W31" s="128" t="n">
        <v>-356528.2</v>
      </c>
      <c r="X31" s="128" t="n">
        <v>-356923.3900000001</v>
      </c>
      <c r="Y31" s="128" t="n">
        <v>0</v>
      </c>
      <c r="AD31" s="254" t="inlineStr">
        <is>
          <t>Depreciación acumulada</t>
        </is>
      </c>
      <c r="AE31" s="255">
        <f>IFERROR(B31/B$33,0)</f>
        <v/>
      </c>
      <c r="AF31" s="255">
        <f>IFERROR(C31/C$33,0)</f>
        <v/>
      </c>
      <c r="AG31" s="255">
        <f>IFERROR(D31/D$33,0)</f>
        <v/>
      </c>
      <c r="AH31" s="255">
        <f>IFERROR(E31/E$33,0)</f>
        <v/>
      </c>
      <c r="AI31" s="255">
        <f>IFERROR(F31/F$33,0)</f>
        <v/>
      </c>
      <c r="AJ31" s="255">
        <f>IFERROR(G31/G$33,0)</f>
        <v/>
      </c>
      <c r="AK31" s="255">
        <f>IFERROR(H31/H$33,0)</f>
        <v/>
      </c>
      <c r="AL31" s="255">
        <f>IFERROR(I31/I$33,0)</f>
        <v/>
      </c>
      <c r="AM31" s="255">
        <f>IFERROR(J31/J$33,0)</f>
        <v/>
      </c>
      <c r="AN31" s="255">
        <f>IFERROR(K31/K$33,0)</f>
        <v/>
      </c>
      <c r="AO31" s="255">
        <f>IFERROR(L31/L$33,0)</f>
        <v/>
      </c>
      <c r="AP31" s="255">
        <f>IFERROR(M31/M$33,0)</f>
        <v/>
      </c>
      <c r="AQ31" s="255">
        <f>IFERROR(N31/N$33,0)</f>
        <v/>
      </c>
      <c r="AR31" s="255">
        <f>IFERROR(O31/O$33,0)</f>
        <v/>
      </c>
      <c r="AS31" s="255">
        <f>IFERROR(P31/P$33,0)</f>
        <v/>
      </c>
      <c r="AT31" s="255">
        <f>IFERROR(Q31/Q$33,0)</f>
        <v/>
      </c>
      <c r="AU31" s="255">
        <f>IFERROR(R31/R$33,0)</f>
        <v/>
      </c>
      <c r="AV31" s="255">
        <f>IFERROR(S31/S$33,0)</f>
        <v/>
      </c>
      <c r="AW31" s="255">
        <f>IFERROR(T31/T$33,0)</f>
        <v/>
      </c>
      <c r="AX31" s="255">
        <f>IFERROR(U31/U$33,0)</f>
        <v/>
      </c>
      <c r="AY31" s="255">
        <f>IFERROR(V31/V$33,0)</f>
        <v/>
      </c>
      <c r="AZ31" s="255">
        <f>IFERROR(W31/W$33,0)</f>
        <v/>
      </c>
      <c r="BA31" s="255">
        <f>IFERROR(X31/X$33,0)</f>
        <v/>
      </c>
      <c r="BB31" s="255">
        <f>IFERROR(Y31/Y$33,0)</f>
        <v/>
      </c>
      <c r="BC31" s="255">
        <f>IFERROR(Z31/Z$33,0)</f>
        <v/>
      </c>
      <c r="BD31" s="255">
        <f>IFERROR(AA31/AA$33,0)</f>
        <v/>
      </c>
      <c r="BE31" s="255">
        <f>IFERROR(AB31/AB$33,0)</f>
        <v/>
      </c>
      <c r="BG31" s="254" t="inlineStr">
        <is>
          <t>Depreciación acumulada</t>
        </is>
      </c>
      <c r="BH31" s="255" t="inlineStr"/>
      <c r="BI31" s="255">
        <f>IFERROR(C31/B31-1,0)</f>
        <v/>
      </c>
      <c r="BJ31" s="255">
        <f>IFERROR(D31/C31-1,0)</f>
        <v/>
      </c>
      <c r="BK31" s="255">
        <f>IFERROR(E31/D31-1,0)</f>
        <v/>
      </c>
      <c r="BL31" s="255">
        <f>IFERROR(F31/E31-1,0)</f>
        <v/>
      </c>
      <c r="BM31" s="255">
        <f>IFERROR(G31/F31-1,0)</f>
        <v/>
      </c>
      <c r="BN31" s="255">
        <f>IFERROR(H31/G31-1,0)</f>
        <v/>
      </c>
      <c r="BO31" s="255">
        <f>IFERROR(I31/H31-1,0)</f>
        <v/>
      </c>
      <c r="BP31" s="255">
        <f>IFERROR(J31/I31-1,0)</f>
        <v/>
      </c>
      <c r="BQ31" s="255">
        <f>IFERROR(K31/J31-1,0)</f>
        <v/>
      </c>
      <c r="BR31" s="255">
        <f>IFERROR(L31/K31-1,0)</f>
        <v/>
      </c>
      <c r="BS31" s="255">
        <f>IFERROR(M31/L31-1,0)</f>
        <v/>
      </c>
      <c r="BT31" s="255">
        <f>IFERROR(N31/M31-1,0)</f>
        <v/>
      </c>
      <c r="BU31" s="255">
        <f>IFERROR(O31/N31-1,0)</f>
        <v/>
      </c>
      <c r="BV31" s="255">
        <f>IFERROR(P31/O31-1,0)</f>
        <v/>
      </c>
      <c r="BW31" s="255">
        <f>IFERROR(Q31/P31-1,0)</f>
        <v/>
      </c>
      <c r="BX31" s="255">
        <f>IFERROR(R31/Q31-1,0)</f>
        <v/>
      </c>
      <c r="BY31" s="255">
        <f>IFERROR(S31/R31-1,0)</f>
        <v/>
      </c>
      <c r="BZ31" s="255">
        <f>IFERROR(T31/S31-1,0)</f>
        <v/>
      </c>
      <c r="CA31" s="255">
        <f>IFERROR(U31/T31-1,0)</f>
        <v/>
      </c>
      <c r="CB31" s="255">
        <f>IFERROR(V31/U31-1,0)</f>
        <v/>
      </c>
      <c r="CC31" s="255">
        <f>IFERROR(W31/V31-1,0)</f>
        <v/>
      </c>
      <c r="CD31" s="255">
        <f>IFERROR(X31/W31-1,0)</f>
        <v/>
      </c>
      <c r="CE31" s="255">
        <f>IFERROR(Y31/X31-1,0)</f>
        <v/>
      </c>
      <c r="CF31" s="255">
        <f>IFERROR(Z31/Y31-1,0)</f>
        <v/>
      </c>
      <c r="CG31" s="255">
        <f>IFERROR(AA31/Z31-1,0)</f>
        <v/>
      </c>
      <c r="CH31" s="255">
        <f>IFERROR(AB31/AA31-1,0)</f>
        <v/>
      </c>
    </row>
    <row r="32" ht="15.75" customHeight="1">
      <c r="A32" s="137" t="inlineStr">
        <is>
          <t>Activo por impuestos a la utilidad diferidos, neto</t>
        </is>
      </c>
      <c r="B32" s="127" t="n">
        <v>505000</v>
      </c>
      <c r="C32" s="127" t="n">
        <v>449000</v>
      </c>
      <c r="D32" s="127" t="n">
        <v>520000</v>
      </c>
      <c r="E32" s="127" t="n">
        <v>521000</v>
      </c>
      <c r="F32" s="127" t="n">
        <v>366000</v>
      </c>
      <c r="G32" s="127" t="n">
        <v>346000</v>
      </c>
      <c r="H32" s="127" t="n">
        <v>268000</v>
      </c>
      <c r="I32" s="127" t="n">
        <v>346000</v>
      </c>
      <c r="J32" s="127" t="n">
        <v>346000</v>
      </c>
      <c r="K32" s="127" t="n">
        <v>346000</v>
      </c>
      <c r="L32" s="127" t="n">
        <v>346000</v>
      </c>
      <c r="M32" s="127" t="n">
        <v>346000</v>
      </c>
      <c r="N32" s="127" t="n">
        <v>346000</v>
      </c>
      <c r="O32" s="127" t="n">
        <v>1082000</v>
      </c>
      <c r="P32" s="127" t="n">
        <v>1082189</v>
      </c>
      <c r="Q32" s="127" t="n">
        <v>1082189.3</v>
      </c>
      <c r="R32" s="127" t="n">
        <v>1082000</v>
      </c>
      <c r="S32" s="127" t="n">
        <v>1082189.3</v>
      </c>
      <c r="T32" s="127" t="n">
        <v>1082189.3</v>
      </c>
      <c r="U32" s="128" t="n">
        <v>1082000</v>
      </c>
      <c r="V32" s="128" t="n">
        <v>1082189.3</v>
      </c>
      <c r="W32" s="128" t="n">
        <v>1082189.3</v>
      </c>
      <c r="X32" s="128" t="n">
        <v>1082189.3</v>
      </c>
      <c r="Y32" s="128" t="n">
        <v>1361000</v>
      </c>
      <c r="Z32" s="128" t="n">
        <v>1669000</v>
      </c>
      <c r="AD32" s="254" t="inlineStr">
        <is>
          <t>Activo por impuestos a la utilidad diferidos, neto</t>
        </is>
      </c>
      <c r="AE32" s="255">
        <f>IFERROR(B32/B$33,0)</f>
        <v/>
      </c>
      <c r="AF32" s="255">
        <f>IFERROR(C32/C$33,0)</f>
        <v/>
      </c>
      <c r="AG32" s="255">
        <f>IFERROR(D32/D$33,0)</f>
        <v/>
      </c>
      <c r="AH32" s="255">
        <f>IFERROR(E32/E$33,0)</f>
        <v/>
      </c>
      <c r="AI32" s="255">
        <f>IFERROR(F32/F$33,0)</f>
        <v/>
      </c>
      <c r="AJ32" s="255">
        <f>IFERROR(G32/G$33,0)</f>
        <v/>
      </c>
      <c r="AK32" s="255">
        <f>IFERROR(H32/H$33,0)</f>
        <v/>
      </c>
      <c r="AL32" s="255">
        <f>IFERROR(I32/I$33,0)</f>
        <v/>
      </c>
      <c r="AM32" s="255">
        <f>IFERROR(J32/J$33,0)</f>
        <v/>
      </c>
      <c r="AN32" s="255">
        <f>IFERROR(K32/K$33,0)</f>
        <v/>
      </c>
      <c r="AO32" s="255">
        <f>IFERROR(L32/L$33,0)</f>
        <v/>
      </c>
      <c r="AP32" s="255">
        <f>IFERROR(M32/M$33,0)</f>
        <v/>
      </c>
      <c r="AQ32" s="255">
        <f>IFERROR(N32/N$33,0)</f>
        <v/>
      </c>
      <c r="AR32" s="255">
        <f>IFERROR(O32/O$33,0)</f>
        <v/>
      </c>
      <c r="AS32" s="255">
        <f>IFERROR(P32/P$33,0)</f>
        <v/>
      </c>
      <c r="AT32" s="255">
        <f>IFERROR(Q32/Q$33,0)</f>
        <v/>
      </c>
      <c r="AU32" s="255">
        <f>IFERROR(R32/R$33,0)</f>
        <v/>
      </c>
      <c r="AV32" s="255">
        <f>IFERROR(S32/S$33,0)</f>
        <v/>
      </c>
      <c r="AW32" s="255">
        <f>IFERROR(T32/T$33,0)</f>
        <v/>
      </c>
      <c r="AX32" s="255">
        <f>IFERROR(U32/U$33,0)</f>
        <v/>
      </c>
      <c r="AY32" s="255">
        <f>IFERROR(V32/V$33,0)</f>
        <v/>
      </c>
      <c r="AZ32" s="255">
        <f>IFERROR(W32/W$33,0)</f>
        <v/>
      </c>
      <c r="BA32" s="255">
        <f>IFERROR(X32/X$33,0)</f>
        <v/>
      </c>
      <c r="BB32" s="255">
        <f>IFERROR(Y32/Y$33,0)</f>
        <v/>
      </c>
      <c r="BC32" s="255">
        <f>IFERROR(Z32/Z$33,0)</f>
        <v/>
      </c>
      <c r="BD32" s="255">
        <f>IFERROR(AA32/AA$33,0)</f>
        <v/>
      </c>
      <c r="BE32" s="255">
        <f>IFERROR(AB32/AB$33,0)</f>
        <v/>
      </c>
      <c r="BG32" s="254" t="inlineStr">
        <is>
          <t>Activo por impuestos a la utilidad diferidos, neto</t>
        </is>
      </c>
      <c r="BH32" s="255" t="inlineStr"/>
      <c r="BI32" s="255">
        <f>IFERROR(C32/B32-1,0)</f>
        <v/>
      </c>
      <c r="BJ32" s="255">
        <f>IFERROR(D32/C32-1,0)</f>
        <v/>
      </c>
      <c r="BK32" s="255">
        <f>IFERROR(E32/D32-1,0)</f>
        <v/>
      </c>
      <c r="BL32" s="255">
        <f>IFERROR(F32/E32-1,0)</f>
        <v/>
      </c>
      <c r="BM32" s="255">
        <f>IFERROR(G32/F32-1,0)</f>
        <v/>
      </c>
      <c r="BN32" s="255">
        <f>IFERROR(H32/G32-1,0)</f>
        <v/>
      </c>
      <c r="BO32" s="255">
        <f>IFERROR(I32/H32-1,0)</f>
        <v/>
      </c>
      <c r="BP32" s="255">
        <f>IFERROR(J32/I32-1,0)</f>
        <v/>
      </c>
      <c r="BQ32" s="255">
        <f>IFERROR(K32/J32-1,0)</f>
        <v/>
      </c>
      <c r="BR32" s="255">
        <f>IFERROR(L32/K32-1,0)</f>
        <v/>
      </c>
      <c r="BS32" s="255">
        <f>IFERROR(M32/L32-1,0)</f>
        <v/>
      </c>
      <c r="BT32" s="255">
        <f>IFERROR(N32/M32-1,0)</f>
        <v/>
      </c>
      <c r="BU32" s="255">
        <f>IFERROR(O32/N32-1,0)</f>
        <v/>
      </c>
      <c r="BV32" s="255">
        <f>IFERROR(P32/O32-1,0)</f>
        <v/>
      </c>
      <c r="BW32" s="255">
        <f>IFERROR(Q32/P32-1,0)</f>
        <v/>
      </c>
      <c r="BX32" s="255">
        <f>IFERROR(R32/Q32-1,0)</f>
        <v/>
      </c>
      <c r="BY32" s="255">
        <f>IFERROR(S32/R32-1,0)</f>
        <v/>
      </c>
      <c r="BZ32" s="255">
        <f>IFERROR(T32/S32-1,0)</f>
        <v/>
      </c>
      <c r="CA32" s="255">
        <f>IFERROR(U32/T32-1,0)</f>
        <v/>
      </c>
      <c r="CB32" s="255">
        <f>IFERROR(V32/U32-1,0)</f>
        <v/>
      </c>
      <c r="CC32" s="255">
        <f>IFERROR(W32/V32-1,0)</f>
        <v/>
      </c>
      <c r="CD32" s="255">
        <f>IFERROR(X32/W32-1,0)</f>
        <v/>
      </c>
      <c r="CE32" s="255">
        <f>IFERROR(Y32/X32-1,0)</f>
        <v/>
      </c>
      <c r="CF32" s="255">
        <f>IFERROR(Z32/Y32-1,0)</f>
        <v/>
      </c>
      <c r="CG32" s="255">
        <f>IFERROR(AA32/Z32-1,0)</f>
        <v/>
      </c>
      <c r="CH32" s="255">
        <f>IFERROR(AB32/AA32-1,0)</f>
        <v/>
      </c>
    </row>
    <row r="33" ht="15.75" customHeight="1">
      <c r="A33" s="139" t="inlineStr">
        <is>
          <t>Total Activo</t>
        </is>
      </c>
      <c r="B33" s="133">
        <f>SUM(B25:B32)</f>
        <v/>
      </c>
      <c r="C33" s="133">
        <f>SUM(C25:C32)</f>
        <v/>
      </c>
      <c r="D33" s="133">
        <f>SUM(D25:D32)</f>
        <v/>
      </c>
      <c r="E33" s="133">
        <f>SUM(E25:E32)</f>
        <v/>
      </c>
      <c r="F33" s="133">
        <f>SUM(F25:F32)</f>
        <v/>
      </c>
      <c r="G33" s="133">
        <f>SUM(G25:G32)</f>
        <v/>
      </c>
      <c r="H33" s="133">
        <f>SUM(H25:H32)</f>
        <v/>
      </c>
      <c r="I33" s="133">
        <f>SUM(I25:I32)</f>
        <v/>
      </c>
      <c r="J33" s="133">
        <f>SUM(J25:J32)</f>
        <v/>
      </c>
      <c r="K33" s="133">
        <f>SUM(K25:K32)</f>
        <v/>
      </c>
      <c r="L33" s="133">
        <f>SUM(L25:L32)</f>
        <v/>
      </c>
      <c r="M33" s="133">
        <f>SUM(M25:M32)</f>
        <v/>
      </c>
      <c r="N33" s="133">
        <f>SUM(N25:N32)</f>
        <v/>
      </c>
      <c r="O33" s="133">
        <f>SUM(O25:O32)</f>
        <v/>
      </c>
      <c r="P33" s="133">
        <f>SUM(P25:P32)</f>
        <v/>
      </c>
      <c r="Q33" s="133">
        <f>SUM(Q25:Q32)</f>
        <v/>
      </c>
      <c r="R33" s="133">
        <f>SUM(R25:R32)</f>
        <v/>
      </c>
      <c r="S33" s="133">
        <f>SUM(S25:S32)</f>
        <v/>
      </c>
      <c r="T33" s="133">
        <f>SUM(T25:T32)</f>
        <v/>
      </c>
      <c r="U33" s="133">
        <f>SUM(U25:U32)</f>
        <v/>
      </c>
      <c r="V33" s="133">
        <f>SUM(V25:V32)</f>
        <v/>
      </c>
      <c r="W33" s="133">
        <f>SUM(W25:W32)</f>
        <v/>
      </c>
      <c r="X33" s="133">
        <f>SUM(X25:X32)</f>
        <v/>
      </c>
      <c r="Y33" s="133">
        <f>SUM(Y25:Y32)</f>
        <v/>
      </c>
      <c r="Z33" s="133">
        <f>SUM(Z25:Z32)</f>
        <v/>
      </c>
      <c r="AD33" s="256" t="inlineStr">
        <is>
          <t>Total Activo</t>
        </is>
      </c>
      <c r="AE33" s="257">
        <f>IFERROR(B33/B$33,0)</f>
        <v/>
      </c>
      <c r="AF33" s="257">
        <f>IFERROR(C33/C$33,0)</f>
        <v/>
      </c>
      <c r="AG33" s="257">
        <f>IFERROR(D33/D$33,0)</f>
        <v/>
      </c>
      <c r="AH33" s="257">
        <f>IFERROR(E33/E$33,0)</f>
        <v/>
      </c>
      <c r="AI33" s="257">
        <f>IFERROR(F33/F$33,0)</f>
        <v/>
      </c>
      <c r="AJ33" s="257">
        <f>IFERROR(G33/G$33,0)</f>
        <v/>
      </c>
      <c r="AK33" s="257">
        <f>IFERROR(H33/H$33,0)</f>
        <v/>
      </c>
      <c r="AL33" s="257">
        <f>IFERROR(I33/I$33,0)</f>
        <v/>
      </c>
      <c r="AM33" s="257">
        <f>IFERROR(J33/J$33,0)</f>
        <v/>
      </c>
      <c r="AN33" s="257">
        <f>IFERROR(K33/K$33,0)</f>
        <v/>
      </c>
      <c r="AO33" s="257">
        <f>IFERROR(L33/L$33,0)</f>
        <v/>
      </c>
      <c r="AP33" s="257">
        <f>IFERROR(M33/M$33,0)</f>
        <v/>
      </c>
      <c r="AQ33" s="257">
        <f>IFERROR(N33/N$33,0)</f>
        <v/>
      </c>
      <c r="AR33" s="257">
        <f>IFERROR(O33/O$33,0)</f>
        <v/>
      </c>
      <c r="AS33" s="257">
        <f>IFERROR(P33/P$33,0)</f>
        <v/>
      </c>
      <c r="AT33" s="257">
        <f>IFERROR(Q33/Q$33,0)</f>
        <v/>
      </c>
      <c r="AU33" s="257">
        <f>IFERROR(R33/R$33,0)</f>
        <v/>
      </c>
      <c r="AV33" s="257">
        <f>IFERROR(S33/S$33,0)</f>
        <v/>
      </c>
      <c r="AW33" s="257">
        <f>IFERROR(T33/T$33,0)</f>
        <v/>
      </c>
      <c r="AX33" s="257">
        <f>IFERROR(U33/U$33,0)</f>
        <v/>
      </c>
      <c r="AY33" s="257">
        <f>IFERROR(V33/V$33,0)</f>
        <v/>
      </c>
      <c r="AZ33" s="257">
        <f>IFERROR(W33/W$33,0)</f>
        <v/>
      </c>
      <c r="BA33" s="257">
        <f>IFERROR(X33/X$33,0)</f>
        <v/>
      </c>
      <c r="BB33" s="257">
        <f>IFERROR(Y33/Y$33,0)</f>
        <v/>
      </c>
      <c r="BC33" s="257">
        <f>IFERROR(Z33/Z$33,0)</f>
        <v/>
      </c>
      <c r="BD33" s="257">
        <f>IFERROR(AA33/AA$33,0)</f>
        <v/>
      </c>
      <c r="BE33" s="257">
        <f>IFERROR(AB33/AB$33,0)</f>
        <v/>
      </c>
      <c r="BG33" s="256" t="inlineStr">
        <is>
          <t>Total Activo</t>
        </is>
      </c>
      <c r="BH33" s="257" t="inlineStr"/>
      <c r="BI33" s="257">
        <f>IFERROR(C33/B33-1,0)</f>
        <v/>
      </c>
      <c r="BJ33" s="257">
        <f>IFERROR(D33/C33-1,0)</f>
        <v/>
      </c>
      <c r="BK33" s="257">
        <f>IFERROR(E33/D33-1,0)</f>
        <v/>
      </c>
      <c r="BL33" s="257">
        <f>IFERROR(F33/E33-1,0)</f>
        <v/>
      </c>
      <c r="BM33" s="257">
        <f>IFERROR(G33/F33-1,0)</f>
        <v/>
      </c>
      <c r="BN33" s="257">
        <f>IFERROR(H33/G33-1,0)</f>
        <v/>
      </c>
      <c r="BO33" s="257">
        <f>IFERROR(I33/H33-1,0)</f>
        <v/>
      </c>
      <c r="BP33" s="257">
        <f>IFERROR(J33/I33-1,0)</f>
        <v/>
      </c>
      <c r="BQ33" s="257">
        <f>IFERROR(K33/J33-1,0)</f>
        <v/>
      </c>
      <c r="BR33" s="257">
        <f>IFERROR(L33/K33-1,0)</f>
        <v/>
      </c>
      <c r="BS33" s="257">
        <f>IFERROR(M33/L33-1,0)</f>
        <v/>
      </c>
      <c r="BT33" s="257">
        <f>IFERROR(N33/M33-1,0)</f>
        <v/>
      </c>
      <c r="BU33" s="257">
        <f>IFERROR(O33/N33-1,0)</f>
        <v/>
      </c>
      <c r="BV33" s="257">
        <f>IFERROR(P33/O33-1,0)</f>
        <v/>
      </c>
      <c r="BW33" s="257">
        <f>IFERROR(Q33/P33-1,0)</f>
        <v/>
      </c>
      <c r="BX33" s="257">
        <f>IFERROR(R33/Q33-1,0)</f>
        <v/>
      </c>
      <c r="BY33" s="257">
        <f>IFERROR(S33/R33-1,0)</f>
        <v/>
      </c>
      <c r="BZ33" s="257">
        <f>IFERROR(T33/S33-1,0)</f>
        <v/>
      </c>
      <c r="CA33" s="257">
        <f>IFERROR(U33/T33-1,0)</f>
        <v/>
      </c>
      <c r="CB33" s="257">
        <f>IFERROR(V33/U33-1,0)</f>
        <v/>
      </c>
      <c r="CC33" s="257">
        <f>IFERROR(W33/V33-1,0)</f>
        <v/>
      </c>
      <c r="CD33" s="257">
        <f>IFERROR(X33/W33-1,0)</f>
        <v/>
      </c>
      <c r="CE33" s="257">
        <f>IFERROR(Y33/X33-1,0)</f>
        <v/>
      </c>
      <c r="CF33" s="257">
        <f>IFERROR(Z33/Y33-1,0)</f>
        <v/>
      </c>
      <c r="CG33" s="257">
        <f>IFERROR(AA33/Z33-1,0)</f>
        <v/>
      </c>
      <c r="CH33" s="257">
        <f>IFERROR(AB33/AA33-1,0)</f>
        <v/>
      </c>
    </row>
    <row r="34" ht="15.75" customHeight="1">
      <c r="A34" s="137" t="n"/>
      <c r="B34" s="127" t="n"/>
      <c r="C34" s="127" t="n"/>
      <c r="D34" s="127" t="n"/>
      <c r="E34" s="127" t="n"/>
      <c r="F34" s="127" t="n"/>
      <c r="G34" s="127" t="n"/>
      <c r="H34" s="127" t="n"/>
      <c r="I34" s="127" t="n"/>
      <c r="J34" s="127" t="n"/>
      <c r="K34" s="127" t="n"/>
      <c r="L34" s="127" t="n"/>
    </row>
    <row r="35" ht="15.75" customHeight="1">
      <c r="A35" s="137" t="inlineStr">
        <is>
          <t>Préstamos de corto plazo</t>
        </is>
      </c>
      <c r="B35" s="127" t="n">
        <v>1058000</v>
      </c>
      <c r="C35" s="127" t="n">
        <v>115000</v>
      </c>
      <c r="D35" s="127" t="n">
        <v>17000</v>
      </c>
      <c r="E35" s="127" t="n">
        <v>50000</v>
      </c>
      <c r="F35" s="127" t="n">
        <v>89000</v>
      </c>
      <c r="G35" s="127" t="n">
        <v>142000</v>
      </c>
      <c r="H35" s="127" t="n">
        <v>114000</v>
      </c>
      <c r="I35" s="127" t="n">
        <v>255000</v>
      </c>
      <c r="J35" s="127" t="n">
        <v>59000</v>
      </c>
      <c r="K35" s="127" t="n">
        <v>139000</v>
      </c>
      <c r="L35" s="127" t="n">
        <v>60000</v>
      </c>
      <c r="M35" s="127" t="n">
        <v>75000</v>
      </c>
      <c r="N35" s="127" t="n">
        <v>358000</v>
      </c>
      <c r="O35" s="127" t="n">
        <v>0</v>
      </c>
      <c r="P35" s="127" t="n">
        <v>86288</v>
      </c>
      <c r="Q35" s="127" t="n">
        <v>164643.18</v>
      </c>
      <c r="R35" s="127" t="n">
        <v>81000</v>
      </c>
      <c r="S35" s="127" t="n">
        <v>119104.48</v>
      </c>
      <c r="T35" s="127" t="n">
        <v>101245.29</v>
      </c>
      <c r="U35" s="128" t="n">
        <v>374000</v>
      </c>
      <c r="V35" s="128" t="n">
        <v>178760.11</v>
      </c>
      <c r="W35" s="128" t="n">
        <v>72353.39</v>
      </c>
      <c r="X35" s="128" t="n">
        <v>66838.96999999793</v>
      </c>
      <c r="Y35" s="128" t="n">
        <v>378000</v>
      </c>
      <c r="Z35" s="128" t="n">
        <v>94000</v>
      </c>
      <c r="AD35" s="254" t="inlineStr">
        <is>
          <t>Préstamos de corto plazo</t>
        </is>
      </c>
      <c r="AE35" s="255">
        <f>IFERROR(B35/B$33,0)</f>
        <v/>
      </c>
      <c r="AF35" s="255">
        <f>IFERROR(C35/C$33,0)</f>
        <v/>
      </c>
      <c r="AG35" s="255">
        <f>IFERROR(D35/D$33,0)</f>
        <v/>
      </c>
      <c r="AH35" s="255">
        <f>IFERROR(E35/E$33,0)</f>
        <v/>
      </c>
      <c r="AI35" s="255">
        <f>IFERROR(F35/F$33,0)</f>
        <v/>
      </c>
      <c r="AJ35" s="255">
        <f>IFERROR(G35/G$33,0)</f>
        <v/>
      </c>
      <c r="AK35" s="255">
        <f>IFERROR(H35/H$33,0)</f>
        <v/>
      </c>
      <c r="AL35" s="255">
        <f>IFERROR(I35/I$33,0)</f>
        <v/>
      </c>
      <c r="AM35" s="255">
        <f>IFERROR(J35/J$33,0)</f>
        <v/>
      </c>
      <c r="AN35" s="255">
        <f>IFERROR(K35/K$33,0)</f>
        <v/>
      </c>
      <c r="AO35" s="255">
        <f>IFERROR(L35/L$33,0)</f>
        <v/>
      </c>
      <c r="AP35" s="255">
        <f>IFERROR(M35/M$33,0)</f>
        <v/>
      </c>
      <c r="AQ35" s="255">
        <f>IFERROR(N35/N$33,0)</f>
        <v/>
      </c>
      <c r="AR35" s="255">
        <f>IFERROR(O35/O$33,0)</f>
        <v/>
      </c>
      <c r="AS35" s="255">
        <f>IFERROR(P35/P$33,0)</f>
        <v/>
      </c>
      <c r="AT35" s="255">
        <f>IFERROR(Q35/Q$33,0)</f>
        <v/>
      </c>
      <c r="AU35" s="255">
        <f>IFERROR(R35/R$33,0)</f>
        <v/>
      </c>
      <c r="AV35" s="255">
        <f>IFERROR(S35/S$33,0)</f>
        <v/>
      </c>
      <c r="AW35" s="255">
        <f>IFERROR(T35/T$33,0)</f>
        <v/>
      </c>
      <c r="AX35" s="255">
        <f>IFERROR(U35/U$33,0)</f>
        <v/>
      </c>
      <c r="AY35" s="255">
        <f>IFERROR(V35/V$33,0)</f>
        <v/>
      </c>
      <c r="AZ35" s="255">
        <f>IFERROR(W35/W$33,0)</f>
        <v/>
      </c>
      <c r="BA35" s="255">
        <f>IFERROR(X35/X$33,0)</f>
        <v/>
      </c>
      <c r="BB35" s="255">
        <f>IFERROR(Y35/Y$33,0)</f>
        <v/>
      </c>
      <c r="BC35" s="255">
        <f>IFERROR(Z35/Z$33,0)</f>
        <v/>
      </c>
      <c r="BD35" s="255">
        <f>IFERROR(AA35/AA$33,0)</f>
        <v/>
      </c>
      <c r="BE35" s="255">
        <f>IFERROR(AB35/AB$33,0)</f>
        <v/>
      </c>
      <c r="BG35" s="254" t="inlineStr">
        <is>
          <t>Préstamos de corto plazo</t>
        </is>
      </c>
      <c r="BH35" s="255" t="inlineStr"/>
      <c r="BI35" s="255">
        <f>IFERROR(C35/B35-1,0)</f>
        <v/>
      </c>
      <c r="BJ35" s="255">
        <f>IFERROR(D35/C35-1,0)</f>
        <v/>
      </c>
      <c r="BK35" s="255">
        <f>IFERROR(E35/D35-1,0)</f>
        <v/>
      </c>
      <c r="BL35" s="255">
        <f>IFERROR(F35/E35-1,0)</f>
        <v/>
      </c>
      <c r="BM35" s="255">
        <f>IFERROR(G35/F35-1,0)</f>
        <v/>
      </c>
      <c r="BN35" s="255">
        <f>IFERROR(H35/G35-1,0)</f>
        <v/>
      </c>
      <c r="BO35" s="255">
        <f>IFERROR(I35/H35-1,0)</f>
        <v/>
      </c>
      <c r="BP35" s="255">
        <f>IFERROR(J35/I35-1,0)</f>
        <v/>
      </c>
      <c r="BQ35" s="255">
        <f>IFERROR(K35/J35-1,0)</f>
        <v/>
      </c>
      <c r="BR35" s="255">
        <f>IFERROR(L35/K35-1,0)</f>
        <v/>
      </c>
      <c r="BS35" s="255">
        <f>IFERROR(M35/L35-1,0)</f>
        <v/>
      </c>
      <c r="BT35" s="255">
        <f>IFERROR(N35/M35-1,0)</f>
        <v/>
      </c>
      <c r="BU35" s="255">
        <f>IFERROR(O35/N35-1,0)</f>
        <v/>
      </c>
      <c r="BV35" s="255">
        <f>IFERROR(P35/O35-1,0)</f>
        <v/>
      </c>
      <c r="BW35" s="255">
        <f>IFERROR(Q35/P35-1,0)</f>
        <v/>
      </c>
      <c r="BX35" s="255">
        <f>IFERROR(R35/Q35-1,0)</f>
        <v/>
      </c>
      <c r="BY35" s="255">
        <f>IFERROR(S35/R35-1,0)</f>
        <v/>
      </c>
      <c r="BZ35" s="255">
        <f>IFERROR(T35/S35-1,0)</f>
        <v/>
      </c>
      <c r="CA35" s="255">
        <f>IFERROR(U35/T35-1,0)</f>
        <v/>
      </c>
      <c r="CB35" s="255">
        <f>IFERROR(V35/U35-1,0)</f>
        <v/>
      </c>
      <c r="CC35" s="255">
        <f>IFERROR(W35/V35-1,0)</f>
        <v/>
      </c>
      <c r="CD35" s="255">
        <f>IFERROR(X35/W35-1,0)</f>
        <v/>
      </c>
      <c r="CE35" s="255">
        <f>IFERROR(Y35/X35-1,0)</f>
        <v/>
      </c>
      <c r="CF35" s="255">
        <f>IFERROR(Z35/Y35-1,0)</f>
        <v/>
      </c>
      <c r="CG35" s="255">
        <f>IFERROR(AA35/Z35-1,0)</f>
        <v/>
      </c>
      <c r="CH35" s="255">
        <f>IFERROR(AB35/AA35-1,0)</f>
        <v/>
      </c>
    </row>
    <row r="36" ht="15.75" customHeight="1">
      <c r="A36" s="137" t="inlineStr">
        <is>
          <t>Préstamos de largo plazo</t>
        </is>
      </c>
      <c r="B36" s="127" t="n">
        <v>1477000</v>
      </c>
      <c r="C36" s="127" t="n">
        <v>10611000</v>
      </c>
      <c r="D36" s="127" t="n">
        <v>10405000</v>
      </c>
      <c r="E36" s="127" t="n">
        <v>9400000</v>
      </c>
      <c r="F36" s="127" t="n">
        <v>8803000</v>
      </c>
      <c r="G36" s="127" t="n">
        <v>8206000</v>
      </c>
      <c r="H36" s="127" t="n">
        <v>7609000</v>
      </c>
      <c r="I36" s="127" t="n">
        <v>7459000</v>
      </c>
      <c r="J36" s="127" t="n">
        <v>6862000</v>
      </c>
      <c r="K36" s="127" t="n">
        <v>11265000</v>
      </c>
      <c r="L36" s="127" t="n">
        <v>10465000</v>
      </c>
      <c r="M36" s="127" t="n">
        <v>10334000</v>
      </c>
      <c r="N36" s="127" t="n">
        <v>10465000</v>
      </c>
      <c r="O36" s="127" t="n">
        <v>24549000</v>
      </c>
      <c r="P36" s="127" t="n">
        <v>34468353</v>
      </c>
      <c r="Q36" s="127" t="n">
        <v>38468353.24</v>
      </c>
      <c r="R36" s="127" t="n">
        <v>47070000</v>
      </c>
      <c r="S36" s="134" t="n">
        <v>55574614.97</v>
      </c>
      <c r="T36" s="127">
        <f>55574614.97</f>
        <v/>
      </c>
      <c r="U36" s="128" t="n">
        <v>55327000</v>
      </c>
      <c r="V36" s="128" t="n">
        <v>64675004.53</v>
      </c>
      <c r="W36" s="128" t="n">
        <v>59840977.83</v>
      </c>
      <c r="X36" s="128" t="n">
        <v>54586439.97999999</v>
      </c>
      <c r="Y36" s="128" t="n">
        <v>54268000</v>
      </c>
      <c r="Z36" s="128" t="n">
        <v>54268000</v>
      </c>
      <c r="AD36" s="254" t="inlineStr">
        <is>
          <t>Préstamos de largo plazo</t>
        </is>
      </c>
      <c r="AE36" s="255">
        <f>IFERROR(B36/B$33,0)</f>
        <v/>
      </c>
      <c r="AF36" s="255">
        <f>IFERROR(C36/C$33,0)</f>
        <v/>
      </c>
      <c r="AG36" s="255">
        <f>IFERROR(D36/D$33,0)</f>
        <v/>
      </c>
      <c r="AH36" s="255">
        <f>IFERROR(E36/E$33,0)</f>
        <v/>
      </c>
      <c r="AI36" s="255">
        <f>IFERROR(F36/F$33,0)</f>
        <v/>
      </c>
      <c r="AJ36" s="255">
        <f>IFERROR(G36/G$33,0)</f>
        <v/>
      </c>
      <c r="AK36" s="255">
        <f>IFERROR(H36/H$33,0)</f>
        <v/>
      </c>
      <c r="AL36" s="255">
        <f>IFERROR(I36/I$33,0)</f>
        <v/>
      </c>
      <c r="AM36" s="255">
        <f>IFERROR(J36/J$33,0)</f>
        <v/>
      </c>
      <c r="AN36" s="255">
        <f>IFERROR(K36/K$33,0)</f>
        <v/>
      </c>
      <c r="AO36" s="255">
        <f>IFERROR(L36/L$33,0)</f>
        <v/>
      </c>
      <c r="AP36" s="255">
        <f>IFERROR(M36/M$33,0)</f>
        <v/>
      </c>
      <c r="AQ36" s="255">
        <f>IFERROR(N36/N$33,0)</f>
        <v/>
      </c>
      <c r="AR36" s="255">
        <f>IFERROR(O36/O$33,0)</f>
        <v/>
      </c>
      <c r="AS36" s="255">
        <f>IFERROR(P36/P$33,0)</f>
        <v/>
      </c>
      <c r="AT36" s="255">
        <f>IFERROR(Q36/Q$33,0)</f>
        <v/>
      </c>
      <c r="AU36" s="255">
        <f>IFERROR(R36/R$33,0)</f>
        <v/>
      </c>
      <c r="AV36" s="255">
        <f>IFERROR(S36/S$33,0)</f>
        <v/>
      </c>
      <c r="AW36" s="255">
        <f>IFERROR(T36/T$33,0)</f>
        <v/>
      </c>
      <c r="AX36" s="255">
        <f>IFERROR(U36/U$33,0)</f>
        <v/>
      </c>
      <c r="AY36" s="255">
        <f>IFERROR(V36/V$33,0)</f>
        <v/>
      </c>
      <c r="AZ36" s="255">
        <f>IFERROR(W36/W$33,0)</f>
        <v/>
      </c>
      <c r="BA36" s="255">
        <f>IFERROR(X36/X$33,0)</f>
        <v/>
      </c>
      <c r="BB36" s="255">
        <f>IFERROR(Y36/Y$33,0)</f>
        <v/>
      </c>
      <c r="BC36" s="255">
        <f>IFERROR(Z36/Z$33,0)</f>
        <v/>
      </c>
      <c r="BD36" s="255">
        <f>IFERROR(AA36/AA$33,0)</f>
        <v/>
      </c>
      <c r="BE36" s="255">
        <f>IFERROR(AB36/AB$33,0)</f>
        <v/>
      </c>
      <c r="BG36" s="254" t="inlineStr">
        <is>
          <t>Préstamos de largo plazo</t>
        </is>
      </c>
      <c r="BH36" s="255" t="inlineStr"/>
      <c r="BI36" s="255">
        <f>IFERROR(C36/B36-1,0)</f>
        <v/>
      </c>
      <c r="BJ36" s="255">
        <f>IFERROR(D36/C36-1,0)</f>
        <v/>
      </c>
      <c r="BK36" s="255">
        <f>IFERROR(E36/D36-1,0)</f>
        <v/>
      </c>
      <c r="BL36" s="255">
        <f>IFERROR(F36/E36-1,0)</f>
        <v/>
      </c>
      <c r="BM36" s="255">
        <f>IFERROR(G36/F36-1,0)</f>
        <v/>
      </c>
      <c r="BN36" s="255">
        <f>IFERROR(H36/G36-1,0)</f>
        <v/>
      </c>
      <c r="BO36" s="255">
        <f>IFERROR(I36/H36-1,0)</f>
        <v/>
      </c>
      <c r="BP36" s="255">
        <f>IFERROR(J36/I36-1,0)</f>
        <v/>
      </c>
      <c r="BQ36" s="255">
        <f>IFERROR(K36/J36-1,0)</f>
        <v/>
      </c>
      <c r="BR36" s="255">
        <f>IFERROR(L36/K36-1,0)</f>
        <v/>
      </c>
      <c r="BS36" s="255">
        <f>IFERROR(M36/L36-1,0)</f>
        <v/>
      </c>
      <c r="BT36" s="255">
        <f>IFERROR(N36/M36-1,0)</f>
        <v/>
      </c>
      <c r="BU36" s="255">
        <f>IFERROR(O36/N36-1,0)</f>
        <v/>
      </c>
      <c r="BV36" s="255">
        <f>IFERROR(P36/O36-1,0)</f>
        <v/>
      </c>
      <c r="BW36" s="255">
        <f>IFERROR(Q36/P36-1,0)</f>
        <v/>
      </c>
      <c r="BX36" s="255">
        <f>IFERROR(R36/Q36-1,0)</f>
        <v/>
      </c>
      <c r="BY36" s="255">
        <f>IFERROR(S36/R36-1,0)</f>
        <v/>
      </c>
      <c r="BZ36" s="255">
        <f>IFERROR(T36/S36-1,0)</f>
        <v/>
      </c>
      <c r="CA36" s="255">
        <f>IFERROR(U36/T36-1,0)</f>
        <v/>
      </c>
      <c r="CB36" s="255">
        <f>IFERROR(V36/U36-1,0)</f>
        <v/>
      </c>
      <c r="CC36" s="255">
        <f>IFERROR(W36/V36-1,0)</f>
        <v/>
      </c>
      <c r="CD36" s="255">
        <f>IFERROR(X36/W36-1,0)</f>
        <v/>
      </c>
      <c r="CE36" s="255">
        <f>IFERROR(Y36/X36-1,0)</f>
        <v/>
      </c>
      <c r="CF36" s="255">
        <f>IFERROR(Z36/Y36-1,0)</f>
        <v/>
      </c>
      <c r="CG36" s="255">
        <f>IFERROR(AA36/Z36-1,0)</f>
        <v/>
      </c>
      <c r="CH36" s="255">
        <f>IFERROR(AB36/AA36-1,0)</f>
        <v/>
      </c>
    </row>
    <row r="37" ht="15.75" customHeight="1">
      <c r="A37" s="137" t="inlineStr">
        <is>
          <t>Contribuciones por pagar</t>
        </is>
      </c>
      <c r="B37" s="127" t="n">
        <v>95000</v>
      </c>
      <c r="C37" s="127" t="n">
        <v>155000</v>
      </c>
      <c r="D37" s="127" t="n">
        <v>497000</v>
      </c>
      <c r="E37" s="127" t="n">
        <v>450000</v>
      </c>
      <c r="F37" s="127" t="n">
        <v>316000</v>
      </c>
      <c r="G37" s="127" t="n">
        <v>461000</v>
      </c>
      <c r="H37" s="127" t="n">
        <v>348000</v>
      </c>
      <c r="I37" s="127" t="n">
        <v>633000</v>
      </c>
      <c r="J37" s="127" t="n">
        <v>1021000</v>
      </c>
      <c r="K37" s="127" t="n">
        <v>1011000</v>
      </c>
      <c r="L37" s="127" t="n">
        <v>1552000</v>
      </c>
      <c r="M37" s="127" t="n">
        <v>1563000</v>
      </c>
      <c r="N37" s="127" t="n">
        <v>2074000</v>
      </c>
      <c r="O37" s="127" t="n">
        <v>2501000</v>
      </c>
      <c r="P37" s="127" t="n">
        <v>3168518</v>
      </c>
      <c r="Q37" s="127" t="n">
        <v>3433525.28</v>
      </c>
      <c r="R37" s="127" t="n">
        <v>2454000</v>
      </c>
      <c r="S37" s="127" t="n">
        <v>2876758.83</v>
      </c>
      <c r="T37" s="127" t="n">
        <v>3492117.78</v>
      </c>
      <c r="U37" s="128" t="n">
        <v>3121000</v>
      </c>
      <c r="V37" s="128" t="n">
        <v>3759750</v>
      </c>
      <c r="W37" s="128" t="n">
        <v>3441035.39</v>
      </c>
      <c r="X37" s="128">
        <f>4483008.93-X38</f>
        <v/>
      </c>
      <c r="Y37" s="128" t="n">
        <v>4668000</v>
      </c>
      <c r="Z37" s="128" t="n">
        <v>5417000</v>
      </c>
      <c r="AD37" s="254" t="inlineStr">
        <is>
          <t>Contribuciones por pagar</t>
        </is>
      </c>
      <c r="AE37" s="255">
        <f>IFERROR(B37/B$33,0)</f>
        <v/>
      </c>
      <c r="AF37" s="255">
        <f>IFERROR(C37/C$33,0)</f>
        <v/>
      </c>
      <c r="AG37" s="255">
        <f>IFERROR(D37/D$33,0)</f>
        <v/>
      </c>
      <c r="AH37" s="255">
        <f>IFERROR(E37/E$33,0)</f>
        <v/>
      </c>
      <c r="AI37" s="255">
        <f>IFERROR(F37/F$33,0)</f>
        <v/>
      </c>
      <c r="AJ37" s="255">
        <f>IFERROR(G37/G$33,0)</f>
        <v/>
      </c>
      <c r="AK37" s="255">
        <f>IFERROR(H37/H$33,0)</f>
        <v/>
      </c>
      <c r="AL37" s="255">
        <f>IFERROR(I37/I$33,0)</f>
        <v/>
      </c>
      <c r="AM37" s="255">
        <f>IFERROR(J37/J$33,0)</f>
        <v/>
      </c>
      <c r="AN37" s="255">
        <f>IFERROR(K37/K$33,0)</f>
        <v/>
      </c>
      <c r="AO37" s="255">
        <f>IFERROR(L37/L$33,0)</f>
        <v/>
      </c>
      <c r="AP37" s="255">
        <f>IFERROR(M37/M$33,0)</f>
        <v/>
      </c>
      <c r="AQ37" s="255">
        <f>IFERROR(N37/N$33,0)</f>
        <v/>
      </c>
      <c r="AR37" s="255">
        <f>IFERROR(O37/O$33,0)</f>
        <v/>
      </c>
      <c r="AS37" s="255">
        <f>IFERROR(P37/P$33,0)</f>
        <v/>
      </c>
      <c r="AT37" s="255">
        <f>IFERROR(Q37/Q$33,0)</f>
        <v/>
      </c>
      <c r="AU37" s="255">
        <f>IFERROR(R37/R$33,0)</f>
        <v/>
      </c>
      <c r="AV37" s="255">
        <f>IFERROR(S37/S$33,0)</f>
        <v/>
      </c>
      <c r="AW37" s="255">
        <f>IFERROR(T37/T$33,0)</f>
        <v/>
      </c>
      <c r="AX37" s="255">
        <f>IFERROR(U37/U$33,0)</f>
        <v/>
      </c>
      <c r="AY37" s="255">
        <f>IFERROR(V37/V$33,0)</f>
        <v/>
      </c>
      <c r="AZ37" s="255">
        <f>IFERROR(W37/W$33,0)</f>
        <v/>
      </c>
      <c r="BA37" s="255">
        <f>IFERROR(X37/X$33,0)</f>
        <v/>
      </c>
      <c r="BB37" s="255">
        <f>IFERROR(Y37/Y$33,0)</f>
        <v/>
      </c>
      <c r="BC37" s="255">
        <f>IFERROR(Z37/Z$33,0)</f>
        <v/>
      </c>
      <c r="BD37" s="255">
        <f>IFERROR(AA37/AA$33,0)</f>
        <v/>
      </c>
      <c r="BE37" s="255">
        <f>IFERROR(AB37/AB$33,0)</f>
        <v/>
      </c>
      <c r="BG37" s="254" t="inlineStr">
        <is>
          <t>Contribuciones por pagar</t>
        </is>
      </c>
      <c r="BH37" s="255" t="inlineStr"/>
      <c r="BI37" s="255">
        <f>IFERROR(C37/B37-1,0)</f>
        <v/>
      </c>
      <c r="BJ37" s="255">
        <f>IFERROR(D37/C37-1,0)</f>
        <v/>
      </c>
      <c r="BK37" s="255">
        <f>IFERROR(E37/D37-1,0)</f>
        <v/>
      </c>
      <c r="BL37" s="255">
        <f>IFERROR(F37/E37-1,0)</f>
        <v/>
      </c>
      <c r="BM37" s="255">
        <f>IFERROR(G37/F37-1,0)</f>
        <v/>
      </c>
      <c r="BN37" s="255">
        <f>IFERROR(H37/G37-1,0)</f>
        <v/>
      </c>
      <c r="BO37" s="255">
        <f>IFERROR(I37/H37-1,0)</f>
        <v/>
      </c>
      <c r="BP37" s="255">
        <f>IFERROR(J37/I37-1,0)</f>
        <v/>
      </c>
      <c r="BQ37" s="255">
        <f>IFERROR(K37/J37-1,0)</f>
        <v/>
      </c>
      <c r="BR37" s="255">
        <f>IFERROR(L37/K37-1,0)</f>
        <v/>
      </c>
      <c r="BS37" s="255">
        <f>IFERROR(M37/L37-1,0)</f>
        <v/>
      </c>
      <c r="BT37" s="255">
        <f>IFERROR(N37/M37-1,0)</f>
        <v/>
      </c>
      <c r="BU37" s="255">
        <f>IFERROR(O37/N37-1,0)</f>
        <v/>
      </c>
      <c r="BV37" s="255">
        <f>IFERROR(P37/O37-1,0)</f>
        <v/>
      </c>
      <c r="BW37" s="255">
        <f>IFERROR(Q37/P37-1,0)</f>
        <v/>
      </c>
      <c r="BX37" s="255">
        <f>IFERROR(R37/Q37-1,0)</f>
        <v/>
      </c>
      <c r="BY37" s="255">
        <f>IFERROR(S37/R37-1,0)</f>
        <v/>
      </c>
      <c r="BZ37" s="255">
        <f>IFERROR(T37/S37-1,0)</f>
        <v/>
      </c>
      <c r="CA37" s="255">
        <f>IFERROR(U37/T37-1,0)</f>
        <v/>
      </c>
      <c r="CB37" s="255">
        <f>IFERROR(V37/U37-1,0)</f>
        <v/>
      </c>
      <c r="CC37" s="255">
        <f>IFERROR(W37/V37-1,0)</f>
        <v/>
      </c>
      <c r="CD37" s="255">
        <f>IFERROR(X37/W37-1,0)</f>
        <v/>
      </c>
      <c r="CE37" s="255">
        <f>IFERROR(Y37/X37-1,0)</f>
        <v/>
      </c>
      <c r="CF37" s="255">
        <f>IFERROR(Z37/Y37-1,0)</f>
        <v/>
      </c>
      <c r="CG37" s="255">
        <f>IFERROR(AA37/Z37-1,0)</f>
        <v/>
      </c>
      <c r="CH37" s="255">
        <f>IFERROR(AB37/AA37-1,0)</f>
        <v/>
      </c>
    </row>
    <row r="38" ht="15.75" customHeight="1">
      <c r="A38" s="137" t="inlineStr">
        <is>
          <t>Acreedores diversas y otras cuentas por pagar</t>
        </is>
      </c>
      <c r="B38" s="127" t="n">
        <v>185000</v>
      </c>
      <c r="C38" s="127" t="n">
        <v>310000</v>
      </c>
      <c r="D38" s="127" t="n">
        <v>335000</v>
      </c>
      <c r="E38" s="127" t="n">
        <v>505000</v>
      </c>
      <c r="F38" s="127" t="n">
        <v>41000</v>
      </c>
      <c r="G38" s="127" t="n">
        <v>229000</v>
      </c>
      <c r="H38" s="127" t="n">
        <v>356000</v>
      </c>
      <c r="I38" s="127" t="n">
        <v>80000</v>
      </c>
      <c r="J38" s="127" t="n">
        <v>62000</v>
      </c>
      <c r="K38" s="127" t="n">
        <v>223000</v>
      </c>
      <c r="L38" s="127" t="n">
        <v>31000</v>
      </c>
      <c r="M38" s="127" t="n">
        <v>398000</v>
      </c>
      <c r="N38" s="127" t="n">
        <v>585000</v>
      </c>
      <c r="O38" s="127" t="n">
        <v>600000</v>
      </c>
      <c r="P38" s="127" t="n">
        <v>645113</v>
      </c>
      <c r="Q38" s="127" t="n">
        <v>669184.7</v>
      </c>
      <c r="R38" s="127" t="n">
        <v>296000</v>
      </c>
      <c r="S38" s="127" t="n">
        <v>352413.85</v>
      </c>
      <c r="T38" s="127" t="n">
        <v>463869.94</v>
      </c>
      <c r="U38" s="128" t="n">
        <v>501000</v>
      </c>
      <c r="V38" s="128" t="n">
        <v>582334.27</v>
      </c>
      <c r="W38" s="128" t="n">
        <v>673578.63</v>
      </c>
      <c r="X38" s="128" t="n">
        <v>232951.4900000013</v>
      </c>
      <c r="Y38" s="128" t="n">
        <v>398000</v>
      </c>
      <c r="Z38" s="128" t="n">
        <v>508000</v>
      </c>
      <c r="AD38" s="254" t="inlineStr">
        <is>
          <t>Acreedores diversas y otras cuentas por pagar</t>
        </is>
      </c>
      <c r="AE38" s="255">
        <f>IFERROR(B38/B$33,0)</f>
        <v/>
      </c>
      <c r="AF38" s="255">
        <f>IFERROR(C38/C$33,0)</f>
        <v/>
      </c>
      <c r="AG38" s="255">
        <f>IFERROR(D38/D$33,0)</f>
        <v/>
      </c>
      <c r="AH38" s="255">
        <f>IFERROR(E38/E$33,0)</f>
        <v/>
      </c>
      <c r="AI38" s="255">
        <f>IFERROR(F38/F$33,0)</f>
        <v/>
      </c>
      <c r="AJ38" s="255">
        <f>IFERROR(G38/G$33,0)</f>
        <v/>
      </c>
      <c r="AK38" s="255">
        <f>IFERROR(H38/H$33,0)</f>
        <v/>
      </c>
      <c r="AL38" s="255">
        <f>IFERROR(I38/I$33,0)</f>
        <v/>
      </c>
      <c r="AM38" s="255">
        <f>IFERROR(J38/J$33,0)</f>
        <v/>
      </c>
      <c r="AN38" s="255">
        <f>IFERROR(K38/K$33,0)</f>
        <v/>
      </c>
      <c r="AO38" s="255">
        <f>IFERROR(L38/L$33,0)</f>
        <v/>
      </c>
      <c r="AP38" s="255">
        <f>IFERROR(M38/M$33,0)</f>
        <v/>
      </c>
      <c r="AQ38" s="255">
        <f>IFERROR(N38/N$33,0)</f>
        <v/>
      </c>
      <c r="AR38" s="255">
        <f>IFERROR(O38/O$33,0)</f>
        <v/>
      </c>
      <c r="AS38" s="255">
        <f>IFERROR(P38/P$33,0)</f>
        <v/>
      </c>
      <c r="AT38" s="255">
        <f>IFERROR(Q38/Q$33,0)</f>
        <v/>
      </c>
      <c r="AU38" s="255">
        <f>IFERROR(R38/R$33,0)</f>
        <v/>
      </c>
      <c r="AV38" s="255">
        <f>IFERROR(S38/S$33,0)</f>
        <v/>
      </c>
      <c r="AW38" s="255">
        <f>IFERROR(T38/T$33,0)</f>
        <v/>
      </c>
      <c r="AX38" s="255">
        <f>IFERROR(U38/U$33,0)</f>
        <v/>
      </c>
      <c r="AY38" s="255">
        <f>IFERROR(V38/V$33,0)</f>
        <v/>
      </c>
      <c r="AZ38" s="255">
        <f>IFERROR(W38/W$33,0)</f>
        <v/>
      </c>
      <c r="BA38" s="255">
        <f>IFERROR(X38/X$33,0)</f>
        <v/>
      </c>
      <c r="BB38" s="255">
        <f>IFERROR(Y38/Y$33,0)</f>
        <v/>
      </c>
      <c r="BC38" s="255">
        <f>IFERROR(Z38/Z$33,0)</f>
        <v/>
      </c>
      <c r="BD38" s="255">
        <f>IFERROR(AA38/AA$33,0)</f>
        <v/>
      </c>
      <c r="BE38" s="255">
        <f>IFERROR(AB38/AB$33,0)</f>
        <v/>
      </c>
      <c r="BG38" s="254" t="inlineStr">
        <is>
          <t>Acreedores diversas y otras cuentas por pagar</t>
        </is>
      </c>
      <c r="BH38" s="255" t="inlineStr"/>
      <c r="BI38" s="255">
        <f>IFERROR(C38/B38-1,0)</f>
        <v/>
      </c>
      <c r="BJ38" s="255">
        <f>IFERROR(D38/C38-1,0)</f>
        <v/>
      </c>
      <c r="BK38" s="255">
        <f>IFERROR(E38/D38-1,0)</f>
        <v/>
      </c>
      <c r="BL38" s="255">
        <f>IFERROR(F38/E38-1,0)</f>
        <v/>
      </c>
      <c r="BM38" s="255">
        <f>IFERROR(G38/F38-1,0)</f>
        <v/>
      </c>
      <c r="BN38" s="255">
        <f>IFERROR(H38/G38-1,0)</f>
        <v/>
      </c>
      <c r="BO38" s="255">
        <f>IFERROR(I38/H38-1,0)</f>
        <v/>
      </c>
      <c r="BP38" s="255">
        <f>IFERROR(J38/I38-1,0)</f>
        <v/>
      </c>
      <c r="BQ38" s="255">
        <f>IFERROR(K38/J38-1,0)</f>
        <v/>
      </c>
      <c r="BR38" s="255">
        <f>IFERROR(L38/K38-1,0)</f>
        <v/>
      </c>
      <c r="BS38" s="255">
        <f>IFERROR(M38/L38-1,0)</f>
        <v/>
      </c>
      <c r="BT38" s="255">
        <f>IFERROR(N38/M38-1,0)</f>
        <v/>
      </c>
      <c r="BU38" s="255">
        <f>IFERROR(O38/N38-1,0)</f>
        <v/>
      </c>
      <c r="BV38" s="255">
        <f>IFERROR(P38/O38-1,0)</f>
        <v/>
      </c>
      <c r="BW38" s="255">
        <f>IFERROR(Q38/P38-1,0)</f>
        <v/>
      </c>
      <c r="BX38" s="255">
        <f>IFERROR(R38/Q38-1,0)</f>
        <v/>
      </c>
      <c r="BY38" s="255">
        <f>IFERROR(S38/R38-1,0)</f>
        <v/>
      </c>
      <c r="BZ38" s="255">
        <f>IFERROR(T38/S38-1,0)</f>
        <v/>
      </c>
      <c r="CA38" s="255">
        <f>IFERROR(U38/T38-1,0)</f>
        <v/>
      </c>
      <c r="CB38" s="255">
        <f>IFERROR(V38/U38-1,0)</f>
        <v/>
      </c>
      <c r="CC38" s="255">
        <f>IFERROR(W38/V38-1,0)</f>
        <v/>
      </c>
      <c r="CD38" s="255">
        <f>IFERROR(X38/W38-1,0)</f>
        <v/>
      </c>
      <c r="CE38" s="255">
        <f>IFERROR(Y38/X38-1,0)</f>
        <v/>
      </c>
      <c r="CF38" s="255">
        <f>IFERROR(Z38/Y38-1,0)</f>
        <v/>
      </c>
      <c r="CG38" s="255">
        <f>IFERROR(AA38/Z38-1,0)</f>
        <v/>
      </c>
      <c r="CH38" s="255">
        <f>IFERROR(AB38/AA38-1,0)</f>
        <v/>
      </c>
    </row>
    <row r="39" ht="15.75" customHeight="1">
      <c r="A39" s="137" t="inlineStr">
        <is>
          <t>Aportaciones para futuros aumentos de capital como pasivos</t>
        </is>
      </c>
      <c r="B39" s="127" t="n">
        <v>0</v>
      </c>
      <c r="C39" s="127" t="n">
        <v>0</v>
      </c>
      <c r="D39" s="127" t="n">
        <v>0</v>
      </c>
      <c r="E39" s="127" t="n">
        <v>0</v>
      </c>
      <c r="F39" s="127" t="n">
        <v>0</v>
      </c>
      <c r="G39" s="127" t="n">
        <v>0</v>
      </c>
      <c r="H39" s="127" t="n">
        <v>0</v>
      </c>
      <c r="I39" s="127" t="n">
        <v>0</v>
      </c>
      <c r="J39" s="127" t="n">
        <v>2250000</v>
      </c>
      <c r="K39" s="127" t="n">
        <v>0</v>
      </c>
      <c r="L39" s="127" t="n">
        <v>0</v>
      </c>
      <c r="M39" s="127" t="n">
        <v>0</v>
      </c>
      <c r="N39" s="127" t="n">
        <v>0</v>
      </c>
      <c r="O39" s="127" t="n">
        <v>0</v>
      </c>
      <c r="R39" s="127" t="n">
        <v>0</v>
      </c>
      <c r="S39" s="127" t="n">
        <v>0</v>
      </c>
      <c r="T39" s="127" t="n">
        <v>0</v>
      </c>
      <c r="U39" s="128" t="n">
        <v>0</v>
      </c>
      <c r="V39" s="128" t="n">
        <v>0</v>
      </c>
      <c r="W39" s="128" t="n">
        <v>0</v>
      </c>
      <c r="X39" s="128" t="n">
        <v>0</v>
      </c>
      <c r="Y39" s="128" t="n">
        <v>0</v>
      </c>
      <c r="AD39" s="254" t="inlineStr">
        <is>
          <t>Aportaciones para futuros aumentos de capital como pasivos</t>
        </is>
      </c>
      <c r="AE39" s="255">
        <f>IFERROR(B39/B$33,0)</f>
        <v/>
      </c>
      <c r="AF39" s="255">
        <f>IFERROR(C39/C$33,0)</f>
        <v/>
      </c>
      <c r="AG39" s="255">
        <f>IFERROR(D39/D$33,0)</f>
        <v/>
      </c>
      <c r="AH39" s="255">
        <f>IFERROR(E39/E$33,0)</f>
        <v/>
      </c>
      <c r="AI39" s="255">
        <f>IFERROR(F39/F$33,0)</f>
        <v/>
      </c>
      <c r="AJ39" s="255">
        <f>IFERROR(G39/G$33,0)</f>
        <v/>
      </c>
      <c r="AK39" s="255">
        <f>IFERROR(H39/H$33,0)</f>
        <v/>
      </c>
      <c r="AL39" s="255">
        <f>IFERROR(I39/I$33,0)</f>
        <v/>
      </c>
      <c r="AM39" s="255">
        <f>IFERROR(J39/J$33,0)</f>
        <v/>
      </c>
      <c r="AN39" s="255">
        <f>IFERROR(K39/K$33,0)</f>
        <v/>
      </c>
      <c r="AO39" s="255">
        <f>IFERROR(L39/L$33,0)</f>
        <v/>
      </c>
      <c r="AP39" s="255">
        <f>IFERROR(M39/M$33,0)</f>
        <v/>
      </c>
      <c r="AQ39" s="255">
        <f>IFERROR(N39/N$33,0)</f>
        <v/>
      </c>
      <c r="AR39" s="255">
        <f>IFERROR(O39/O$33,0)</f>
        <v/>
      </c>
      <c r="AS39" s="255">
        <f>IFERROR(P39/P$33,0)</f>
        <v/>
      </c>
      <c r="AT39" s="255">
        <f>IFERROR(Q39/Q$33,0)</f>
        <v/>
      </c>
      <c r="AU39" s="255">
        <f>IFERROR(R39/R$33,0)</f>
        <v/>
      </c>
      <c r="AV39" s="255">
        <f>IFERROR(S39/S$33,0)</f>
        <v/>
      </c>
      <c r="AW39" s="255">
        <f>IFERROR(T39/T$33,0)</f>
        <v/>
      </c>
      <c r="AX39" s="255">
        <f>IFERROR(U39/U$33,0)</f>
        <v/>
      </c>
      <c r="AY39" s="255">
        <f>IFERROR(V39/V$33,0)</f>
        <v/>
      </c>
      <c r="AZ39" s="255">
        <f>IFERROR(W39/W$33,0)</f>
        <v/>
      </c>
      <c r="BA39" s="255">
        <f>IFERROR(X39/X$33,0)</f>
        <v/>
      </c>
      <c r="BB39" s="255">
        <f>IFERROR(Y39/Y$33,0)</f>
        <v/>
      </c>
      <c r="BC39" s="255">
        <f>IFERROR(Z39/Z$33,0)</f>
        <v/>
      </c>
      <c r="BD39" s="255">
        <f>IFERROR(AA39/AA$33,0)</f>
        <v/>
      </c>
      <c r="BE39" s="255">
        <f>IFERROR(AB39/AB$33,0)</f>
        <v/>
      </c>
      <c r="BG39" s="254" t="inlineStr">
        <is>
          <t>Aportaciones para futuros aumentos de capital como pasivos</t>
        </is>
      </c>
      <c r="BH39" s="255" t="inlineStr"/>
      <c r="BI39" s="255">
        <f>IFERROR(C39/B39-1,0)</f>
        <v/>
      </c>
      <c r="BJ39" s="255">
        <f>IFERROR(D39/C39-1,0)</f>
        <v/>
      </c>
      <c r="BK39" s="255">
        <f>IFERROR(E39/D39-1,0)</f>
        <v/>
      </c>
      <c r="BL39" s="255">
        <f>IFERROR(F39/E39-1,0)</f>
        <v/>
      </c>
      <c r="BM39" s="255">
        <f>IFERROR(G39/F39-1,0)</f>
        <v/>
      </c>
      <c r="BN39" s="255">
        <f>IFERROR(H39/G39-1,0)</f>
        <v/>
      </c>
      <c r="BO39" s="255">
        <f>IFERROR(I39/H39-1,0)</f>
        <v/>
      </c>
      <c r="BP39" s="255">
        <f>IFERROR(J39/I39-1,0)</f>
        <v/>
      </c>
      <c r="BQ39" s="255">
        <f>IFERROR(K39/J39-1,0)</f>
        <v/>
      </c>
      <c r="BR39" s="255">
        <f>IFERROR(L39/K39-1,0)</f>
        <v/>
      </c>
      <c r="BS39" s="255">
        <f>IFERROR(M39/L39-1,0)</f>
        <v/>
      </c>
      <c r="BT39" s="255">
        <f>IFERROR(N39/M39-1,0)</f>
        <v/>
      </c>
      <c r="BU39" s="255">
        <f>IFERROR(O39/N39-1,0)</f>
        <v/>
      </c>
      <c r="BV39" s="255">
        <f>IFERROR(P39/O39-1,0)</f>
        <v/>
      </c>
      <c r="BW39" s="255">
        <f>IFERROR(Q39/P39-1,0)</f>
        <v/>
      </c>
      <c r="BX39" s="255">
        <f>IFERROR(R39/Q39-1,0)</f>
        <v/>
      </c>
      <c r="BY39" s="255">
        <f>IFERROR(S39/R39-1,0)</f>
        <v/>
      </c>
      <c r="BZ39" s="255">
        <f>IFERROR(T39/S39-1,0)</f>
        <v/>
      </c>
      <c r="CA39" s="255">
        <f>IFERROR(U39/T39-1,0)</f>
        <v/>
      </c>
      <c r="CB39" s="255">
        <f>IFERROR(V39/U39-1,0)</f>
        <v/>
      </c>
      <c r="CC39" s="255">
        <f>IFERROR(W39/V39-1,0)</f>
        <v/>
      </c>
      <c r="CD39" s="255">
        <f>IFERROR(X39/W39-1,0)</f>
        <v/>
      </c>
      <c r="CE39" s="255">
        <f>IFERROR(Y39/X39-1,0)</f>
        <v/>
      </c>
      <c r="CF39" s="255">
        <f>IFERROR(Z39/Y39-1,0)</f>
        <v/>
      </c>
      <c r="CG39" s="255">
        <f>IFERROR(AA39/Z39-1,0)</f>
        <v/>
      </c>
      <c r="CH39" s="255">
        <f>IFERROR(AB39/AA39-1,0)</f>
        <v/>
      </c>
    </row>
    <row r="40" ht="15.75" customHeight="1">
      <c r="A40" s="137" t="inlineStr">
        <is>
          <t>Pasivo por impuestos a la utilidad</t>
        </is>
      </c>
      <c r="B40" s="127" t="n">
        <v>44000</v>
      </c>
      <c r="C40" s="127" t="n">
        <v>120000</v>
      </c>
      <c r="D40" s="127" t="n">
        <v>88000</v>
      </c>
      <c r="E40" s="127" t="n">
        <v>44000</v>
      </c>
      <c r="F40" s="127" t="n">
        <v>92000</v>
      </c>
      <c r="G40" s="127" t="n">
        <v>71000</v>
      </c>
      <c r="H40" s="127" t="n">
        <v>164000</v>
      </c>
      <c r="I40" s="127" t="n">
        <v>270000</v>
      </c>
      <c r="J40" s="127" t="n">
        <v>211000</v>
      </c>
      <c r="K40" s="127" t="n">
        <v>294000</v>
      </c>
      <c r="L40" s="127" t="n">
        <v>1094000</v>
      </c>
      <c r="M40" s="127" t="n">
        <v>1114000</v>
      </c>
      <c r="N40" s="127" t="n">
        <v>1485000</v>
      </c>
      <c r="O40" s="127" t="n">
        <v>1900000</v>
      </c>
      <c r="P40" s="127" t="n">
        <v>2355861</v>
      </c>
      <c r="Q40" s="127" t="n">
        <v>2720411.44</v>
      </c>
      <c r="R40" s="127" t="n">
        <v>2744000</v>
      </c>
      <c r="S40" s="127" t="n">
        <v>3021912.78</v>
      </c>
      <c r="T40" s="127" t="n">
        <v>3340183.86</v>
      </c>
      <c r="U40" s="128" t="n">
        <v>3268000</v>
      </c>
      <c r="V40" s="128" t="n">
        <v>3726144.4</v>
      </c>
      <c r="W40" s="128" t="n">
        <v>3808299.48</v>
      </c>
      <c r="X40" s="128" t="n">
        <v>4221361.999999998</v>
      </c>
      <c r="Y40" s="128" t="n">
        <v>4732000</v>
      </c>
      <c r="Z40" s="128" t="n">
        <v>5272000</v>
      </c>
      <c r="AD40" s="254" t="inlineStr">
        <is>
          <t>Pasivo por impuestos a la utilidad</t>
        </is>
      </c>
      <c r="AE40" s="255">
        <f>IFERROR(B40/B$33,0)</f>
        <v/>
      </c>
      <c r="AF40" s="255">
        <f>IFERROR(C40/C$33,0)</f>
        <v/>
      </c>
      <c r="AG40" s="255">
        <f>IFERROR(D40/D$33,0)</f>
        <v/>
      </c>
      <c r="AH40" s="255">
        <f>IFERROR(E40/E$33,0)</f>
        <v/>
      </c>
      <c r="AI40" s="255">
        <f>IFERROR(F40/F$33,0)</f>
        <v/>
      </c>
      <c r="AJ40" s="255">
        <f>IFERROR(G40/G$33,0)</f>
        <v/>
      </c>
      <c r="AK40" s="255">
        <f>IFERROR(H40/H$33,0)</f>
        <v/>
      </c>
      <c r="AL40" s="255">
        <f>IFERROR(I40/I$33,0)</f>
        <v/>
      </c>
      <c r="AM40" s="255">
        <f>IFERROR(J40/J$33,0)</f>
        <v/>
      </c>
      <c r="AN40" s="255">
        <f>IFERROR(K40/K$33,0)</f>
        <v/>
      </c>
      <c r="AO40" s="255">
        <f>IFERROR(L40/L$33,0)</f>
        <v/>
      </c>
      <c r="AP40" s="255">
        <f>IFERROR(M40/M$33,0)</f>
        <v/>
      </c>
      <c r="AQ40" s="255">
        <f>IFERROR(N40/N$33,0)</f>
        <v/>
      </c>
      <c r="AR40" s="255">
        <f>IFERROR(O40/O$33,0)</f>
        <v/>
      </c>
      <c r="AS40" s="255">
        <f>IFERROR(P40/P$33,0)</f>
        <v/>
      </c>
      <c r="AT40" s="255">
        <f>IFERROR(Q40/Q$33,0)</f>
        <v/>
      </c>
      <c r="AU40" s="255">
        <f>IFERROR(R40/R$33,0)</f>
        <v/>
      </c>
      <c r="AV40" s="255">
        <f>IFERROR(S40/S$33,0)</f>
        <v/>
      </c>
      <c r="AW40" s="255">
        <f>IFERROR(T40/T$33,0)</f>
        <v/>
      </c>
      <c r="AX40" s="255">
        <f>IFERROR(U40/U$33,0)</f>
        <v/>
      </c>
      <c r="AY40" s="255">
        <f>IFERROR(V40/V$33,0)</f>
        <v/>
      </c>
      <c r="AZ40" s="255">
        <f>IFERROR(W40/W$33,0)</f>
        <v/>
      </c>
      <c r="BA40" s="255">
        <f>IFERROR(X40/X$33,0)</f>
        <v/>
      </c>
      <c r="BB40" s="255">
        <f>IFERROR(Y40/Y$33,0)</f>
        <v/>
      </c>
      <c r="BC40" s="255">
        <f>IFERROR(Z40/Z$33,0)</f>
        <v/>
      </c>
      <c r="BD40" s="255">
        <f>IFERROR(AA40/AA$33,0)</f>
        <v/>
      </c>
      <c r="BE40" s="255">
        <f>IFERROR(AB40/AB$33,0)</f>
        <v/>
      </c>
      <c r="BG40" s="254" t="inlineStr">
        <is>
          <t>Pasivo por impuestos a la utilidad</t>
        </is>
      </c>
      <c r="BH40" s="255" t="inlineStr"/>
      <c r="BI40" s="255">
        <f>IFERROR(C40/B40-1,0)</f>
        <v/>
      </c>
      <c r="BJ40" s="255">
        <f>IFERROR(D40/C40-1,0)</f>
        <v/>
      </c>
      <c r="BK40" s="255">
        <f>IFERROR(E40/D40-1,0)</f>
        <v/>
      </c>
      <c r="BL40" s="255">
        <f>IFERROR(F40/E40-1,0)</f>
        <v/>
      </c>
      <c r="BM40" s="255">
        <f>IFERROR(G40/F40-1,0)</f>
        <v/>
      </c>
      <c r="BN40" s="255">
        <f>IFERROR(H40/G40-1,0)</f>
        <v/>
      </c>
      <c r="BO40" s="255">
        <f>IFERROR(I40/H40-1,0)</f>
        <v/>
      </c>
      <c r="BP40" s="255">
        <f>IFERROR(J40/I40-1,0)</f>
        <v/>
      </c>
      <c r="BQ40" s="255">
        <f>IFERROR(K40/J40-1,0)</f>
        <v/>
      </c>
      <c r="BR40" s="255">
        <f>IFERROR(L40/K40-1,0)</f>
        <v/>
      </c>
      <c r="BS40" s="255">
        <f>IFERROR(M40/L40-1,0)</f>
        <v/>
      </c>
      <c r="BT40" s="255">
        <f>IFERROR(N40/M40-1,0)</f>
        <v/>
      </c>
      <c r="BU40" s="255">
        <f>IFERROR(O40/N40-1,0)</f>
        <v/>
      </c>
      <c r="BV40" s="255">
        <f>IFERROR(P40/O40-1,0)</f>
        <v/>
      </c>
      <c r="BW40" s="255">
        <f>IFERROR(Q40/P40-1,0)</f>
        <v/>
      </c>
      <c r="BX40" s="255">
        <f>IFERROR(R40/Q40-1,0)</f>
        <v/>
      </c>
      <c r="BY40" s="255">
        <f>IFERROR(S40/R40-1,0)</f>
        <v/>
      </c>
      <c r="BZ40" s="255">
        <f>IFERROR(T40/S40-1,0)</f>
        <v/>
      </c>
      <c r="CA40" s="255">
        <f>IFERROR(U40/T40-1,0)</f>
        <v/>
      </c>
      <c r="CB40" s="255">
        <f>IFERROR(V40/U40-1,0)</f>
        <v/>
      </c>
      <c r="CC40" s="255">
        <f>IFERROR(W40/V40-1,0)</f>
        <v/>
      </c>
      <c r="CD40" s="255">
        <f>IFERROR(X40/W40-1,0)</f>
        <v/>
      </c>
      <c r="CE40" s="255">
        <f>IFERROR(Y40/X40-1,0)</f>
        <v/>
      </c>
      <c r="CF40" s="255">
        <f>IFERROR(Z40/Y40-1,0)</f>
        <v/>
      </c>
      <c r="CG40" s="255">
        <f>IFERROR(AA40/Z40-1,0)</f>
        <v/>
      </c>
      <c r="CH40" s="255">
        <f>IFERROR(AB40/AA40-1,0)</f>
        <v/>
      </c>
    </row>
    <row r="41" ht="15.75" customHeight="1">
      <c r="A41" s="137" t="inlineStr">
        <is>
          <t>Pasivo por Beneficios a Empleados</t>
        </is>
      </c>
      <c r="B41" s="127" t="n">
        <v>0</v>
      </c>
      <c r="C41" s="127" t="n">
        <v>0</v>
      </c>
      <c r="D41" s="127" t="n">
        <v>0</v>
      </c>
      <c r="E41" s="127" t="n">
        <v>185000</v>
      </c>
      <c r="F41" s="127" t="n">
        <v>185000</v>
      </c>
      <c r="G41" s="127" t="n">
        <v>185000</v>
      </c>
      <c r="H41" s="127" t="n">
        <v>0</v>
      </c>
      <c r="I41" s="127" t="n">
        <v>232000</v>
      </c>
      <c r="J41" s="127" t="n">
        <v>368000</v>
      </c>
      <c r="K41" s="127" t="n">
        <v>506000</v>
      </c>
      <c r="L41" s="127" t="n">
        <v>653000</v>
      </c>
      <c r="M41" s="127" t="n">
        <v>707000</v>
      </c>
      <c r="N41" s="127" t="n">
        <v>755000</v>
      </c>
      <c r="O41" s="127" t="n">
        <v>1185000</v>
      </c>
      <c r="P41" s="127" t="n">
        <v>1038792</v>
      </c>
      <c r="Q41" s="127" t="n">
        <v>1094502.69</v>
      </c>
      <c r="R41" s="127" t="n">
        <v>1152000</v>
      </c>
      <c r="S41" s="127" t="n">
        <v>1207415.1</v>
      </c>
      <c r="T41" s="127" t="n">
        <v>1265752.69</v>
      </c>
      <c r="U41" s="128" t="n">
        <v>1158000</v>
      </c>
      <c r="V41" s="128" t="n">
        <v>1060969.89</v>
      </c>
      <c r="W41" s="128" t="n">
        <v>965640.63</v>
      </c>
      <c r="X41" s="128" t="n">
        <v>757993.7500000002</v>
      </c>
      <c r="Y41" s="128" t="n">
        <v>792000</v>
      </c>
      <c r="Z41" s="128" t="n">
        <v>826000</v>
      </c>
      <c r="AD41" s="254" t="inlineStr">
        <is>
          <t>Pasivo por Beneficios a Empleados</t>
        </is>
      </c>
      <c r="AE41" s="255">
        <f>IFERROR(B41/B$33,0)</f>
        <v/>
      </c>
      <c r="AF41" s="255">
        <f>IFERROR(C41/C$33,0)</f>
        <v/>
      </c>
      <c r="AG41" s="255">
        <f>IFERROR(D41/D$33,0)</f>
        <v/>
      </c>
      <c r="AH41" s="255">
        <f>IFERROR(E41/E$33,0)</f>
        <v/>
      </c>
      <c r="AI41" s="255">
        <f>IFERROR(F41/F$33,0)</f>
        <v/>
      </c>
      <c r="AJ41" s="255">
        <f>IFERROR(G41/G$33,0)</f>
        <v/>
      </c>
      <c r="AK41" s="255">
        <f>IFERROR(H41/H$33,0)</f>
        <v/>
      </c>
      <c r="AL41" s="255">
        <f>IFERROR(I41/I$33,0)</f>
        <v/>
      </c>
      <c r="AM41" s="255">
        <f>IFERROR(J41/J$33,0)</f>
        <v/>
      </c>
      <c r="AN41" s="255">
        <f>IFERROR(K41/K$33,0)</f>
        <v/>
      </c>
      <c r="AO41" s="255">
        <f>IFERROR(L41/L$33,0)</f>
        <v/>
      </c>
      <c r="AP41" s="255">
        <f>IFERROR(M41/M$33,0)</f>
        <v/>
      </c>
      <c r="AQ41" s="255">
        <f>IFERROR(N41/N$33,0)</f>
        <v/>
      </c>
      <c r="AR41" s="255">
        <f>IFERROR(O41/O$33,0)</f>
        <v/>
      </c>
      <c r="AS41" s="255">
        <f>IFERROR(P41/P$33,0)</f>
        <v/>
      </c>
      <c r="AT41" s="255">
        <f>IFERROR(Q41/Q$33,0)</f>
        <v/>
      </c>
      <c r="AU41" s="255">
        <f>IFERROR(R41/R$33,0)</f>
        <v/>
      </c>
      <c r="AV41" s="255">
        <f>IFERROR(S41/S$33,0)</f>
        <v/>
      </c>
      <c r="AW41" s="255">
        <f>IFERROR(T41/T$33,0)</f>
        <v/>
      </c>
      <c r="AX41" s="255">
        <f>IFERROR(U41/U$33,0)</f>
        <v/>
      </c>
      <c r="AY41" s="255">
        <f>IFERROR(V41/V$33,0)</f>
        <v/>
      </c>
      <c r="AZ41" s="255">
        <f>IFERROR(W41/W$33,0)</f>
        <v/>
      </c>
      <c r="BA41" s="255">
        <f>IFERROR(X41/X$33,0)</f>
        <v/>
      </c>
      <c r="BB41" s="255">
        <f>IFERROR(Y41/Y$33,0)</f>
        <v/>
      </c>
      <c r="BC41" s="255">
        <f>IFERROR(Z41/Z$33,0)</f>
        <v/>
      </c>
      <c r="BD41" s="255">
        <f>IFERROR(AA41/AA$33,0)</f>
        <v/>
      </c>
      <c r="BE41" s="255">
        <f>IFERROR(AB41/AB$33,0)</f>
        <v/>
      </c>
      <c r="BG41" s="254" t="inlineStr">
        <is>
          <t>Pasivo por Beneficios a Empleados</t>
        </is>
      </c>
      <c r="BH41" s="255" t="inlineStr"/>
      <c r="BI41" s="255">
        <f>IFERROR(C41/B41-1,0)</f>
        <v/>
      </c>
      <c r="BJ41" s="255">
        <f>IFERROR(D41/C41-1,0)</f>
        <v/>
      </c>
      <c r="BK41" s="255">
        <f>IFERROR(E41/D41-1,0)</f>
        <v/>
      </c>
      <c r="BL41" s="255">
        <f>IFERROR(F41/E41-1,0)</f>
        <v/>
      </c>
      <c r="BM41" s="255">
        <f>IFERROR(G41/F41-1,0)</f>
        <v/>
      </c>
      <c r="BN41" s="255">
        <f>IFERROR(H41/G41-1,0)</f>
        <v/>
      </c>
      <c r="BO41" s="255">
        <f>IFERROR(I41/H41-1,0)</f>
        <v/>
      </c>
      <c r="BP41" s="255">
        <f>IFERROR(J41/I41-1,0)</f>
        <v/>
      </c>
      <c r="BQ41" s="255">
        <f>IFERROR(K41/J41-1,0)</f>
        <v/>
      </c>
      <c r="BR41" s="255">
        <f>IFERROR(L41/K41-1,0)</f>
        <v/>
      </c>
      <c r="BS41" s="255">
        <f>IFERROR(M41/L41-1,0)</f>
        <v/>
      </c>
      <c r="BT41" s="255">
        <f>IFERROR(N41/M41-1,0)</f>
        <v/>
      </c>
      <c r="BU41" s="255">
        <f>IFERROR(O41/N41-1,0)</f>
        <v/>
      </c>
      <c r="BV41" s="255">
        <f>IFERROR(P41/O41-1,0)</f>
        <v/>
      </c>
      <c r="BW41" s="255">
        <f>IFERROR(Q41/P41-1,0)</f>
        <v/>
      </c>
      <c r="BX41" s="255">
        <f>IFERROR(R41/Q41-1,0)</f>
        <v/>
      </c>
      <c r="BY41" s="255">
        <f>IFERROR(S41/R41-1,0)</f>
        <v/>
      </c>
      <c r="BZ41" s="255">
        <f>IFERROR(T41/S41-1,0)</f>
        <v/>
      </c>
      <c r="CA41" s="255">
        <f>IFERROR(U41/T41-1,0)</f>
        <v/>
      </c>
      <c r="CB41" s="255">
        <f>IFERROR(V41/U41-1,0)</f>
        <v/>
      </c>
      <c r="CC41" s="255">
        <f>IFERROR(W41/V41-1,0)</f>
        <v/>
      </c>
      <c r="CD41" s="255">
        <f>IFERROR(X41/W41-1,0)</f>
        <v/>
      </c>
      <c r="CE41" s="255">
        <f>IFERROR(Y41/X41-1,0)</f>
        <v/>
      </c>
      <c r="CF41" s="255">
        <f>IFERROR(Z41/Y41-1,0)</f>
        <v/>
      </c>
      <c r="CG41" s="255">
        <f>IFERROR(AA41/Z41-1,0)</f>
        <v/>
      </c>
      <c r="CH41" s="255">
        <f>IFERROR(AB41/AA41-1,0)</f>
        <v/>
      </c>
    </row>
    <row r="42" ht="15.75" customHeight="1">
      <c r="A42" s="139" t="inlineStr">
        <is>
          <t>Total Pasivo</t>
        </is>
      </c>
      <c r="B42" s="133" t="n">
        <v>2859000</v>
      </c>
      <c r="C42" s="133" t="n">
        <v>11312000</v>
      </c>
      <c r="D42" s="133" t="n">
        <v>11342000</v>
      </c>
      <c r="E42" s="133" t="n">
        <v>10634000</v>
      </c>
      <c r="F42" s="133" t="n">
        <v>9525000</v>
      </c>
      <c r="G42" s="133" t="n">
        <v>9294000</v>
      </c>
      <c r="H42" s="133" t="n">
        <v>8591000</v>
      </c>
      <c r="I42" s="133" t="n">
        <v>8929000</v>
      </c>
      <c r="J42" s="133" t="n">
        <v>10833000</v>
      </c>
      <c r="K42" s="133" t="n">
        <v>13438000</v>
      </c>
      <c r="L42" s="133">
        <f>SUM(L35:L41)</f>
        <v/>
      </c>
      <c r="M42" s="133">
        <f>SUM(M35:M41)</f>
        <v/>
      </c>
      <c r="N42" s="133">
        <f>SUM(N35:N41)</f>
        <v/>
      </c>
      <c r="O42" s="133">
        <f>SUM(O35:O41)</f>
        <v/>
      </c>
      <c r="P42" s="133">
        <f>SUM(P35:P41)</f>
        <v/>
      </c>
      <c r="Q42" s="133">
        <f>SUM(Q35:Q41)</f>
        <v/>
      </c>
      <c r="R42" s="133">
        <f>SUM(R35:R41)</f>
        <v/>
      </c>
      <c r="S42" s="133">
        <f>SUM(S35:S41)</f>
        <v/>
      </c>
      <c r="T42" s="133">
        <f>SUM(T35:T41)</f>
        <v/>
      </c>
      <c r="U42" s="133">
        <f>SUM(U35:U41)</f>
        <v/>
      </c>
      <c r="V42" s="133">
        <f>SUM(V35:V41)</f>
        <v/>
      </c>
      <c r="W42" s="133">
        <f>SUM(W35:W41)</f>
        <v/>
      </c>
      <c r="X42" s="133">
        <f>SUM(X35:X41)</f>
        <v/>
      </c>
      <c r="Y42" s="133">
        <f>SUM(Y35:Y41)</f>
        <v/>
      </c>
      <c r="Z42" s="133">
        <f>SUM(Z35:Z41)</f>
        <v/>
      </c>
      <c r="AD42" s="256" t="inlineStr">
        <is>
          <t>Total Pasivo</t>
        </is>
      </c>
      <c r="AE42" s="257">
        <f>IFERROR(B42/B$33,0)</f>
        <v/>
      </c>
      <c r="AF42" s="257">
        <f>IFERROR(C42/C$33,0)</f>
        <v/>
      </c>
      <c r="AG42" s="257">
        <f>IFERROR(D42/D$33,0)</f>
        <v/>
      </c>
      <c r="AH42" s="257">
        <f>IFERROR(E42/E$33,0)</f>
        <v/>
      </c>
      <c r="AI42" s="257">
        <f>IFERROR(F42/F$33,0)</f>
        <v/>
      </c>
      <c r="AJ42" s="257">
        <f>IFERROR(G42/G$33,0)</f>
        <v/>
      </c>
      <c r="AK42" s="257">
        <f>IFERROR(H42/H$33,0)</f>
        <v/>
      </c>
      <c r="AL42" s="257">
        <f>IFERROR(I42/I$33,0)</f>
        <v/>
      </c>
      <c r="AM42" s="257">
        <f>IFERROR(J42/J$33,0)</f>
        <v/>
      </c>
      <c r="AN42" s="257">
        <f>IFERROR(K42/K$33,0)</f>
        <v/>
      </c>
      <c r="AO42" s="257">
        <f>IFERROR(L42/L$33,0)</f>
        <v/>
      </c>
      <c r="AP42" s="257">
        <f>IFERROR(M42/M$33,0)</f>
        <v/>
      </c>
      <c r="AQ42" s="257">
        <f>IFERROR(N42/N$33,0)</f>
        <v/>
      </c>
      <c r="AR42" s="257">
        <f>IFERROR(O42/O$33,0)</f>
        <v/>
      </c>
      <c r="AS42" s="257">
        <f>IFERROR(P42/P$33,0)</f>
        <v/>
      </c>
      <c r="AT42" s="257">
        <f>IFERROR(Q42/Q$33,0)</f>
        <v/>
      </c>
      <c r="AU42" s="257">
        <f>IFERROR(R42/R$33,0)</f>
        <v/>
      </c>
      <c r="AV42" s="257">
        <f>IFERROR(S42/S$33,0)</f>
        <v/>
      </c>
      <c r="AW42" s="257">
        <f>IFERROR(T42/T$33,0)</f>
        <v/>
      </c>
      <c r="AX42" s="257">
        <f>IFERROR(U42/U$33,0)</f>
        <v/>
      </c>
      <c r="AY42" s="257">
        <f>IFERROR(V42/V$33,0)</f>
        <v/>
      </c>
      <c r="AZ42" s="257">
        <f>IFERROR(W42/W$33,0)</f>
        <v/>
      </c>
      <c r="BA42" s="257">
        <f>IFERROR(X42/X$33,0)</f>
        <v/>
      </c>
      <c r="BB42" s="257">
        <f>IFERROR(Y42/Y$33,0)</f>
        <v/>
      </c>
      <c r="BC42" s="257">
        <f>IFERROR(Z42/Z$33,0)</f>
        <v/>
      </c>
      <c r="BD42" s="257">
        <f>IFERROR(AA42/AA$33,0)</f>
        <v/>
      </c>
      <c r="BE42" s="257">
        <f>IFERROR(AB42/AB$33,0)</f>
        <v/>
      </c>
      <c r="BG42" s="256" t="inlineStr">
        <is>
          <t>Total Pasivo</t>
        </is>
      </c>
      <c r="BH42" s="257" t="inlineStr"/>
      <c r="BI42" s="257">
        <f>IFERROR(C42/B42-1,0)</f>
        <v/>
      </c>
      <c r="BJ42" s="257">
        <f>IFERROR(D42/C42-1,0)</f>
        <v/>
      </c>
      <c r="BK42" s="257">
        <f>IFERROR(E42/D42-1,0)</f>
        <v/>
      </c>
      <c r="BL42" s="257">
        <f>IFERROR(F42/E42-1,0)</f>
        <v/>
      </c>
      <c r="BM42" s="257">
        <f>IFERROR(G42/F42-1,0)</f>
        <v/>
      </c>
      <c r="BN42" s="257">
        <f>IFERROR(H42/G42-1,0)</f>
        <v/>
      </c>
      <c r="BO42" s="257">
        <f>IFERROR(I42/H42-1,0)</f>
        <v/>
      </c>
      <c r="BP42" s="257">
        <f>IFERROR(J42/I42-1,0)</f>
        <v/>
      </c>
      <c r="BQ42" s="257">
        <f>IFERROR(K42/J42-1,0)</f>
        <v/>
      </c>
      <c r="BR42" s="257">
        <f>IFERROR(L42/K42-1,0)</f>
        <v/>
      </c>
      <c r="BS42" s="257">
        <f>IFERROR(M42/L42-1,0)</f>
        <v/>
      </c>
      <c r="BT42" s="257">
        <f>IFERROR(N42/M42-1,0)</f>
        <v/>
      </c>
      <c r="BU42" s="257">
        <f>IFERROR(O42/N42-1,0)</f>
        <v/>
      </c>
      <c r="BV42" s="257">
        <f>IFERROR(P42/O42-1,0)</f>
        <v/>
      </c>
      <c r="BW42" s="257">
        <f>IFERROR(Q42/P42-1,0)</f>
        <v/>
      </c>
      <c r="BX42" s="257">
        <f>IFERROR(R42/Q42-1,0)</f>
        <v/>
      </c>
      <c r="BY42" s="257">
        <f>IFERROR(S42/R42-1,0)</f>
        <v/>
      </c>
      <c r="BZ42" s="257">
        <f>IFERROR(T42/S42-1,0)</f>
        <v/>
      </c>
      <c r="CA42" s="257">
        <f>IFERROR(U42/T42-1,0)</f>
        <v/>
      </c>
      <c r="CB42" s="257">
        <f>IFERROR(V42/U42-1,0)</f>
        <v/>
      </c>
      <c r="CC42" s="257">
        <f>IFERROR(W42/V42-1,0)</f>
        <v/>
      </c>
      <c r="CD42" s="257">
        <f>IFERROR(X42/W42-1,0)</f>
        <v/>
      </c>
      <c r="CE42" s="257">
        <f>IFERROR(Y42/X42-1,0)</f>
        <v/>
      </c>
      <c r="CF42" s="257">
        <f>IFERROR(Z42/Y42-1,0)</f>
        <v/>
      </c>
      <c r="CG42" s="257">
        <f>IFERROR(AA42/Z42-1,0)</f>
        <v/>
      </c>
      <c r="CH42" s="257">
        <f>IFERROR(AB42/AA42-1,0)</f>
        <v/>
      </c>
    </row>
    <row r="43" ht="15.75" customHeight="1">
      <c r="A43" s="137" t="n"/>
      <c r="B43" s="127" t="n"/>
      <c r="C43" s="127" t="n"/>
      <c r="D43" s="127" t="n"/>
      <c r="E43" s="127" t="n"/>
      <c r="F43" s="127" t="n"/>
      <c r="G43" s="127" t="n"/>
      <c r="H43" s="127" t="n"/>
      <c r="I43" s="127" t="n"/>
      <c r="J43" s="127" t="n"/>
      <c r="K43" s="127" t="n"/>
      <c r="L43" s="127" t="n"/>
    </row>
    <row r="44" ht="15.75" customHeight="1">
      <c r="A44" s="137" t="inlineStr">
        <is>
          <t>Capital Social</t>
        </is>
      </c>
      <c r="B44" s="127" t="n">
        <v>3564000</v>
      </c>
      <c r="C44" s="127" t="n">
        <v>3564000</v>
      </c>
      <c r="D44" s="127" t="n">
        <v>3564000</v>
      </c>
      <c r="E44" s="127" t="n">
        <v>3564000</v>
      </c>
      <c r="F44" s="127" t="n">
        <v>3564000</v>
      </c>
      <c r="G44" s="127" t="n">
        <v>3564000</v>
      </c>
      <c r="H44" s="127" t="n">
        <v>3564000</v>
      </c>
      <c r="I44" s="127" t="n">
        <v>3564000</v>
      </c>
      <c r="J44" s="127" t="n">
        <v>3564000</v>
      </c>
      <c r="K44" s="127" t="n">
        <v>3564000</v>
      </c>
      <c r="L44" s="127" t="n">
        <v>4277000</v>
      </c>
      <c r="M44" s="127" t="n">
        <v>4277000</v>
      </c>
      <c r="N44" s="127" t="n">
        <v>4277000</v>
      </c>
      <c r="O44" s="127" t="n">
        <v>4277000</v>
      </c>
      <c r="P44" s="127" t="n">
        <v>4276689</v>
      </c>
      <c r="Q44" s="127" t="n">
        <v>4276689</v>
      </c>
      <c r="R44" s="127" t="n">
        <v>4277000</v>
      </c>
      <c r="S44" s="127" t="n">
        <v>4276688.95</v>
      </c>
      <c r="T44" s="127" t="n">
        <v>4276688.95</v>
      </c>
      <c r="U44" s="128" t="n">
        <v>4277000</v>
      </c>
      <c r="V44" s="128" t="n">
        <v>51331428.9</v>
      </c>
      <c r="W44" s="128" t="n">
        <v>51331428.9</v>
      </c>
      <c r="X44" s="128" t="n">
        <v>4739995.950000001</v>
      </c>
      <c r="Y44" s="128" t="n">
        <v>4740000</v>
      </c>
      <c r="Z44" s="128" t="n">
        <v>4740000</v>
      </c>
      <c r="AD44" s="254" t="inlineStr">
        <is>
          <t>Capital Social</t>
        </is>
      </c>
      <c r="AE44" s="255">
        <f>IFERROR(B44/B$33,0)</f>
        <v/>
      </c>
      <c r="AF44" s="255">
        <f>IFERROR(C44/C$33,0)</f>
        <v/>
      </c>
      <c r="AG44" s="255">
        <f>IFERROR(D44/D$33,0)</f>
        <v/>
      </c>
      <c r="AH44" s="255">
        <f>IFERROR(E44/E$33,0)</f>
        <v/>
      </c>
      <c r="AI44" s="255">
        <f>IFERROR(F44/F$33,0)</f>
        <v/>
      </c>
      <c r="AJ44" s="255">
        <f>IFERROR(G44/G$33,0)</f>
        <v/>
      </c>
      <c r="AK44" s="255">
        <f>IFERROR(H44/H$33,0)</f>
        <v/>
      </c>
      <c r="AL44" s="255">
        <f>IFERROR(I44/I$33,0)</f>
        <v/>
      </c>
      <c r="AM44" s="255">
        <f>IFERROR(J44/J$33,0)</f>
        <v/>
      </c>
      <c r="AN44" s="255">
        <f>IFERROR(K44/K$33,0)</f>
        <v/>
      </c>
      <c r="AO44" s="255">
        <f>IFERROR(L44/L$33,0)</f>
        <v/>
      </c>
      <c r="AP44" s="255">
        <f>IFERROR(M44/M$33,0)</f>
        <v/>
      </c>
      <c r="AQ44" s="255">
        <f>IFERROR(N44/N$33,0)</f>
        <v/>
      </c>
      <c r="AR44" s="255">
        <f>IFERROR(O44/O$33,0)</f>
        <v/>
      </c>
      <c r="AS44" s="255">
        <f>IFERROR(P44/P$33,0)</f>
        <v/>
      </c>
      <c r="AT44" s="255">
        <f>IFERROR(Q44/Q$33,0)</f>
        <v/>
      </c>
      <c r="AU44" s="255">
        <f>IFERROR(R44/R$33,0)</f>
        <v/>
      </c>
      <c r="AV44" s="255">
        <f>IFERROR(S44/S$33,0)</f>
        <v/>
      </c>
      <c r="AW44" s="255">
        <f>IFERROR(T44/T$33,0)</f>
        <v/>
      </c>
      <c r="AX44" s="255">
        <f>IFERROR(U44/U$33,0)</f>
        <v/>
      </c>
      <c r="AY44" s="255">
        <f>IFERROR(V44/V$33,0)</f>
        <v/>
      </c>
      <c r="AZ44" s="255">
        <f>IFERROR(W44/W$33,0)</f>
        <v/>
      </c>
      <c r="BA44" s="255">
        <f>IFERROR(X44/X$33,0)</f>
        <v/>
      </c>
      <c r="BB44" s="255">
        <f>IFERROR(Y44/Y$33,0)</f>
        <v/>
      </c>
      <c r="BC44" s="255">
        <f>IFERROR(Z44/Z$33,0)</f>
        <v/>
      </c>
      <c r="BD44" s="255">
        <f>IFERROR(AA44/AA$33,0)</f>
        <v/>
      </c>
      <c r="BE44" s="255">
        <f>IFERROR(AB44/AB$33,0)</f>
        <v/>
      </c>
      <c r="BG44" s="254" t="inlineStr">
        <is>
          <t>Capital Social</t>
        </is>
      </c>
      <c r="BH44" s="255" t="inlineStr"/>
      <c r="BI44" s="255">
        <f>IFERROR(C44/B44-1,0)</f>
        <v/>
      </c>
      <c r="BJ44" s="255">
        <f>IFERROR(D44/C44-1,0)</f>
        <v/>
      </c>
      <c r="BK44" s="255">
        <f>IFERROR(E44/D44-1,0)</f>
        <v/>
      </c>
      <c r="BL44" s="255">
        <f>IFERROR(F44/E44-1,0)</f>
        <v/>
      </c>
      <c r="BM44" s="255">
        <f>IFERROR(G44/F44-1,0)</f>
        <v/>
      </c>
      <c r="BN44" s="255">
        <f>IFERROR(H44/G44-1,0)</f>
        <v/>
      </c>
      <c r="BO44" s="255">
        <f>IFERROR(I44/H44-1,0)</f>
        <v/>
      </c>
      <c r="BP44" s="255">
        <f>IFERROR(J44/I44-1,0)</f>
        <v/>
      </c>
      <c r="BQ44" s="255">
        <f>IFERROR(K44/J44-1,0)</f>
        <v/>
      </c>
      <c r="BR44" s="255">
        <f>IFERROR(L44/K44-1,0)</f>
        <v/>
      </c>
      <c r="BS44" s="255">
        <f>IFERROR(M44/L44-1,0)</f>
        <v/>
      </c>
      <c r="BT44" s="255">
        <f>IFERROR(N44/M44-1,0)</f>
        <v/>
      </c>
      <c r="BU44" s="255">
        <f>IFERROR(O44/N44-1,0)</f>
        <v/>
      </c>
      <c r="BV44" s="255">
        <f>IFERROR(P44/O44-1,0)</f>
        <v/>
      </c>
      <c r="BW44" s="255">
        <f>IFERROR(Q44/P44-1,0)</f>
        <v/>
      </c>
      <c r="BX44" s="255">
        <f>IFERROR(R44/Q44-1,0)</f>
        <v/>
      </c>
      <c r="BY44" s="255">
        <f>IFERROR(S44/R44-1,0)</f>
        <v/>
      </c>
      <c r="BZ44" s="255">
        <f>IFERROR(T44/S44-1,0)</f>
        <v/>
      </c>
      <c r="CA44" s="255">
        <f>IFERROR(U44/T44-1,0)</f>
        <v/>
      </c>
      <c r="CB44" s="255">
        <f>IFERROR(V44/U44-1,0)</f>
        <v/>
      </c>
      <c r="CC44" s="255">
        <f>IFERROR(W44/V44-1,0)</f>
        <v/>
      </c>
      <c r="CD44" s="255">
        <f>IFERROR(X44/W44-1,0)</f>
        <v/>
      </c>
      <c r="CE44" s="255">
        <f>IFERROR(Y44/X44-1,0)</f>
        <v/>
      </c>
      <c r="CF44" s="255">
        <f>IFERROR(Z44/Y44-1,0)</f>
        <v/>
      </c>
      <c r="CG44" s="255">
        <f>IFERROR(AA44/Z44-1,0)</f>
        <v/>
      </c>
      <c r="CH44" s="255">
        <f>IFERROR(AB44/AA44-1,0)</f>
        <v/>
      </c>
    </row>
    <row r="45" ht="15.75" customHeight="1">
      <c r="A45" s="137" t="inlineStr">
        <is>
          <t>Aportaciones para futuros aumentos de capital</t>
        </is>
      </c>
      <c r="B45" s="127" t="n">
        <v>4568000</v>
      </c>
      <c r="C45" s="127" t="n">
        <v>4568000</v>
      </c>
      <c r="D45" s="127" t="n">
        <v>10568000</v>
      </c>
      <c r="E45" s="127" t="n">
        <v>13068000</v>
      </c>
      <c r="F45" s="127" t="n">
        <v>15568000</v>
      </c>
      <c r="G45" s="127" t="n">
        <v>18568000</v>
      </c>
      <c r="H45" s="127" t="n">
        <v>19768000</v>
      </c>
      <c r="I45" s="127" t="n">
        <v>19768000</v>
      </c>
      <c r="J45" s="127" t="n">
        <v>19768000</v>
      </c>
      <c r="K45" s="127" t="n">
        <v>22768000</v>
      </c>
      <c r="L45" s="127" t="n">
        <v>22768000</v>
      </c>
      <c r="M45" s="127" t="n">
        <v>22768000</v>
      </c>
      <c r="N45" s="127" t="n">
        <v>22768000</v>
      </c>
      <c r="O45" s="134" t="n">
        <v>22768000</v>
      </c>
      <c r="P45" s="134" t="n">
        <v>25267520</v>
      </c>
      <c r="Q45" s="134" t="n">
        <v>25267519.95</v>
      </c>
      <c r="R45" s="127" t="n">
        <v>27768000</v>
      </c>
      <c r="S45" s="127" t="n">
        <v>27767519.95</v>
      </c>
      <c r="T45" s="127" t="n">
        <v>27767519.95</v>
      </c>
      <c r="U45" s="128" t="n">
        <v>27768000</v>
      </c>
      <c r="V45" s="128" t="n">
        <v>0</v>
      </c>
      <c r="W45" s="128" t="n">
        <v>0</v>
      </c>
      <c r="X45" s="128" t="n">
        <v>14767519.95</v>
      </c>
      <c r="Y45" s="128" t="n">
        <v>14768000</v>
      </c>
      <c r="Z45" s="128" t="n">
        <v>14768000</v>
      </c>
      <c r="AD45" s="254" t="inlineStr">
        <is>
          <t>Aportaciones para futuros aumentos de capital</t>
        </is>
      </c>
      <c r="AE45" s="255">
        <f>IFERROR(B45/B$33,0)</f>
        <v/>
      </c>
      <c r="AF45" s="255">
        <f>IFERROR(C45/C$33,0)</f>
        <v/>
      </c>
      <c r="AG45" s="255">
        <f>IFERROR(D45/D$33,0)</f>
        <v/>
      </c>
      <c r="AH45" s="255">
        <f>IFERROR(E45/E$33,0)</f>
        <v/>
      </c>
      <c r="AI45" s="255">
        <f>IFERROR(F45/F$33,0)</f>
        <v/>
      </c>
      <c r="AJ45" s="255">
        <f>IFERROR(G45/G$33,0)</f>
        <v/>
      </c>
      <c r="AK45" s="255">
        <f>IFERROR(H45/H$33,0)</f>
        <v/>
      </c>
      <c r="AL45" s="255">
        <f>IFERROR(I45/I$33,0)</f>
        <v/>
      </c>
      <c r="AM45" s="255">
        <f>IFERROR(J45/J$33,0)</f>
        <v/>
      </c>
      <c r="AN45" s="255">
        <f>IFERROR(K45/K$33,0)</f>
        <v/>
      </c>
      <c r="AO45" s="255">
        <f>IFERROR(L45/L$33,0)</f>
        <v/>
      </c>
      <c r="AP45" s="255">
        <f>IFERROR(M45/M$33,0)</f>
        <v/>
      </c>
      <c r="AQ45" s="255">
        <f>IFERROR(N45/N$33,0)</f>
        <v/>
      </c>
      <c r="AR45" s="255">
        <f>IFERROR(O45/O$33,0)</f>
        <v/>
      </c>
      <c r="AS45" s="255">
        <f>IFERROR(P45/P$33,0)</f>
        <v/>
      </c>
      <c r="AT45" s="255">
        <f>IFERROR(Q45/Q$33,0)</f>
        <v/>
      </c>
      <c r="AU45" s="255">
        <f>IFERROR(R45/R$33,0)</f>
        <v/>
      </c>
      <c r="AV45" s="255">
        <f>IFERROR(S45/S$33,0)</f>
        <v/>
      </c>
      <c r="AW45" s="255">
        <f>IFERROR(T45/T$33,0)</f>
        <v/>
      </c>
      <c r="AX45" s="255">
        <f>IFERROR(U45/U$33,0)</f>
        <v/>
      </c>
      <c r="AY45" s="255">
        <f>IFERROR(V45/V$33,0)</f>
        <v/>
      </c>
      <c r="AZ45" s="255">
        <f>IFERROR(W45/W$33,0)</f>
        <v/>
      </c>
      <c r="BA45" s="255">
        <f>IFERROR(X45/X$33,0)</f>
        <v/>
      </c>
      <c r="BB45" s="255">
        <f>IFERROR(Y45/Y$33,0)</f>
        <v/>
      </c>
      <c r="BC45" s="255">
        <f>IFERROR(Z45/Z$33,0)</f>
        <v/>
      </c>
      <c r="BD45" s="255">
        <f>IFERROR(AA45/AA$33,0)</f>
        <v/>
      </c>
      <c r="BE45" s="255">
        <f>IFERROR(AB45/AB$33,0)</f>
        <v/>
      </c>
      <c r="BG45" s="254" t="inlineStr">
        <is>
          <t>Aportaciones para futuros aumentos de capital</t>
        </is>
      </c>
      <c r="BH45" s="255" t="inlineStr"/>
      <c r="BI45" s="255">
        <f>IFERROR(C45/B45-1,0)</f>
        <v/>
      </c>
      <c r="BJ45" s="255">
        <f>IFERROR(D45/C45-1,0)</f>
        <v/>
      </c>
      <c r="BK45" s="255">
        <f>IFERROR(E45/D45-1,0)</f>
        <v/>
      </c>
      <c r="BL45" s="255">
        <f>IFERROR(F45/E45-1,0)</f>
        <v/>
      </c>
      <c r="BM45" s="255">
        <f>IFERROR(G45/F45-1,0)</f>
        <v/>
      </c>
      <c r="BN45" s="255">
        <f>IFERROR(H45/G45-1,0)</f>
        <v/>
      </c>
      <c r="BO45" s="255">
        <f>IFERROR(I45/H45-1,0)</f>
        <v/>
      </c>
      <c r="BP45" s="255">
        <f>IFERROR(J45/I45-1,0)</f>
        <v/>
      </c>
      <c r="BQ45" s="255">
        <f>IFERROR(K45/J45-1,0)</f>
        <v/>
      </c>
      <c r="BR45" s="255">
        <f>IFERROR(L45/K45-1,0)</f>
        <v/>
      </c>
      <c r="BS45" s="255">
        <f>IFERROR(M45/L45-1,0)</f>
        <v/>
      </c>
      <c r="BT45" s="255">
        <f>IFERROR(N45/M45-1,0)</f>
        <v/>
      </c>
      <c r="BU45" s="255">
        <f>IFERROR(O45/N45-1,0)</f>
        <v/>
      </c>
      <c r="BV45" s="255">
        <f>IFERROR(P45/O45-1,0)</f>
        <v/>
      </c>
      <c r="BW45" s="255">
        <f>IFERROR(Q45/P45-1,0)</f>
        <v/>
      </c>
      <c r="BX45" s="255">
        <f>IFERROR(R45/Q45-1,0)</f>
        <v/>
      </c>
      <c r="BY45" s="255">
        <f>IFERROR(S45/R45-1,0)</f>
        <v/>
      </c>
      <c r="BZ45" s="255">
        <f>IFERROR(T45/S45-1,0)</f>
        <v/>
      </c>
      <c r="CA45" s="255">
        <f>IFERROR(U45/T45-1,0)</f>
        <v/>
      </c>
      <c r="CB45" s="255">
        <f>IFERROR(V45/U45-1,0)</f>
        <v/>
      </c>
      <c r="CC45" s="255">
        <f>IFERROR(W45/V45-1,0)</f>
        <v/>
      </c>
      <c r="CD45" s="255">
        <f>IFERROR(X45/W45-1,0)</f>
        <v/>
      </c>
      <c r="CE45" s="255">
        <f>IFERROR(Y45/X45-1,0)</f>
        <v/>
      </c>
      <c r="CF45" s="255">
        <f>IFERROR(Z45/Y45-1,0)</f>
        <v/>
      </c>
      <c r="CG45" s="255">
        <f>IFERROR(AA45/Z45-1,0)</f>
        <v/>
      </c>
      <c r="CH45" s="255">
        <f>IFERROR(AB45/AA45-1,0)</f>
        <v/>
      </c>
    </row>
    <row r="46" ht="15.75" customHeight="1">
      <c r="A46" s="137" t="inlineStr">
        <is>
          <t>Prima en Venta de Acciones</t>
        </is>
      </c>
      <c r="B46" s="127" t="n">
        <v>0</v>
      </c>
      <c r="C46" s="127" t="n">
        <v>0</v>
      </c>
      <c r="D46" s="127" t="n">
        <v>0</v>
      </c>
      <c r="E46" s="127" t="n">
        <v>0</v>
      </c>
      <c r="F46" s="127" t="n">
        <v>0</v>
      </c>
      <c r="G46" s="127" t="n">
        <v>0</v>
      </c>
      <c r="H46" s="127" t="n">
        <v>0</v>
      </c>
      <c r="I46" s="127" t="n">
        <v>0</v>
      </c>
      <c r="J46" s="127" t="n">
        <v>0</v>
      </c>
      <c r="K46" s="127" t="n">
        <v>0</v>
      </c>
      <c r="L46" s="127" t="n">
        <v>19287000</v>
      </c>
      <c r="M46" s="127" t="n">
        <v>19287000</v>
      </c>
      <c r="N46" s="127" t="n">
        <v>19287000</v>
      </c>
      <c r="O46" s="127" t="n">
        <v>19287000</v>
      </c>
      <c r="P46" s="127" t="n">
        <v>19287220</v>
      </c>
      <c r="Q46" s="127" t="n">
        <v>19287220</v>
      </c>
      <c r="R46" s="127" t="n">
        <v>19287000</v>
      </c>
      <c r="S46" s="127" t="n">
        <v>19287220</v>
      </c>
      <c r="T46" s="127" t="n">
        <v>19287220</v>
      </c>
      <c r="U46" s="128" t="n">
        <v>19287000</v>
      </c>
      <c r="V46" s="128" t="n">
        <v>0</v>
      </c>
      <c r="W46" s="128" t="n">
        <v>0</v>
      </c>
      <c r="X46" s="128" t="n">
        <v>31823913</v>
      </c>
      <c r="Y46" s="128" t="n">
        <v>31824000</v>
      </c>
      <c r="Z46" s="128" t="n">
        <v>31824000</v>
      </c>
      <c r="AD46" s="254" t="inlineStr">
        <is>
          <t>Prima en Venta de Acciones</t>
        </is>
      </c>
      <c r="AE46" s="255">
        <f>IFERROR(B46/B$33,0)</f>
        <v/>
      </c>
      <c r="AF46" s="255">
        <f>IFERROR(C46/C$33,0)</f>
        <v/>
      </c>
      <c r="AG46" s="255">
        <f>IFERROR(D46/D$33,0)</f>
        <v/>
      </c>
      <c r="AH46" s="255">
        <f>IFERROR(E46/E$33,0)</f>
        <v/>
      </c>
      <c r="AI46" s="255">
        <f>IFERROR(F46/F$33,0)</f>
        <v/>
      </c>
      <c r="AJ46" s="255">
        <f>IFERROR(G46/G$33,0)</f>
        <v/>
      </c>
      <c r="AK46" s="255">
        <f>IFERROR(H46/H$33,0)</f>
        <v/>
      </c>
      <c r="AL46" s="255">
        <f>IFERROR(I46/I$33,0)</f>
        <v/>
      </c>
      <c r="AM46" s="255">
        <f>IFERROR(J46/J$33,0)</f>
        <v/>
      </c>
      <c r="AN46" s="255">
        <f>IFERROR(K46/K$33,0)</f>
        <v/>
      </c>
      <c r="AO46" s="255">
        <f>IFERROR(L46/L$33,0)</f>
        <v/>
      </c>
      <c r="AP46" s="255">
        <f>IFERROR(M46/M$33,0)</f>
        <v/>
      </c>
      <c r="AQ46" s="255">
        <f>IFERROR(N46/N$33,0)</f>
        <v/>
      </c>
      <c r="AR46" s="255">
        <f>IFERROR(O46/O$33,0)</f>
        <v/>
      </c>
      <c r="AS46" s="255">
        <f>IFERROR(P46/P$33,0)</f>
        <v/>
      </c>
      <c r="AT46" s="255">
        <f>IFERROR(Q46/Q$33,0)</f>
        <v/>
      </c>
      <c r="AU46" s="255">
        <f>IFERROR(R46/R$33,0)</f>
        <v/>
      </c>
      <c r="AV46" s="255">
        <f>IFERROR(S46/S$33,0)</f>
        <v/>
      </c>
      <c r="AW46" s="255">
        <f>IFERROR(T46/T$33,0)</f>
        <v/>
      </c>
      <c r="AX46" s="255">
        <f>IFERROR(U46/U$33,0)</f>
        <v/>
      </c>
      <c r="AY46" s="255">
        <f>IFERROR(V46/V$33,0)</f>
        <v/>
      </c>
      <c r="AZ46" s="255">
        <f>IFERROR(W46/W$33,0)</f>
        <v/>
      </c>
      <c r="BA46" s="255">
        <f>IFERROR(X46/X$33,0)</f>
        <v/>
      </c>
      <c r="BB46" s="255">
        <f>IFERROR(Y46/Y$33,0)</f>
        <v/>
      </c>
      <c r="BC46" s="255">
        <f>IFERROR(Z46/Z$33,0)</f>
        <v/>
      </c>
      <c r="BD46" s="255">
        <f>IFERROR(AA46/AA$33,0)</f>
        <v/>
      </c>
      <c r="BE46" s="255">
        <f>IFERROR(AB46/AB$33,0)</f>
        <v/>
      </c>
      <c r="BG46" s="254" t="inlineStr">
        <is>
          <t>Prima en Venta de Acciones</t>
        </is>
      </c>
      <c r="BH46" s="255" t="inlineStr"/>
      <c r="BI46" s="255">
        <f>IFERROR(C46/B46-1,0)</f>
        <v/>
      </c>
      <c r="BJ46" s="255">
        <f>IFERROR(D46/C46-1,0)</f>
        <v/>
      </c>
      <c r="BK46" s="255">
        <f>IFERROR(E46/D46-1,0)</f>
        <v/>
      </c>
      <c r="BL46" s="255">
        <f>IFERROR(F46/E46-1,0)</f>
        <v/>
      </c>
      <c r="BM46" s="255">
        <f>IFERROR(G46/F46-1,0)</f>
        <v/>
      </c>
      <c r="BN46" s="255">
        <f>IFERROR(H46/G46-1,0)</f>
        <v/>
      </c>
      <c r="BO46" s="255">
        <f>IFERROR(I46/H46-1,0)</f>
        <v/>
      </c>
      <c r="BP46" s="255">
        <f>IFERROR(J46/I46-1,0)</f>
        <v/>
      </c>
      <c r="BQ46" s="255">
        <f>IFERROR(K46/J46-1,0)</f>
        <v/>
      </c>
      <c r="BR46" s="255">
        <f>IFERROR(L46/K46-1,0)</f>
        <v/>
      </c>
      <c r="BS46" s="255">
        <f>IFERROR(M46/L46-1,0)</f>
        <v/>
      </c>
      <c r="BT46" s="255">
        <f>IFERROR(N46/M46-1,0)</f>
        <v/>
      </c>
      <c r="BU46" s="255">
        <f>IFERROR(O46/N46-1,0)</f>
        <v/>
      </c>
      <c r="BV46" s="255">
        <f>IFERROR(P46/O46-1,0)</f>
        <v/>
      </c>
      <c r="BW46" s="255">
        <f>IFERROR(Q46/P46-1,0)</f>
        <v/>
      </c>
      <c r="BX46" s="255">
        <f>IFERROR(R46/Q46-1,0)</f>
        <v/>
      </c>
      <c r="BY46" s="255">
        <f>IFERROR(S46/R46-1,0)</f>
        <v/>
      </c>
      <c r="BZ46" s="255">
        <f>IFERROR(T46/S46-1,0)</f>
        <v/>
      </c>
      <c r="CA46" s="255">
        <f>IFERROR(U46/T46-1,0)</f>
        <v/>
      </c>
      <c r="CB46" s="255">
        <f>IFERROR(V46/U46-1,0)</f>
        <v/>
      </c>
      <c r="CC46" s="255">
        <f>IFERROR(W46/V46-1,0)</f>
        <v/>
      </c>
      <c r="CD46" s="255">
        <f>IFERROR(X46/W46-1,0)</f>
        <v/>
      </c>
      <c r="CE46" s="255">
        <f>IFERROR(Y46/X46-1,0)</f>
        <v/>
      </c>
      <c r="CF46" s="255">
        <f>IFERROR(Z46/Y46-1,0)</f>
        <v/>
      </c>
      <c r="CG46" s="255">
        <f>IFERROR(AA46/Z46-1,0)</f>
        <v/>
      </c>
      <c r="CH46" s="255">
        <f>IFERROR(AB46/AA46-1,0)</f>
        <v/>
      </c>
    </row>
    <row r="47" ht="15.75" customHeight="1">
      <c r="A47" s="137" t="inlineStr">
        <is>
          <t>Resultados acumulados</t>
        </is>
      </c>
      <c r="B47" s="127" t="n">
        <v>-3329000</v>
      </c>
      <c r="C47" s="127" t="n">
        <v>-4096000</v>
      </c>
      <c r="D47" s="127" t="n">
        <v>-8087000</v>
      </c>
      <c r="E47" s="127" t="n">
        <v>-9565000</v>
      </c>
      <c r="F47" s="127" t="n">
        <v>-11912000</v>
      </c>
      <c r="G47" s="127" t="n">
        <v>-13506000</v>
      </c>
      <c r="H47" s="127" t="n">
        <v>-15582000</v>
      </c>
      <c r="I47" s="127" t="n">
        <v>-17332000</v>
      </c>
      <c r="J47" s="127" t="n">
        <v>-18581000</v>
      </c>
      <c r="K47" s="127" t="n">
        <v>-20128000</v>
      </c>
      <c r="L47" s="127" t="n">
        <v>-21507000</v>
      </c>
      <c r="M47" s="127" t="n">
        <v>-22264000</v>
      </c>
      <c r="N47" s="127" t="n">
        <v>-22456000</v>
      </c>
      <c r="O47" s="127" t="n">
        <v>-24541000</v>
      </c>
      <c r="P47" s="127" t="n">
        <v>-23034714</v>
      </c>
      <c r="Q47" s="127" t="n">
        <v>-23034714</v>
      </c>
      <c r="R47" s="127" t="n">
        <v>-26851000</v>
      </c>
      <c r="S47" s="127" t="n">
        <v>-23034714.03</v>
      </c>
      <c r="T47" s="127" t="n">
        <v>-23034714.03</v>
      </c>
      <c r="U47" s="128" t="n">
        <v>-30104000</v>
      </c>
      <c r="V47" s="128" t="n">
        <v>-30002798.86</v>
      </c>
      <c r="W47" s="128" t="n">
        <v>-31584483.39</v>
      </c>
      <c r="X47" s="128" t="n">
        <v>-32064290.37</v>
      </c>
      <c r="Y47" s="128" t="n">
        <v>-33518000</v>
      </c>
      <c r="Z47" s="128" t="n">
        <v>-34437000</v>
      </c>
      <c r="AD47" s="254" t="inlineStr">
        <is>
          <t>Resultados acumulados</t>
        </is>
      </c>
      <c r="AE47" s="255">
        <f>IFERROR(B47/B$33,0)</f>
        <v/>
      </c>
      <c r="AF47" s="255">
        <f>IFERROR(C47/C$33,0)</f>
        <v/>
      </c>
      <c r="AG47" s="255">
        <f>IFERROR(D47/D$33,0)</f>
        <v/>
      </c>
      <c r="AH47" s="255">
        <f>IFERROR(E47/E$33,0)</f>
        <v/>
      </c>
      <c r="AI47" s="255">
        <f>IFERROR(F47/F$33,0)</f>
        <v/>
      </c>
      <c r="AJ47" s="255">
        <f>IFERROR(G47/G$33,0)</f>
        <v/>
      </c>
      <c r="AK47" s="255">
        <f>IFERROR(H47/H$33,0)</f>
        <v/>
      </c>
      <c r="AL47" s="255">
        <f>IFERROR(I47/I$33,0)</f>
        <v/>
      </c>
      <c r="AM47" s="255">
        <f>IFERROR(J47/J$33,0)</f>
        <v/>
      </c>
      <c r="AN47" s="255">
        <f>IFERROR(K47/K$33,0)</f>
        <v/>
      </c>
      <c r="AO47" s="255">
        <f>IFERROR(L47/L$33,0)</f>
        <v/>
      </c>
      <c r="AP47" s="255">
        <f>IFERROR(M47/M$33,0)</f>
        <v/>
      </c>
      <c r="AQ47" s="255">
        <f>IFERROR(N47/N$33,0)</f>
        <v/>
      </c>
      <c r="AR47" s="255">
        <f>IFERROR(O47/O$33,0)</f>
        <v/>
      </c>
      <c r="AS47" s="255">
        <f>IFERROR(P47/P$33,0)</f>
        <v/>
      </c>
      <c r="AT47" s="255">
        <f>IFERROR(Q47/Q$33,0)</f>
        <v/>
      </c>
      <c r="AU47" s="255">
        <f>IFERROR(R47/R$33,0)</f>
        <v/>
      </c>
      <c r="AV47" s="255">
        <f>IFERROR(S47/S$33,0)</f>
        <v/>
      </c>
      <c r="AW47" s="255">
        <f>IFERROR(T47/T$33,0)</f>
        <v/>
      </c>
      <c r="AX47" s="255">
        <f>IFERROR(U47/U$33,0)</f>
        <v/>
      </c>
      <c r="AY47" s="255">
        <f>IFERROR(V47/V$33,0)</f>
        <v/>
      </c>
      <c r="AZ47" s="255">
        <f>IFERROR(W47/W$33,0)</f>
        <v/>
      </c>
      <c r="BA47" s="255">
        <f>IFERROR(X47/X$33,0)</f>
        <v/>
      </c>
      <c r="BB47" s="255">
        <f>IFERROR(Y47/Y$33,0)</f>
        <v/>
      </c>
      <c r="BC47" s="255">
        <f>IFERROR(Z47/Z$33,0)</f>
        <v/>
      </c>
      <c r="BD47" s="255">
        <f>IFERROR(AA47/AA$33,0)</f>
        <v/>
      </c>
      <c r="BE47" s="255">
        <f>IFERROR(AB47/AB$33,0)</f>
        <v/>
      </c>
      <c r="BG47" s="254" t="inlineStr">
        <is>
          <t>Resultados acumulados</t>
        </is>
      </c>
      <c r="BH47" s="255" t="inlineStr"/>
      <c r="BI47" s="255">
        <f>IFERROR(C47/B47-1,0)</f>
        <v/>
      </c>
      <c r="BJ47" s="255">
        <f>IFERROR(D47/C47-1,0)</f>
        <v/>
      </c>
      <c r="BK47" s="255">
        <f>IFERROR(E47/D47-1,0)</f>
        <v/>
      </c>
      <c r="BL47" s="255">
        <f>IFERROR(F47/E47-1,0)</f>
        <v/>
      </c>
      <c r="BM47" s="255">
        <f>IFERROR(G47/F47-1,0)</f>
        <v/>
      </c>
      <c r="BN47" s="255">
        <f>IFERROR(H47/G47-1,0)</f>
        <v/>
      </c>
      <c r="BO47" s="255">
        <f>IFERROR(I47/H47-1,0)</f>
        <v/>
      </c>
      <c r="BP47" s="255">
        <f>IFERROR(J47/I47-1,0)</f>
        <v/>
      </c>
      <c r="BQ47" s="255">
        <f>IFERROR(K47/J47-1,0)</f>
        <v/>
      </c>
      <c r="BR47" s="255">
        <f>IFERROR(L47/K47-1,0)</f>
        <v/>
      </c>
      <c r="BS47" s="255">
        <f>IFERROR(M47/L47-1,0)</f>
        <v/>
      </c>
      <c r="BT47" s="255">
        <f>IFERROR(N47/M47-1,0)</f>
        <v/>
      </c>
      <c r="BU47" s="255">
        <f>IFERROR(O47/N47-1,0)</f>
        <v/>
      </c>
      <c r="BV47" s="255">
        <f>IFERROR(P47/O47-1,0)</f>
        <v/>
      </c>
      <c r="BW47" s="255">
        <f>IFERROR(Q47/P47-1,0)</f>
        <v/>
      </c>
      <c r="BX47" s="255">
        <f>IFERROR(R47/Q47-1,0)</f>
        <v/>
      </c>
      <c r="BY47" s="255">
        <f>IFERROR(S47/R47-1,0)</f>
        <v/>
      </c>
      <c r="BZ47" s="255">
        <f>IFERROR(T47/S47-1,0)</f>
        <v/>
      </c>
      <c r="CA47" s="255">
        <f>IFERROR(U47/T47-1,0)</f>
        <v/>
      </c>
      <c r="CB47" s="255">
        <f>IFERROR(V47/U47-1,0)</f>
        <v/>
      </c>
      <c r="CC47" s="255">
        <f>IFERROR(W47/V47-1,0)</f>
        <v/>
      </c>
      <c r="CD47" s="255">
        <f>IFERROR(X47/W47-1,0)</f>
        <v/>
      </c>
      <c r="CE47" s="255">
        <f>IFERROR(Y47/X47-1,0)</f>
        <v/>
      </c>
      <c r="CF47" s="255">
        <f>IFERROR(Z47/Y47-1,0)</f>
        <v/>
      </c>
      <c r="CG47" s="255">
        <f>IFERROR(AA47/Z47-1,0)</f>
        <v/>
      </c>
      <c r="CH47" s="255">
        <f>IFERROR(AB47/AA47-1,0)</f>
        <v/>
      </c>
    </row>
    <row r="48" ht="15.75" customHeight="1">
      <c r="A48" s="137" t="inlineStr">
        <is>
          <t>Utilidad o pérdida del ejercicio</t>
        </is>
      </c>
      <c r="B48" s="127" t="n"/>
      <c r="C48" s="127" t="n"/>
      <c r="D48" s="127" t="n"/>
      <c r="E48" s="127" t="n"/>
      <c r="F48" s="127" t="n"/>
      <c r="G48" s="127" t="n"/>
      <c r="H48" s="127" t="n"/>
      <c r="I48" s="127" t="n"/>
      <c r="J48" s="127" t="n"/>
      <c r="K48" s="127" t="n"/>
      <c r="L48" s="127" t="n"/>
      <c r="M48" s="127" t="n"/>
      <c r="N48" s="127" t="n"/>
      <c r="O48" s="127" t="n"/>
      <c r="P48" s="127" t="n"/>
      <c r="Q48" s="127" t="n">
        <v>-2552119.57</v>
      </c>
      <c r="R48" s="141" t="n"/>
      <c r="S48" s="127" t="n">
        <v>-4643647.18</v>
      </c>
      <c r="T48" s="127" t="n">
        <v>-6134165.28</v>
      </c>
      <c r="U48" s="128" t="n">
        <v>0</v>
      </c>
      <c r="V48" s="128" t="n">
        <v>0</v>
      </c>
      <c r="W48" s="128" t="n">
        <v>0</v>
      </c>
      <c r="X48" s="128" t="n">
        <v>0</v>
      </c>
      <c r="Y48" s="128" t="n">
        <v>0</v>
      </c>
      <c r="AD48" s="254" t="inlineStr">
        <is>
          <t>Utilidad o pérdida del ejercicio</t>
        </is>
      </c>
      <c r="AE48" s="255">
        <f>IFERROR(B48/B$33,0)</f>
        <v/>
      </c>
      <c r="AF48" s="255">
        <f>IFERROR(C48/C$33,0)</f>
        <v/>
      </c>
      <c r="AG48" s="255">
        <f>IFERROR(D48/D$33,0)</f>
        <v/>
      </c>
      <c r="AH48" s="255">
        <f>IFERROR(E48/E$33,0)</f>
        <v/>
      </c>
      <c r="AI48" s="255">
        <f>IFERROR(F48/F$33,0)</f>
        <v/>
      </c>
      <c r="AJ48" s="255">
        <f>IFERROR(G48/G$33,0)</f>
        <v/>
      </c>
      <c r="AK48" s="255">
        <f>IFERROR(H48/H$33,0)</f>
        <v/>
      </c>
      <c r="AL48" s="255">
        <f>IFERROR(I48/I$33,0)</f>
        <v/>
      </c>
      <c r="AM48" s="255">
        <f>IFERROR(J48/J$33,0)</f>
        <v/>
      </c>
      <c r="AN48" s="255">
        <f>IFERROR(K48/K$33,0)</f>
        <v/>
      </c>
      <c r="AO48" s="255">
        <f>IFERROR(L48/L$33,0)</f>
        <v/>
      </c>
      <c r="AP48" s="255">
        <f>IFERROR(M48/M$33,0)</f>
        <v/>
      </c>
      <c r="AQ48" s="255">
        <f>IFERROR(N48/N$33,0)</f>
        <v/>
      </c>
      <c r="AR48" s="255">
        <f>IFERROR(O48/O$33,0)</f>
        <v/>
      </c>
      <c r="AS48" s="255">
        <f>IFERROR(P48/P$33,0)</f>
        <v/>
      </c>
      <c r="AT48" s="255">
        <f>IFERROR(Q48/Q$33,0)</f>
        <v/>
      </c>
      <c r="AU48" s="255">
        <f>IFERROR(R48/R$33,0)</f>
        <v/>
      </c>
      <c r="AV48" s="255">
        <f>IFERROR(S48/S$33,0)</f>
        <v/>
      </c>
      <c r="AW48" s="255">
        <f>IFERROR(T48/T$33,0)</f>
        <v/>
      </c>
      <c r="AX48" s="255">
        <f>IFERROR(U48/U$33,0)</f>
        <v/>
      </c>
      <c r="AY48" s="255">
        <f>IFERROR(V48/V$33,0)</f>
        <v/>
      </c>
      <c r="AZ48" s="255">
        <f>IFERROR(W48/W$33,0)</f>
        <v/>
      </c>
      <c r="BA48" s="255">
        <f>IFERROR(X48/X$33,0)</f>
        <v/>
      </c>
      <c r="BB48" s="255">
        <f>IFERROR(Y48/Y$33,0)</f>
        <v/>
      </c>
      <c r="BC48" s="255">
        <f>IFERROR(Z48/Z$33,0)</f>
        <v/>
      </c>
      <c r="BD48" s="255">
        <f>IFERROR(AA48/AA$33,0)</f>
        <v/>
      </c>
      <c r="BE48" s="255">
        <f>IFERROR(AB48/AB$33,0)</f>
        <v/>
      </c>
      <c r="BG48" s="254" t="inlineStr">
        <is>
          <t>Utilidad o pérdida del ejercicio</t>
        </is>
      </c>
      <c r="BH48" s="255" t="inlineStr"/>
      <c r="BI48" s="255">
        <f>IFERROR(C48/B48-1,0)</f>
        <v/>
      </c>
      <c r="BJ48" s="255">
        <f>IFERROR(D48/C48-1,0)</f>
        <v/>
      </c>
      <c r="BK48" s="255">
        <f>IFERROR(E48/D48-1,0)</f>
        <v/>
      </c>
      <c r="BL48" s="255">
        <f>IFERROR(F48/E48-1,0)</f>
        <v/>
      </c>
      <c r="BM48" s="255">
        <f>IFERROR(G48/F48-1,0)</f>
        <v/>
      </c>
      <c r="BN48" s="255">
        <f>IFERROR(H48/G48-1,0)</f>
        <v/>
      </c>
      <c r="BO48" s="255">
        <f>IFERROR(I48/H48-1,0)</f>
        <v/>
      </c>
      <c r="BP48" s="255">
        <f>IFERROR(J48/I48-1,0)</f>
        <v/>
      </c>
      <c r="BQ48" s="255">
        <f>IFERROR(K48/J48-1,0)</f>
        <v/>
      </c>
      <c r="BR48" s="255">
        <f>IFERROR(L48/K48-1,0)</f>
        <v/>
      </c>
      <c r="BS48" s="255">
        <f>IFERROR(M48/L48-1,0)</f>
        <v/>
      </c>
      <c r="BT48" s="255">
        <f>IFERROR(N48/M48-1,0)</f>
        <v/>
      </c>
      <c r="BU48" s="255">
        <f>IFERROR(O48/N48-1,0)</f>
        <v/>
      </c>
      <c r="BV48" s="255">
        <f>IFERROR(P48/O48-1,0)</f>
        <v/>
      </c>
      <c r="BW48" s="255">
        <f>IFERROR(Q48/P48-1,0)</f>
        <v/>
      </c>
      <c r="BX48" s="255">
        <f>IFERROR(R48/Q48-1,0)</f>
        <v/>
      </c>
      <c r="BY48" s="255">
        <f>IFERROR(S48/R48-1,0)</f>
        <v/>
      </c>
      <c r="BZ48" s="255">
        <f>IFERROR(T48/S48-1,0)</f>
        <v/>
      </c>
      <c r="CA48" s="255">
        <f>IFERROR(U48/T48-1,0)</f>
        <v/>
      </c>
      <c r="CB48" s="255">
        <f>IFERROR(V48/U48-1,0)</f>
        <v/>
      </c>
      <c r="CC48" s="255">
        <f>IFERROR(W48/V48-1,0)</f>
        <v/>
      </c>
      <c r="CD48" s="255">
        <f>IFERROR(X48/W48-1,0)</f>
        <v/>
      </c>
      <c r="CE48" s="255">
        <f>IFERROR(Y48/X48-1,0)</f>
        <v/>
      </c>
      <c r="CF48" s="255">
        <f>IFERROR(Z48/Y48-1,0)</f>
        <v/>
      </c>
      <c r="CG48" s="255">
        <f>IFERROR(AA48/Z48-1,0)</f>
        <v/>
      </c>
      <c r="CH48" s="255">
        <f>IFERROR(AB48/AA48-1,0)</f>
        <v/>
      </c>
    </row>
    <row r="49" ht="15.75" customHeight="1">
      <c r="A49" s="137" t="inlineStr">
        <is>
          <t>Total participación no controlada</t>
        </is>
      </c>
      <c r="B49" s="127" t="n"/>
      <c r="C49" s="127" t="n"/>
      <c r="D49" s="127" t="n"/>
      <c r="E49" s="127" t="n"/>
      <c r="F49" s="127" t="n"/>
      <c r="G49" s="127" t="n"/>
      <c r="H49" s="127" t="n"/>
      <c r="I49" s="127" t="n"/>
      <c r="J49" s="127" t="n"/>
      <c r="K49" s="127" t="n"/>
      <c r="L49" s="127" t="n"/>
      <c r="M49" s="127" t="n"/>
      <c r="N49" s="127" t="n"/>
      <c r="O49" s="127" t="n"/>
      <c r="P49" s="134" t="n">
        <v>-641897</v>
      </c>
      <c r="Q49" s="134" t="n">
        <v>0</v>
      </c>
      <c r="R49" s="127" t="n">
        <v>0</v>
      </c>
      <c r="S49" s="127" t="n">
        <v>0</v>
      </c>
      <c r="T49" s="127" t="n">
        <v>0</v>
      </c>
      <c r="U49" s="128" t="n">
        <v>0</v>
      </c>
      <c r="V49" s="128" t="n">
        <v>0</v>
      </c>
      <c r="W49" s="128" t="n">
        <v>0</v>
      </c>
      <c r="X49" s="128" t="n">
        <v>0</v>
      </c>
      <c r="Y49" s="128" t="n">
        <v>0</v>
      </c>
      <c r="AD49" s="254" t="inlineStr">
        <is>
          <t>Total participación no controlada</t>
        </is>
      </c>
      <c r="AE49" s="255">
        <f>IFERROR(B49/B$33,0)</f>
        <v/>
      </c>
      <c r="AF49" s="255">
        <f>IFERROR(C49/C$33,0)</f>
        <v/>
      </c>
      <c r="AG49" s="255">
        <f>IFERROR(D49/D$33,0)</f>
        <v/>
      </c>
      <c r="AH49" s="255">
        <f>IFERROR(E49/E$33,0)</f>
        <v/>
      </c>
      <c r="AI49" s="255">
        <f>IFERROR(F49/F$33,0)</f>
        <v/>
      </c>
      <c r="AJ49" s="255">
        <f>IFERROR(G49/G$33,0)</f>
        <v/>
      </c>
      <c r="AK49" s="255">
        <f>IFERROR(H49/H$33,0)</f>
        <v/>
      </c>
      <c r="AL49" s="255">
        <f>IFERROR(I49/I$33,0)</f>
        <v/>
      </c>
      <c r="AM49" s="255">
        <f>IFERROR(J49/J$33,0)</f>
        <v/>
      </c>
      <c r="AN49" s="255">
        <f>IFERROR(K49/K$33,0)</f>
        <v/>
      </c>
      <c r="AO49" s="255">
        <f>IFERROR(L49/L$33,0)</f>
        <v/>
      </c>
      <c r="AP49" s="255">
        <f>IFERROR(M49/M$33,0)</f>
        <v/>
      </c>
      <c r="AQ49" s="255">
        <f>IFERROR(N49/N$33,0)</f>
        <v/>
      </c>
      <c r="AR49" s="255">
        <f>IFERROR(O49/O$33,0)</f>
        <v/>
      </c>
      <c r="AS49" s="255">
        <f>IFERROR(P49/P$33,0)</f>
        <v/>
      </c>
      <c r="AT49" s="255">
        <f>IFERROR(Q49/Q$33,0)</f>
        <v/>
      </c>
      <c r="AU49" s="255">
        <f>IFERROR(R49/R$33,0)</f>
        <v/>
      </c>
      <c r="AV49" s="255">
        <f>IFERROR(S49/S$33,0)</f>
        <v/>
      </c>
      <c r="AW49" s="255">
        <f>IFERROR(T49/T$33,0)</f>
        <v/>
      </c>
      <c r="AX49" s="255">
        <f>IFERROR(U49/U$33,0)</f>
        <v/>
      </c>
      <c r="AY49" s="255">
        <f>IFERROR(V49/V$33,0)</f>
        <v/>
      </c>
      <c r="AZ49" s="255">
        <f>IFERROR(W49/W$33,0)</f>
        <v/>
      </c>
      <c r="BA49" s="255">
        <f>IFERROR(X49/X$33,0)</f>
        <v/>
      </c>
      <c r="BB49" s="255">
        <f>IFERROR(Y49/Y$33,0)</f>
        <v/>
      </c>
      <c r="BC49" s="255">
        <f>IFERROR(Z49/Z$33,0)</f>
        <v/>
      </c>
      <c r="BD49" s="255">
        <f>IFERROR(AA49/AA$33,0)</f>
        <v/>
      </c>
      <c r="BE49" s="255">
        <f>IFERROR(AB49/AB$33,0)</f>
        <v/>
      </c>
      <c r="BG49" s="254" t="inlineStr">
        <is>
          <t>Total participación no controlada</t>
        </is>
      </c>
      <c r="BH49" s="255" t="inlineStr"/>
      <c r="BI49" s="255">
        <f>IFERROR(C49/B49-1,0)</f>
        <v/>
      </c>
      <c r="BJ49" s="255">
        <f>IFERROR(D49/C49-1,0)</f>
        <v/>
      </c>
      <c r="BK49" s="255">
        <f>IFERROR(E49/D49-1,0)</f>
        <v/>
      </c>
      <c r="BL49" s="255">
        <f>IFERROR(F49/E49-1,0)</f>
        <v/>
      </c>
      <c r="BM49" s="255">
        <f>IFERROR(G49/F49-1,0)</f>
        <v/>
      </c>
      <c r="BN49" s="255">
        <f>IFERROR(H49/G49-1,0)</f>
        <v/>
      </c>
      <c r="BO49" s="255">
        <f>IFERROR(I49/H49-1,0)</f>
        <v/>
      </c>
      <c r="BP49" s="255">
        <f>IFERROR(J49/I49-1,0)</f>
        <v/>
      </c>
      <c r="BQ49" s="255">
        <f>IFERROR(K49/J49-1,0)</f>
        <v/>
      </c>
      <c r="BR49" s="255">
        <f>IFERROR(L49/K49-1,0)</f>
        <v/>
      </c>
      <c r="BS49" s="255">
        <f>IFERROR(M49/L49-1,0)</f>
        <v/>
      </c>
      <c r="BT49" s="255">
        <f>IFERROR(N49/M49-1,0)</f>
        <v/>
      </c>
      <c r="BU49" s="255">
        <f>IFERROR(O49/N49-1,0)</f>
        <v/>
      </c>
      <c r="BV49" s="255">
        <f>IFERROR(P49/O49-1,0)</f>
        <v/>
      </c>
      <c r="BW49" s="255">
        <f>IFERROR(Q49/P49-1,0)</f>
        <v/>
      </c>
      <c r="BX49" s="255">
        <f>IFERROR(R49/Q49-1,0)</f>
        <v/>
      </c>
      <c r="BY49" s="255">
        <f>IFERROR(S49/R49-1,0)</f>
        <v/>
      </c>
      <c r="BZ49" s="255">
        <f>IFERROR(T49/S49-1,0)</f>
        <v/>
      </c>
      <c r="CA49" s="255">
        <f>IFERROR(U49/T49-1,0)</f>
        <v/>
      </c>
      <c r="CB49" s="255">
        <f>IFERROR(V49/U49-1,0)</f>
        <v/>
      </c>
      <c r="CC49" s="255">
        <f>IFERROR(W49/V49-1,0)</f>
        <v/>
      </c>
      <c r="CD49" s="255">
        <f>IFERROR(X49/W49-1,0)</f>
        <v/>
      </c>
      <c r="CE49" s="255">
        <f>IFERROR(Y49/X49-1,0)</f>
        <v/>
      </c>
      <c r="CF49" s="255">
        <f>IFERROR(Z49/Y49-1,0)</f>
        <v/>
      </c>
      <c r="CG49" s="255">
        <f>IFERROR(AA49/Z49-1,0)</f>
        <v/>
      </c>
      <c r="CH49" s="255">
        <f>IFERROR(AB49/AA49-1,0)</f>
        <v/>
      </c>
    </row>
    <row r="50" ht="15.75" customHeight="1">
      <c r="A50" s="139" t="inlineStr">
        <is>
          <t>Total Capital</t>
        </is>
      </c>
      <c r="B50" s="133" t="n">
        <v>4803000</v>
      </c>
      <c r="C50" s="133" t="n">
        <v>4036000</v>
      </c>
      <c r="D50" s="133" t="n">
        <v>6045000</v>
      </c>
      <c r="E50" s="133" t="n">
        <v>7067000</v>
      </c>
      <c r="F50" s="133" t="n">
        <v>7220000</v>
      </c>
      <c r="G50" s="133" t="n">
        <v>8626000</v>
      </c>
      <c r="H50" s="133" t="n">
        <v>7750000</v>
      </c>
      <c r="I50" s="133" t="n">
        <v>6000000</v>
      </c>
      <c r="J50" s="133" t="n">
        <v>4751000</v>
      </c>
      <c r="K50" s="133" t="n">
        <v>6204000</v>
      </c>
      <c r="L50" s="133">
        <f>SUM(L44:L47)</f>
        <v/>
      </c>
      <c r="M50" s="133">
        <f>SUM(M44:M47)</f>
        <v/>
      </c>
      <c r="N50" s="133">
        <f>SUM(N44:N47)</f>
        <v/>
      </c>
      <c r="O50" s="133">
        <f>SUM(O44:O47)</f>
        <v/>
      </c>
      <c r="P50" s="133">
        <f>SUM(P44:P49)</f>
        <v/>
      </c>
      <c r="Q50" s="133">
        <f>SUM(Q44:Q49)</f>
        <v/>
      </c>
      <c r="R50" s="133">
        <f>SUM(R44:R49)</f>
        <v/>
      </c>
      <c r="S50" s="133">
        <f>SUM(S44:S49)</f>
        <v/>
      </c>
      <c r="T50" s="133">
        <f>SUM(T44:T49)</f>
        <v/>
      </c>
      <c r="U50" s="133">
        <f>SUM(U44:U49)</f>
        <v/>
      </c>
      <c r="V50" s="133">
        <f>SUM(V44:V49)</f>
        <v/>
      </c>
      <c r="W50" s="133">
        <f>SUM(W44:W49)</f>
        <v/>
      </c>
      <c r="X50" s="133">
        <f>SUM(X44:X49)</f>
        <v/>
      </c>
      <c r="Y50" s="133">
        <f>SUM(Y44:Y49)</f>
        <v/>
      </c>
      <c r="Z50" s="133">
        <f>SUM(Z44:Z49)</f>
        <v/>
      </c>
      <c r="AD50" s="256" t="inlineStr">
        <is>
          <t>Total Capital</t>
        </is>
      </c>
      <c r="AE50" s="257">
        <f>IFERROR(B50/B$33,0)</f>
        <v/>
      </c>
      <c r="AF50" s="257">
        <f>IFERROR(C50/C$33,0)</f>
        <v/>
      </c>
      <c r="AG50" s="257">
        <f>IFERROR(D50/D$33,0)</f>
        <v/>
      </c>
      <c r="AH50" s="257">
        <f>IFERROR(E50/E$33,0)</f>
        <v/>
      </c>
      <c r="AI50" s="257">
        <f>IFERROR(F50/F$33,0)</f>
        <v/>
      </c>
      <c r="AJ50" s="257">
        <f>IFERROR(G50/G$33,0)</f>
        <v/>
      </c>
      <c r="AK50" s="257">
        <f>IFERROR(H50/H$33,0)</f>
        <v/>
      </c>
      <c r="AL50" s="257">
        <f>IFERROR(I50/I$33,0)</f>
        <v/>
      </c>
      <c r="AM50" s="257">
        <f>IFERROR(J50/J$33,0)</f>
        <v/>
      </c>
      <c r="AN50" s="257">
        <f>IFERROR(K50/K$33,0)</f>
        <v/>
      </c>
      <c r="AO50" s="257">
        <f>IFERROR(L50/L$33,0)</f>
        <v/>
      </c>
      <c r="AP50" s="257">
        <f>IFERROR(M50/M$33,0)</f>
        <v/>
      </c>
      <c r="AQ50" s="257">
        <f>IFERROR(N50/N$33,0)</f>
        <v/>
      </c>
      <c r="AR50" s="257">
        <f>IFERROR(O50/O$33,0)</f>
        <v/>
      </c>
      <c r="AS50" s="257">
        <f>IFERROR(P50/P$33,0)</f>
        <v/>
      </c>
      <c r="AT50" s="257">
        <f>IFERROR(Q50/Q$33,0)</f>
        <v/>
      </c>
      <c r="AU50" s="257">
        <f>IFERROR(R50/R$33,0)</f>
        <v/>
      </c>
      <c r="AV50" s="257">
        <f>IFERROR(S50/S$33,0)</f>
        <v/>
      </c>
      <c r="AW50" s="257">
        <f>IFERROR(T50/T$33,0)</f>
        <v/>
      </c>
      <c r="AX50" s="257">
        <f>IFERROR(U50/U$33,0)</f>
        <v/>
      </c>
      <c r="AY50" s="257">
        <f>IFERROR(V50/V$33,0)</f>
        <v/>
      </c>
      <c r="AZ50" s="257">
        <f>IFERROR(W50/W$33,0)</f>
        <v/>
      </c>
      <c r="BA50" s="257">
        <f>IFERROR(X50/X$33,0)</f>
        <v/>
      </c>
      <c r="BB50" s="257">
        <f>IFERROR(Y50/Y$33,0)</f>
        <v/>
      </c>
      <c r="BC50" s="257">
        <f>IFERROR(Z50/Z$33,0)</f>
        <v/>
      </c>
      <c r="BD50" s="257">
        <f>IFERROR(AA50/AA$33,0)</f>
        <v/>
      </c>
      <c r="BE50" s="257">
        <f>IFERROR(AB50/AB$33,0)</f>
        <v/>
      </c>
      <c r="BG50" s="256" t="inlineStr">
        <is>
          <t>Total Capital</t>
        </is>
      </c>
      <c r="BH50" s="257" t="inlineStr"/>
      <c r="BI50" s="257">
        <f>IFERROR(C50/B50-1,0)</f>
        <v/>
      </c>
      <c r="BJ50" s="257">
        <f>IFERROR(D50/C50-1,0)</f>
        <v/>
      </c>
      <c r="BK50" s="257">
        <f>IFERROR(E50/D50-1,0)</f>
        <v/>
      </c>
      <c r="BL50" s="257">
        <f>IFERROR(F50/E50-1,0)</f>
        <v/>
      </c>
      <c r="BM50" s="257">
        <f>IFERROR(G50/F50-1,0)</f>
        <v/>
      </c>
      <c r="BN50" s="257">
        <f>IFERROR(H50/G50-1,0)</f>
        <v/>
      </c>
      <c r="BO50" s="257">
        <f>IFERROR(I50/H50-1,0)</f>
        <v/>
      </c>
      <c r="BP50" s="257">
        <f>IFERROR(J50/I50-1,0)</f>
        <v/>
      </c>
      <c r="BQ50" s="257">
        <f>IFERROR(K50/J50-1,0)</f>
        <v/>
      </c>
      <c r="BR50" s="257">
        <f>IFERROR(L50/K50-1,0)</f>
        <v/>
      </c>
      <c r="BS50" s="257">
        <f>IFERROR(M50/L50-1,0)</f>
        <v/>
      </c>
      <c r="BT50" s="257">
        <f>IFERROR(N50/M50-1,0)</f>
        <v/>
      </c>
      <c r="BU50" s="257">
        <f>IFERROR(O50/N50-1,0)</f>
        <v/>
      </c>
      <c r="BV50" s="257">
        <f>IFERROR(P50/O50-1,0)</f>
        <v/>
      </c>
      <c r="BW50" s="257">
        <f>IFERROR(Q50/P50-1,0)</f>
        <v/>
      </c>
      <c r="BX50" s="257">
        <f>IFERROR(R50/Q50-1,0)</f>
        <v/>
      </c>
      <c r="BY50" s="257">
        <f>IFERROR(S50/R50-1,0)</f>
        <v/>
      </c>
      <c r="BZ50" s="257">
        <f>IFERROR(T50/S50-1,0)</f>
        <v/>
      </c>
      <c r="CA50" s="257">
        <f>IFERROR(U50/T50-1,0)</f>
        <v/>
      </c>
      <c r="CB50" s="257">
        <f>IFERROR(V50/U50-1,0)</f>
        <v/>
      </c>
      <c r="CC50" s="257">
        <f>IFERROR(W50/V50-1,0)</f>
        <v/>
      </c>
      <c r="CD50" s="257">
        <f>IFERROR(X50/W50-1,0)</f>
        <v/>
      </c>
      <c r="CE50" s="257">
        <f>IFERROR(Y50/X50-1,0)</f>
        <v/>
      </c>
      <c r="CF50" s="257">
        <f>IFERROR(Z50/Y50-1,0)</f>
        <v/>
      </c>
      <c r="CG50" s="257">
        <f>IFERROR(AA50/Z50-1,0)</f>
        <v/>
      </c>
      <c r="CH50" s="257">
        <f>IFERROR(AB50/AA50-1,0)</f>
        <v/>
      </c>
    </row>
    <row r="51" ht="15.75" customHeight="1">
      <c r="A51" s="137" t="n"/>
      <c r="B51" s="127" t="n"/>
      <c r="C51" s="127" t="n"/>
      <c r="D51" s="127" t="n"/>
      <c r="E51" s="127" t="n"/>
      <c r="F51" s="127" t="n"/>
      <c r="G51" s="127" t="n"/>
      <c r="H51" s="127" t="n"/>
      <c r="I51" s="127" t="n"/>
      <c r="J51" s="127" t="n"/>
      <c r="K51" s="127" t="n"/>
      <c r="L51" s="127" t="n"/>
    </row>
    <row r="52" ht="15.75" customHeight="1">
      <c r="A52" s="139" t="inlineStr">
        <is>
          <t>Balance</t>
        </is>
      </c>
      <c r="B52" s="133">
        <f>B33-B42-B50</f>
        <v/>
      </c>
      <c r="C52" s="133">
        <f>C33-C42-C50</f>
        <v/>
      </c>
      <c r="D52" s="133">
        <f>D33-D42-D50</f>
        <v/>
      </c>
      <c r="E52" s="133">
        <f>E33-E42-E50</f>
        <v/>
      </c>
      <c r="F52" s="133">
        <f>F33-F42-F50</f>
        <v/>
      </c>
      <c r="G52" s="133">
        <f>G33-G42-G50</f>
        <v/>
      </c>
      <c r="H52" s="133">
        <f>H33-H42-H50</f>
        <v/>
      </c>
      <c r="I52" s="133">
        <f>I33-I42-I50</f>
        <v/>
      </c>
      <c r="J52" s="133">
        <f>J33-J42-J50</f>
        <v/>
      </c>
      <c r="K52" s="133">
        <f>K33-K42-K50</f>
        <v/>
      </c>
      <c r="L52" s="133">
        <f>L33-L42-L50</f>
        <v/>
      </c>
      <c r="M52" s="133">
        <f>M33-M42-M50</f>
        <v/>
      </c>
      <c r="N52" s="133">
        <f>N33-N42-N50</f>
        <v/>
      </c>
      <c r="O52" s="133">
        <f>O33-O42-O50</f>
        <v/>
      </c>
      <c r="P52" s="133">
        <f>P33-P42-P50</f>
        <v/>
      </c>
      <c r="Q52" s="133">
        <f>Q33-Q42-Q50</f>
        <v/>
      </c>
      <c r="R52" s="133">
        <f>R33-R42-R50</f>
        <v/>
      </c>
      <c r="S52" s="133">
        <f>S33-S42-S50</f>
        <v/>
      </c>
      <c r="T52" s="133">
        <f>T33-T42-T50</f>
        <v/>
      </c>
      <c r="U52" s="133">
        <f>U33-U42-U50</f>
        <v/>
      </c>
      <c r="V52" s="133">
        <f>V33-V42-V50</f>
        <v/>
      </c>
      <c r="W52" s="133">
        <f>W33-W42-W50</f>
        <v/>
      </c>
      <c r="X52" s="142">
        <f>X33-X42-X50</f>
        <v/>
      </c>
      <c r="Y52" s="133">
        <f>Y33-Y42-Y50</f>
        <v/>
      </c>
      <c r="Z52" s="133">
        <f>Z33-Z42-Z50</f>
        <v/>
      </c>
      <c r="AD52" s="256" t="inlineStr">
        <is>
          <t>Balance</t>
        </is>
      </c>
      <c r="AE52" s="257">
        <f>IFERROR(B52/B$33,0)</f>
        <v/>
      </c>
      <c r="AF52" s="257">
        <f>IFERROR(C52/C$33,0)</f>
        <v/>
      </c>
      <c r="AG52" s="257">
        <f>IFERROR(D52/D$33,0)</f>
        <v/>
      </c>
      <c r="AH52" s="257">
        <f>IFERROR(E52/E$33,0)</f>
        <v/>
      </c>
      <c r="AI52" s="257">
        <f>IFERROR(F52/F$33,0)</f>
        <v/>
      </c>
      <c r="AJ52" s="257">
        <f>IFERROR(G52/G$33,0)</f>
        <v/>
      </c>
      <c r="AK52" s="257">
        <f>IFERROR(H52/H$33,0)</f>
        <v/>
      </c>
      <c r="AL52" s="257">
        <f>IFERROR(I52/I$33,0)</f>
        <v/>
      </c>
      <c r="AM52" s="257">
        <f>IFERROR(J52/J$33,0)</f>
        <v/>
      </c>
      <c r="AN52" s="257">
        <f>IFERROR(K52/K$33,0)</f>
        <v/>
      </c>
      <c r="AO52" s="257">
        <f>IFERROR(L52/L$33,0)</f>
        <v/>
      </c>
      <c r="AP52" s="257">
        <f>IFERROR(M52/M$33,0)</f>
        <v/>
      </c>
      <c r="AQ52" s="257">
        <f>IFERROR(N52/N$33,0)</f>
        <v/>
      </c>
      <c r="AR52" s="257">
        <f>IFERROR(O52/O$33,0)</f>
        <v/>
      </c>
      <c r="AS52" s="257">
        <f>IFERROR(P52/P$33,0)</f>
        <v/>
      </c>
      <c r="AT52" s="257">
        <f>IFERROR(Q52/Q$33,0)</f>
        <v/>
      </c>
      <c r="AU52" s="257">
        <f>IFERROR(R52/R$33,0)</f>
        <v/>
      </c>
      <c r="AV52" s="257">
        <f>IFERROR(S52/S$33,0)</f>
        <v/>
      </c>
      <c r="AW52" s="257">
        <f>IFERROR(T52/T$33,0)</f>
        <v/>
      </c>
      <c r="AX52" s="257">
        <f>IFERROR(U52/U$33,0)</f>
        <v/>
      </c>
      <c r="AY52" s="257">
        <f>IFERROR(V52/V$33,0)</f>
        <v/>
      </c>
      <c r="AZ52" s="257">
        <f>IFERROR(W52/W$33,0)</f>
        <v/>
      </c>
      <c r="BA52" s="257">
        <f>IFERROR(X52/X$33,0)</f>
        <v/>
      </c>
      <c r="BB52" s="257">
        <f>IFERROR(Y52/Y$33,0)</f>
        <v/>
      </c>
      <c r="BC52" s="257">
        <f>IFERROR(Z52/Z$33,0)</f>
        <v/>
      </c>
      <c r="BD52" s="257">
        <f>IFERROR(AA52/AA$33,0)</f>
        <v/>
      </c>
      <c r="BE52" s="257">
        <f>IFERROR(AB52/AB$33,0)</f>
        <v/>
      </c>
      <c r="BG52" s="256" t="inlineStr">
        <is>
          <t>Balance</t>
        </is>
      </c>
      <c r="BH52" s="257" t="inlineStr"/>
      <c r="BI52" s="257">
        <f>IFERROR(C52/B52-1,0)</f>
        <v/>
      </c>
      <c r="BJ52" s="257">
        <f>IFERROR(D52/C52-1,0)</f>
        <v/>
      </c>
      <c r="BK52" s="257">
        <f>IFERROR(E52/D52-1,0)</f>
        <v/>
      </c>
      <c r="BL52" s="257">
        <f>IFERROR(F52/E52-1,0)</f>
        <v/>
      </c>
      <c r="BM52" s="257">
        <f>IFERROR(G52/F52-1,0)</f>
        <v/>
      </c>
      <c r="BN52" s="257">
        <f>IFERROR(H52/G52-1,0)</f>
        <v/>
      </c>
      <c r="BO52" s="257">
        <f>IFERROR(I52/H52-1,0)</f>
        <v/>
      </c>
      <c r="BP52" s="257">
        <f>IFERROR(J52/I52-1,0)</f>
        <v/>
      </c>
      <c r="BQ52" s="257">
        <f>IFERROR(K52/J52-1,0)</f>
        <v/>
      </c>
      <c r="BR52" s="257">
        <f>IFERROR(L52/K52-1,0)</f>
        <v/>
      </c>
      <c r="BS52" s="257">
        <f>IFERROR(M52/L52-1,0)</f>
        <v/>
      </c>
      <c r="BT52" s="257">
        <f>IFERROR(N52/M52-1,0)</f>
        <v/>
      </c>
      <c r="BU52" s="257">
        <f>IFERROR(O52/N52-1,0)</f>
        <v/>
      </c>
      <c r="BV52" s="257">
        <f>IFERROR(P52/O52-1,0)</f>
        <v/>
      </c>
      <c r="BW52" s="257">
        <f>IFERROR(Q52/P52-1,0)</f>
        <v/>
      </c>
      <c r="BX52" s="257">
        <f>IFERROR(R52/Q52-1,0)</f>
        <v/>
      </c>
      <c r="BY52" s="257">
        <f>IFERROR(S52/R52-1,0)</f>
        <v/>
      </c>
      <c r="BZ52" s="257">
        <f>IFERROR(T52/S52-1,0)</f>
        <v/>
      </c>
      <c r="CA52" s="257">
        <f>IFERROR(U52/T52-1,0)</f>
        <v/>
      </c>
      <c r="CB52" s="257">
        <f>IFERROR(V52/U52-1,0)</f>
        <v/>
      </c>
      <c r="CC52" s="257">
        <f>IFERROR(W52/V52-1,0)</f>
        <v/>
      </c>
      <c r="CD52" s="257">
        <f>IFERROR(X52/W52-1,0)</f>
        <v/>
      </c>
      <c r="CE52" s="257">
        <f>IFERROR(Y52/X52-1,0)</f>
        <v/>
      </c>
      <c r="CF52" s="257">
        <f>IFERROR(Z52/Y52-1,0)</f>
        <v/>
      </c>
      <c r="CG52" s="257">
        <f>IFERROR(AA52/Z52-1,0)</f>
        <v/>
      </c>
      <c r="CH52" s="257">
        <f>IFERROR(AB52/AA52-1,0)</f>
        <v/>
      </c>
    </row>
    <row r="53" ht="15.75" customHeight="1">
      <c r="AB53" s="71" t="n">
        <v>42657562.77</v>
      </c>
      <c r="AD53" s="71" t="n"/>
      <c r="AE53" s="71" t="n"/>
      <c r="AF53" s="71" t="n"/>
      <c r="AG53" s="71" t="n"/>
      <c r="AH53" s="71" t="n"/>
      <c r="AI53" s="71" t="n"/>
      <c r="AJ53" s="71" t="n"/>
      <c r="AK53" s="71" t="n"/>
      <c r="AL53" s="71" t="n"/>
      <c r="AM53" s="71" t="n"/>
      <c r="AN53" s="71" t="n"/>
      <c r="AO53" s="71" t="n"/>
      <c r="AP53" s="71" t="n"/>
      <c r="AQ53" s="71" t="n"/>
      <c r="AR53" s="71" t="n"/>
      <c r="AS53" s="71" t="n"/>
      <c r="AT53" s="71" t="n"/>
      <c r="AU53" s="71" t="n"/>
      <c r="AV53" s="71" t="n"/>
      <c r="AW53" s="71" t="n"/>
      <c r="AX53" s="71" t="n"/>
      <c r="AY53" s="71" t="n"/>
      <c r="AZ53" s="71" t="n"/>
      <c r="BA53" s="71" t="n"/>
      <c r="BB53" s="71" t="n"/>
      <c r="BC53" s="71" t="n"/>
      <c r="BD53" s="71" t="n"/>
      <c r="BE53" s="71" t="n"/>
      <c r="BF53" s="71" t="n"/>
      <c r="BG53" s="71" t="n"/>
      <c r="BH53" s="71" t="n"/>
      <c r="BI53" s="71" t="n"/>
      <c r="BJ53" s="71" t="n"/>
      <c r="BK53" s="71" t="n"/>
      <c r="BL53" s="71" t="n"/>
      <c r="BM53" s="71" t="n"/>
      <c r="BN53" s="71" t="n"/>
      <c r="BO53" s="71" t="n"/>
      <c r="BP53" s="71" t="n"/>
      <c r="BQ53" s="71" t="n"/>
      <c r="BR53" s="71" t="n"/>
      <c r="BS53" s="71" t="n"/>
      <c r="BT53" s="71" t="n"/>
      <c r="BU53" s="71" t="n"/>
      <c r="BV53" s="71" t="n"/>
      <c r="BW53" s="71" t="n"/>
      <c r="BX53" s="71" t="n"/>
      <c r="BY53" s="71" t="n"/>
      <c r="BZ53" s="71" t="n"/>
      <c r="CA53" s="71" t="n"/>
      <c r="CB53" s="71" t="n"/>
      <c r="CC53" s="71" t="n"/>
      <c r="CD53" s="71" t="n"/>
      <c r="CE53" s="71" t="n"/>
      <c r="CF53" s="71" t="n"/>
      <c r="CG53" s="71" t="n"/>
      <c r="CH53" s="71" t="n"/>
      <c r="CI53" s="71" t="n"/>
    </row>
    <row r="54" ht="15.75" customHeight="1">
      <c r="A54" s="89" t="inlineStr">
        <is>
          <t>Activo Total</t>
        </is>
      </c>
      <c r="B54" s="90">
        <f>B33-B28</f>
        <v/>
      </c>
      <c r="C54" s="90">
        <f>C33-C28</f>
        <v/>
      </c>
      <c r="D54" s="90">
        <f>D33-D28</f>
        <v/>
      </c>
      <c r="E54" s="90">
        <f>E33-E28</f>
        <v/>
      </c>
      <c r="F54" s="90">
        <f>F33-F28</f>
        <v/>
      </c>
      <c r="G54" s="90">
        <f>G33-G28</f>
        <v/>
      </c>
      <c r="H54" s="90">
        <f>H33-H28</f>
        <v/>
      </c>
      <c r="I54" s="90">
        <f>I33-I28</f>
        <v/>
      </c>
      <c r="J54" s="90">
        <f>J33-J28</f>
        <v/>
      </c>
      <c r="K54" s="90">
        <f>K33-K28</f>
        <v/>
      </c>
      <c r="L54" s="90">
        <f>L33-L28</f>
        <v/>
      </c>
      <c r="M54" s="90">
        <f>M33-M28</f>
        <v/>
      </c>
      <c r="N54" s="90">
        <f>N33-N28</f>
        <v/>
      </c>
      <c r="O54" s="90">
        <f>O33-O28</f>
        <v/>
      </c>
      <c r="P54" s="90">
        <f>P33-P28</f>
        <v/>
      </c>
      <c r="Q54" s="90">
        <f>Q33-Q28</f>
        <v/>
      </c>
      <c r="R54" s="90">
        <f>R33-R28</f>
        <v/>
      </c>
      <c r="S54" s="90">
        <f>S33-S28</f>
        <v/>
      </c>
      <c r="T54" s="90">
        <f>T33-T28</f>
        <v/>
      </c>
      <c r="U54" s="90">
        <f>U33-U28</f>
        <v/>
      </c>
      <c r="V54" s="90">
        <f>V33-V28</f>
        <v/>
      </c>
      <c r="W54" s="90">
        <f>W33-W28</f>
        <v/>
      </c>
      <c r="X54" s="90">
        <f>X33-X28</f>
        <v/>
      </c>
      <c r="Y54" s="90">
        <f>Y33-Y28</f>
        <v/>
      </c>
      <c r="Z54" s="90">
        <f>Z33-Z28</f>
        <v/>
      </c>
      <c r="AB54" s="119">
        <f>AB53-Y72</f>
        <v/>
      </c>
      <c r="AD54" s="119" t="n"/>
      <c r="AE54" s="119" t="n"/>
      <c r="AF54" s="119" t="n"/>
      <c r="AG54" s="119" t="n"/>
      <c r="AH54" s="119" t="n"/>
      <c r="AI54" s="119" t="n"/>
      <c r="AJ54" s="119" t="n"/>
      <c r="AK54" s="119" t="n"/>
      <c r="AL54" s="119" t="n"/>
      <c r="AM54" s="119" t="n"/>
      <c r="AN54" s="119" t="n"/>
      <c r="AO54" s="119" t="n"/>
      <c r="AP54" s="119" t="n"/>
      <c r="AQ54" s="119" t="n"/>
      <c r="AR54" s="119" t="n"/>
      <c r="AS54" s="119" t="n"/>
      <c r="AT54" s="119" t="n"/>
      <c r="AU54" s="119" t="n"/>
      <c r="AV54" s="119" t="n"/>
      <c r="AW54" s="119" t="n"/>
      <c r="AX54" s="119" t="n"/>
      <c r="AY54" s="119" t="n"/>
      <c r="AZ54" s="119" t="n"/>
      <c r="BA54" s="119" t="n"/>
      <c r="BB54" s="119" t="n"/>
      <c r="BC54" s="119" t="n"/>
      <c r="BD54" s="119" t="n"/>
      <c r="BE54" s="119" t="n"/>
      <c r="BF54" s="119" t="n"/>
      <c r="BG54" s="119" t="n"/>
      <c r="BH54" s="119" t="n"/>
      <c r="BI54" s="119" t="n"/>
      <c r="BJ54" s="119" t="n"/>
      <c r="BK54" s="119" t="n"/>
      <c r="BL54" s="119" t="n"/>
      <c r="BM54" s="119" t="n"/>
      <c r="BN54" s="119" t="n"/>
      <c r="BO54" s="119" t="n"/>
      <c r="BP54" s="119" t="n"/>
      <c r="BQ54" s="119" t="n"/>
      <c r="BR54" s="119" t="n"/>
      <c r="BS54" s="119" t="n"/>
      <c r="BT54" s="119" t="n"/>
      <c r="BU54" s="119" t="n"/>
      <c r="BV54" s="119" t="n"/>
      <c r="BW54" s="119" t="n"/>
      <c r="BX54" s="119" t="n"/>
      <c r="BY54" s="119" t="n"/>
      <c r="BZ54" s="119" t="n"/>
      <c r="CA54" s="119" t="n"/>
      <c r="CB54" s="119" t="n"/>
      <c r="CC54" s="119" t="n"/>
      <c r="CD54" s="119" t="n"/>
      <c r="CE54" s="119" t="n"/>
      <c r="CF54" s="119" t="n"/>
      <c r="CG54" s="119" t="n"/>
      <c r="CH54" s="119" t="n"/>
      <c r="CI54" s="119" t="n"/>
    </row>
    <row r="55" ht="15.75" customHeight="1">
      <c r="A55" s="89" t="inlineStr">
        <is>
          <t>Capital Contable Ajustado</t>
        </is>
      </c>
      <c r="B55" s="90">
        <f>B50-B28</f>
        <v/>
      </c>
      <c r="C55" s="90">
        <f>C50-C28</f>
        <v/>
      </c>
      <c r="D55" s="90">
        <f>D50-D28</f>
        <v/>
      </c>
      <c r="E55" s="90">
        <f>E50-E28</f>
        <v/>
      </c>
      <c r="F55" s="90">
        <f>F50-F28</f>
        <v/>
      </c>
      <c r="G55" s="90">
        <f>G50-G28</f>
        <v/>
      </c>
      <c r="H55" s="90">
        <f>H50-H28</f>
        <v/>
      </c>
      <c r="I55" s="90">
        <f>I50-I28</f>
        <v/>
      </c>
      <c r="J55" s="90">
        <f>J50-J28</f>
        <v/>
      </c>
      <c r="K55" s="90">
        <f>K50-K28</f>
        <v/>
      </c>
      <c r="L55" s="90">
        <f>L50-L28</f>
        <v/>
      </c>
      <c r="M55" s="90">
        <f>M50-M28</f>
        <v/>
      </c>
      <c r="N55" s="90">
        <f>N50-N28</f>
        <v/>
      </c>
      <c r="O55" s="90">
        <f>O50-O28</f>
        <v/>
      </c>
      <c r="P55" s="90">
        <f>P50-P28</f>
        <v/>
      </c>
      <c r="Q55" s="90">
        <f>Q50-Q28</f>
        <v/>
      </c>
      <c r="R55" s="90">
        <f>R50-R28</f>
        <v/>
      </c>
      <c r="S55" s="90">
        <f>S50-S28</f>
        <v/>
      </c>
      <c r="T55" s="90">
        <f>T50-T28</f>
        <v/>
      </c>
      <c r="U55" s="90">
        <f>U50-U28</f>
        <v/>
      </c>
      <c r="V55" s="90">
        <f>V50-V28</f>
        <v/>
      </c>
      <c r="W55" s="90">
        <f>W50-W28</f>
        <v/>
      </c>
      <c r="X55" s="90">
        <f>X50-X28</f>
        <v/>
      </c>
      <c r="Y55" s="90">
        <f>Y50-Y28</f>
        <v/>
      </c>
      <c r="Z55" s="90">
        <f>Z50-Z28</f>
        <v/>
      </c>
    </row>
    <row r="56" ht="15.75" customHeight="1">
      <c r="A56" s="89" t="n"/>
      <c r="B56" s="90" t="n"/>
      <c r="C56" s="90" t="n"/>
      <c r="D56" s="90" t="n"/>
      <c r="E56" s="90" t="n"/>
      <c r="F56" s="90" t="n"/>
      <c r="G56" s="90" t="n"/>
      <c r="H56" s="90" t="n"/>
      <c r="I56" s="90" t="n"/>
      <c r="J56" s="90" t="n"/>
      <c r="K56" s="90" t="n"/>
      <c r="L56" s="90" t="n"/>
    </row>
    <row r="57" ht="15.75" customHeight="1">
      <c r="A57" s="89" t="inlineStr">
        <is>
          <t>Índice de Apalancamiento (CNBV)</t>
        </is>
      </c>
      <c r="B57" s="143">
        <f>B42/B55</f>
        <v/>
      </c>
      <c r="C57" s="143">
        <f>C42/C55</f>
        <v/>
      </c>
      <c r="D57" s="143">
        <f>D42/D55</f>
        <v/>
      </c>
      <c r="E57" s="143">
        <f>E42/E55</f>
        <v/>
      </c>
      <c r="F57" s="143">
        <f>F42/F55</f>
        <v/>
      </c>
      <c r="G57" s="143">
        <f>G42/G55</f>
        <v/>
      </c>
      <c r="H57" s="143">
        <f>H42/H55</f>
        <v/>
      </c>
      <c r="I57" s="143">
        <f>I42/I55</f>
        <v/>
      </c>
      <c r="J57" s="143">
        <f>J42/J55</f>
        <v/>
      </c>
      <c r="K57" s="143">
        <f>K42/K55</f>
        <v/>
      </c>
      <c r="L57" s="143">
        <f>L42/L55</f>
        <v/>
      </c>
      <c r="M57" s="143">
        <f>M42/M55</f>
        <v/>
      </c>
      <c r="N57" s="143">
        <f>N42/N55</f>
        <v/>
      </c>
      <c r="O57" s="143">
        <f>O42/O55</f>
        <v/>
      </c>
      <c r="P57" s="143">
        <f>P42/P55</f>
        <v/>
      </c>
      <c r="Q57" s="143">
        <f>Q42/Q55</f>
        <v/>
      </c>
      <c r="R57" s="143">
        <f>R42/R55</f>
        <v/>
      </c>
      <c r="S57" s="143">
        <f>S42/S55</f>
        <v/>
      </c>
      <c r="T57" s="143">
        <f>T42/T55</f>
        <v/>
      </c>
      <c r="U57" s="143">
        <f>U42/U55</f>
        <v/>
      </c>
      <c r="V57" s="143">
        <f>V42/V55</f>
        <v/>
      </c>
      <c r="W57" s="143">
        <f>W42/W55</f>
        <v/>
      </c>
      <c r="X57" s="143">
        <f>X42/X55</f>
        <v/>
      </c>
      <c r="Y57" s="143">
        <f>Y42/Y55</f>
        <v/>
      </c>
      <c r="Z57" s="143">
        <f>Z42/Z55</f>
        <v/>
      </c>
      <c r="AA57" s="143" t="n"/>
    </row>
    <row r="58" ht="15.75" customHeight="1">
      <c r="A58" s="89" t="inlineStr">
        <is>
          <t>Índice de Apalancamiento Ajustado</t>
        </is>
      </c>
      <c r="B58" s="144">
        <f>B42/B26</f>
        <v/>
      </c>
      <c r="C58" s="144">
        <f>C42/C26</f>
        <v/>
      </c>
      <c r="D58" s="144">
        <f>D42/D26</f>
        <v/>
      </c>
      <c r="E58" s="144">
        <f>E42/E26</f>
        <v/>
      </c>
      <c r="F58" s="144">
        <f>F42/F26</f>
        <v/>
      </c>
      <c r="G58" s="144">
        <f>G42/G26</f>
        <v/>
      </c>
      <c r="H58" s="144">
        <f>H42/H26</f>
        <v/>
      </c>
      <c r="I58" s="144">
        <f>I42/I26</f>
        <v/>
      </c>
      <c r="J58" s="144">
        <f>J42/J26</f>
        <v/>
      </c>
      <c r="K58" s="144">
        <f>K42/K26</f>
        <v/>
      </c>
      <c r="L58" s="144">
        <f>L42/L26</f>
        <v/>
      </c>
      <c r="M58" s="144">
        <f>M42/M26</f>
        <v/>
      </c>
      <c r="N58" s="144">
        <f>N42/N26</f>
        <v/>
      </c>
      <c r="O58" s="144">
        <f>O42/O26</f>
        <v/>
      </c>
      <c r="P58" s="144">
        <f>P42/P26</f>
        <v/>
      </c>
      <c r="Q58" s="144">
        <f>Q42/Q26</f>
        <v/>
      </c>
      <c r="R58" s="144">
        <f>R42/R26</f>
        <v/>
      </c>
      <c r="S58" s="144">
        <f>S42/S26</f>
        <v/>
      </c>
      <c r="T58" s="144">
        <f>T42/T26</f>
        <v/>
      </c>
      <c r="U58" s="144">
        <f>U42/U26</f>
        <v/>
      </c>
      <c r="V58" s="144">
        <f>V42/V26</f>
        <v/>
      </c>
      <c r="W58" s="144">
        <f>W42/W26</f>
        <v/>
      </c>
      <c r="X58" s="144">
        <f>X42/X26</f>
        <v/>
      </c>
      <c r="Y58" s="144">
        <f>Y42/Y26</f>
        <v/>
      </c>
      <c r="Z58" s="144">
        <f>Z42/Z26</f>
        <v/>
      </c>
      <c r="AA58" s="144" t="n"/>
    </row>
    <row r="59" ht="15.75" customHeight="1">
      <c r="A59" s="89" t="inlineStr">
        <is>
          <t>Apalancamiento Oso</t>
        </is>
      </c>
      <c r="B59" s="144" t="n"/>
      <c r="C59" s="144" t="n"/>
      <c r="D59" s="144" t="n"/>
      <c r="E59" s="144" t="n"/>
      <c r="F59" s="144" t="n"/>
      <c r="G59" s="144" t="n"/>
      <c r="H59" s="144" t="n"/>
      <c r="I59" s="144" t="n"/>
      <c r="J59" s="144" t="n"/>
      <c r="K59" s="144" t="n"/>
      <c r="L59" s="144" t="n"/>
      <c r="M59" s="144">
        <f>(M35+M36-M25)/(M26+M27)</f>
        <v/>
      </c>
      <c r="N59" s="144">
        <f>(N35+N36-N25)/(N26+N27)</f>
        <v/>
      </c>
      <c r="O59" s="144">
        <f>(O35+O36-O25)/(O26+O27)</f>
        <v/>
      </c>
      <c r="P59" s="144">
        <f>(P35+P36-P25)/(P26+P27)</f>
        <v/>
      </c>
      <c r="Q59" s="144">
        <f>(Q35+Q36-Q25)/(Q26+Q27)</f>
        <v/>
      </c>
      <c r="R59" s="144">
        <f>(R35+R36-R25)/(R26+R27)</f>
        <v/>
      </c>
      <c r="S59" s="144">
        <f>(S35+S36-S25)/(S26+S27)</f>
        <v/>
      </c>
      <c r="T59" s="144">
        <f>(T35+T36-T25)/(T26+T27)</f>
        <v/>
      </c>
      <c r="U59" s="144">
        <f>(U35+U36-U25)/(U26+U27)</f>
        <v/>
      </c>
      <c r="V59" s="144">
        <f>(V35+V36-V25)/(V26+V27)</f>
        <v/>
      </c>
      <c r="W59" s="144">
        <f>(W35+W36-W25)/(W26+W27)</f>
        <v/>
      </c>
      <c r="X59" s="144">
        <f>(X35+X36-X25)/(X26+X27)</f>
        <v/>
      </c>
      <c r="Y59" s="144">
        <f>(Y35+Y36-Y25)/(Y26+Y27)</f>
        <v/>
      </c>
      <c r="Z59" s="144">
        <f>(Z35+Z36-Z25)/(Z26+Z27)</f>
        <v/>
      </c>
      <c r="AA59" s="144" t="n"/>
    </row>
    <row r="60" ht="15.75" customHeight="1">
      <c r="A60" s="89" t="inlineStr">
        <is>
          <t>Índice de Capitalización</t>
        </is>
      </c>
      <c r="B60" s="144">
        <f>B55/B54</f>
        <v/>
      </c>
      <c r="C60" s="144">
        <f>C55/C54</f>
        <v/>
      </c>
      <c r="D60" s="144">
        <f>D55/D54</f>
        <v/>
      </c>
      <c r="E60" s="144">
        <f>E55/E54</f>
        <v/>
      </c>
      <c r="F60" s="144">
        <f>F55/F54</f>
        <v/>
      </c>
      <c r="G60" s="144">
        <f>G55/G54</f>
        <v/>
      </c>
      <c r="H60" s="144">
        <f>H55/H54</f>
        <v/>
      </c>
      <c r="I60" s="144">
        <f>I55/I54</f>
        <v/>
      </c>
      <c r="J60" s="144">
        <f>J55/J54</f>
        <v/>
      </c>
      <c r="K60" s="144">
        <f>K55/K54</f>
        <v/>
      </c>
      <c r="L60" s="144">
        <f>L55/L54</f>
        <v/>
      </c>
      <c r="M60" s="144">
        <f>M55/M54</f>
        <v/>
      </c>
      <c r="N60" s="144">
        <f>N55/N54</f>
        <v/>
      </c>
      <c r="O60" s="144">
        <f>O55/O54</f>
        <v/>
      </c>
      <c r="P60" s="144">
        <f>P55/P54</f>
        <v/>
      </c>
      <c r="Q60" s="144">
        <f>Q55/Q54</f>
        <v/>
      </c>
      <c r="R60" s="144">
        <f>R55/R54</f>
        <v/>
      </c>
      <c r="S60" s="144">
        <f>S55/S54</f>
        <v/>
      </c>
      <c r="T60" s="144">
        <f>T55/T54</f>
        <v/>
      </c>
      <c r="U60" s="144">
        <f>U55/U54</f>
        <v/>
      </c>
      <c r="V60" s="144">
        <f>V55/V54</f>
        <v/>
      </c>
      <c r="W60" s="144">
        <f>W55/W54</f>
        <v/>
      </c>
      <c r="X60" s="144">
        <f>X55/X54</f>
        <v/>
      </c>
      <c r="Y60" s="144">
        <f>Y55/Y54</f>
        <v/>
      </c>
      <c r="Z60" s="144">
        <f>Z55/Z54</f>
        <v/>
      </c>
      <c r="AA60" s="144" t="n"/>
    </row>
    <row r="61" ht="15.75" customHeight="1">
      <c r="A61" s="89" t="inlineStr">
        <is>
          <t>Índice de Rendimiento</t>
        </is>
      </c>
      <c r="B61" s="144" t="n"/>
      <c r="C61" s="144" t="n"/>
      <c r="D61" s="144" t="n"/>
      <c r="E61" s="144" t="n"/>
      <c r="F61" s="144" t="n"/>
      <c r="G61" s="144" t="n"/>
      <c r="H61" s="144" t="n"/>
      <c r="I61" s="144" t="n"/>
      <c r="J61" s="144" t="n"/>
      <c r="K61" s="144" t="n"/>
      <c r="L61" s="145">
        <f>(SUM(A2:L2)+SUM(A6:L6))/L73</f>
        <v/>
      </c>
      <c r="M61" s="145">
        <f>(SUM(B2:M2)+SUM(B6:M6))/M73</f>
        <v/>
      </c>
      <c r="N61" s="145">
        <f>(SUM(C2:N2)+SUM(C6:N6))/N73</f>
        <v/>
      </c>
      <c r="O61" s="145">
        <f>(SUM(D2:O2)+SUM(D6:O6))/O73</f>
        <v/>
      </c>
      <c r="P61" s="145">
        <f>(SUM(E2:P2)+SUM(E6:P6))/P73</f>
        <v/>
      </c>
      <c r="Q61" s="145">
        <f>(SUM(F2:Q2)+SUM(F6:Q6))/Q73</f>
        <v/>
      </c>
      <c r="R61" s="145">
        <f>(SUM(G2:R2)+SUM(G6:R6))/R73</f>
        <v/>
      </c>
      <c r="S61" s="145">
        <f>(SUM(H2:S2)+SUM(H6:S6))/S73</f>
        <v/>
      </c>
      <c r="T61" s="145">
        <f>(SUM(I2:T2)+SUM(I6:T6))/T73</f>
        <v/>
      </c>
      <c r="U61" s="145">
        <f>(SUM(J2:U2)+SUM(J6:U6))/U73</f>
        <v/>
      </c>
      <c r="V61" s="145">
        <f>(SUM(K2:V2)+SUM(K6:V6))/V73</f>
        <v/>
      </c>
      <c r="W61" s="145">
        <f>(SUM(L2:W2)+SUM(L6:W6))/W73</f>
        <v/>
      </c>
      <c r="X61" s="145">
        <f>(SUM(M2:X2)+SUM(M6:X6))/X73</f>
        <v/>
      </c>
      <c r="Y61" s="145">
        <f>(SUM(N2:Y2)+SUM(N6:Y6))/Y73</f>
        <v/>
      </c>
      <c r="Z61" s="145">
        <f>(SUM(O2:Z2)+SUM(O6:Z6))/Z73</f>
        <v/>
      </c>
      <c r="AA61" s="144" t="n"/>
    </row>
    <row r="62" ht="15.75" customHeight="1">
      <c r="A62" s="89" t="inlineStr">
        <is>
          <t>Índice de Rentabilidad</t>
        </is>
      </c>
      <c r="B62" s="144" t="n"/>
      <c r="C62" s="144" t="n"/>
      <c r="D62" s="144" t="n"/>
      <c r="E62" s="144" t="n"/>
      <c r="F62" s="144" t="n"/>
      <c r="G62" s="144" t="n"/>
      <c r="H62" s="144" t="n"/>
      <c r="I62" s="144" t="n"/>
      <c r="J62" s="144" t="n"/>
      <c r="K62" s="144" t="n"/>
      <c r="L62" s="144">
        <f>(SUM(A13:L13))/L73</f>
        <v/>
      </c>
      <c r="M62" s="144">
        <f>(SUM(B13:M13))/M73</f>
        <v/>
      </c>
      <c r="N62" s="144">
        <f>(SUM(C13:N13))/N73</f>
        <v/>
      </c>
      <c r="O62" s="144">
        <f>(SUM(D13:O13))/O73</f>
        <v/>
      </c>
      <c r="P62" s="144">
        <f>(SUM(E13:P13))/P73</f>
        <v/>
      </c>
      <c r="Q62" s="144">
        <f>(SUM(F13:Q13))/Q73</f>
        <v/>
      </c>
      <c r="R62" s="144">
        <f>(SUM(G13:R13))/R73</f>
        <v/>
      </c>
      <c r="S62" s="144">
        <f>(SUM(H13:S13))/S73</f>
        <v/>
      </c>
      <c r="T62" s="144">
        <f>(SUM(I13:T13))/T73</f>
        <v/>
      </c>
      <c r="U62" s="144">
        <f>(SUM(J13:U13))/U73</f>
        <v/>
      </c>
      <c r="V62" s="144">
        <f>(SUM(K13:V13))/V73</f>
        <v/>
      </c>
      <c r="W62" s="144">
        <f>(SUM(L13:W13))/W73</f>
        <v/>
      </c>
      <c r="X62" s="144">
        <f>(SUM(M13:X13))/X73</f>
        <v/>
      </c>
      <c r="Y62" s="144" t="inlineStr">
        <is>
          <t>&gt;</t>
        </is>
      </c>
      <c r="Z62" s="144">
        <f>Z13/Z73</f>
        <v/>
      </c>
      <c r="AA62" s="144" t="n"/>
    </row>
    <row r="63" ht="15.75" customHeight="1"/>
    <row r="64" ht="15.75" customHeight="1">
      <c r="A64" s="89" t="inlineStr">
        <is>
          <t>Tasa Activa</t>
        </is>
      </c>
      <c r="L64" s="146">
        <f>(((L6))/L26)+L20</f>
        <v/>
      </c>
      <c r="M64" s="146">
        <f>(((M6)*12)/M26)+M20</f>
        <v/>
      </c>
      <c r="N64" s="146">
        <f>(((N6)*12)/N26)+N20</f>
        <v/>
      </c>
      <c r="O64" s="146">
        <f>(((O6)*12)/O26)+O20</f>
        <v/>
      </c>
      <c r="P64" s="146">
        <f>(((P6)*12)/P26)+P20</f>
        <v/>
      </c>
      <c r="Q64" s="146">
        <f>(((Q6)*12)/Q26)+Q20</f>
        <v/>
      </c>
      <c r="R64" s="146">
        <f>(((R6)*12)/R26)+R20</f>
        <v/>
      </c>
      <c r="S64" s="146">
        <f>(((S6)*12)/S26)+S20</f>
        <v/>
      </c>
      <c r="T64" s="146">
        <f>(((T6)*12)/T26)+T20</f>
        <v/>
      </c>
      <c r="U64" s="146">
        <f>(((U6)*12)/U26)+U20</f>
        <v/>
      </c>
      <c r="V64" s="146">
        <f>(((V6)*12)/V26)+V20</f>
        <v/>
      </c>
      <c r="W64" s="146">
        <f>(((W6)*12)/W26)+W20</f>
        <v/>
      </c>
      <c r="X64" s="146">
        <f>(((X6)*12)/X26)+X20</f>
        <v/>
      </c>
      <c r="Y64" s="147">
        <f>(((Y6)*12)/Y26)+Y20</f>
        <v/>
      </c>
      <c r="Z64" s="146">
        <f>(((Z6)*12)/Z26)+Z20</f>
        <v/>
      </c>
      <c r="AA64" s="146" t="n"/>
    </row>
    <row r="65" ht="15.75" customHeight="1">
      <c r="A65" s="89" t="inlineStr">
        <is>
          <t>Tasa Pasiva</t>
        </is>
      </c>
      <c r="L65" s="111">
        <f>-((L8))/(L35+L36)</f>
        <v/>
      </c>
      <c r="M65" s="111">
        <f>-((M8)*12)/(M35+M36)</f>
        <v/>
      </c>
      <c r="N65" s="111">
        <f>-((N8)*12)/(N35+N36)</f>
        <v/>
      </c>
      <c r="O65" s="111">
        <f>-((O8)*12)/(O35+O36)</f>
        <v/>
      </c>
      <c r="P65" s="111">
        <f>-((P8)*12)/(P35+P36)</f>
        <v/>
      </c>
      <c r="Q65" s="111">
        <f>-((Q8)*12)/(Q35+Q36)</f>
        <v/>
      </c>
      <c r="R65" s="111">
        <f>-((R8)*12)/(R35+R36)</f>
        <v/>
      </c>
      <c r="S65" s="111">
        <f>-((S8)*12)/(S35+S36)</f>
        <v/>
      </c>
      <c r="T65" s="111">
        <f>-((T8)*12)/(T35+T36)</f>
        <v/>
      </c>
      <c r="U65" s="111">
        <f>-((U8)*12)/(U35+U36)</f>
        <v/>
      </c>
      <c r="V65" s="111">
        <f>-((V3)*12)/(V35+V36)</f>
        <v/>
      </c>
      <c r="W65" s="111">
        <f>-((W3)*12)/(W35+W36)</f>
        <v/>
      </c>
      <c r="X65" s="111">
        <f>-((X3)*12)/(X35+X36)</f>
        <v/>
      </c>
      <c r="Y65" s="111">
        <f>-((Y3)*12)/(Y35+Y36)</f>
        <v/>
      </c>
      <c r="Z65" s="111">
        <f>-((Z3)*12)/(Z35+Z36)</f>
        <v/>
      </c>
      <c r="AA65" s="111" t="n"/>
    </row>
    <row r="66" ht="15.75" customHeight="1"/>
    <row r="67" ht="15.75" customHeight="1">
      <c r="A67" s="71" t="inlineStr">
        <is>
          <t>Monto Originado 16 Meses</t>
        </is>
      </c>
      <c r="B67" s="90" t="n"/>
      <c r="L67" s="119" t="n">
        <v>89555941.71999998</v>
      </c>
      <c r="N67" s="119" t="n">
        <v>93410014</v>
      </c>
      <c r="O67" s="119" t="n">
        <v>103972448</v>
      </c>
      <c r="P67" s="119" t="n">
        <v>108185067</v>
      </c>
      <c r="Q67" s="119" t="n">
        <v>115121760</v>
      </c>
      <c r="R67" s="119" t="n">
        <v>120654788</v>
      </c>
      <c r="S67" s="119" t="n">
        <v>126121513</v>
      </c>
      <c r="T67" s="148" t="n">
        <v>123607290</v>
      </c>
      <c r="U67" s="119" t="n">
        <v>119792326</v>
      </c>
      <c r="V67" s="262" t="n">
        <v>138785251</v>
      </c>
      <c r="W67" s="262" t="n">
        <v>134990514</v>
      </c>
      <c r="X67" s="262" t="n">
        <v>125321850</v>
      </c>
      <c r="Y67" s="262" t="n">
        <v>118738388</v>
      </c>
      <c r="Z67" s="262" t="n">
        <v>119489195</v>
      </c>
      <c r="AA67" s="262" t="n"/>
    </row>
    <row r="68" ht="15.75" customHeight="1">
      <c r="A68" s="71" t="inlineStr">
        <is>
          <t>Saldo Vencido 16 Meses</t>
        </is>
      </c>
      <c r="B68" s="90" t="n"/>
      <c r="L68" s="119" t="n">
        <v>4634468.57</v>
      </c>
      <c r="N68" s="119" t="n">
        <v>3620615.25</v>
      </c>
      <c r="O68" s="119" t="n">
        <v>3950723.8</v>
      </c>
      <c r="P68" s="119" t="n">
        <v>2666354.01</v>
      </c>
      <c r="Q68" s="119" t="n">
        <v>8186639.569999999</v>
      </c>
      <c r="R68" s="119" t="n">
        <v>8930882.139999997</v>
      </c>
      <c r="S68" s="119" t="n">
        <v>12476127.81</v>
      </c>
      <c r="T68" s="119" t="n">
        <v>13829800.1</v>
      </c>
      <c r="U68" s="119" t="n">
        <v>15831567.47</v>
      </c>
      <c r="V68" s="262" t="n">
        <v>16170808.42</v>
      </c>
      <c r="W68" s="262" t="n">
        <v>14734137.82</v>
      </c>
      <c r="X68" s="262" t="n">
        <v>9542620.470000001</v>
      </c>
      <c r="Y68" s="262" t="n">
        <v>8046442.239999999</v>
      </c>
      <c r="Z68" s="262" t="n">
        <v>8046442.239999999</v>
      </c>
      <c r="AA68" s="262" t="n"/>
    </row>
    <row r="69" ht="15.75" customHeight="1">
      <c r="A69" s="89" t="inlineStr">
        <is>
          <t>IMOR 16 Meses</t>
        </is>
      </c>
      <c r="B69" s="150" t="n"/>
      <c r="C69" s="89" t="n"/>
      <c r="D69" s="89" t="n"/>
      <c r="E69" s="89" t="n"/>
      <c r="F69" s="89" t="n"/>
      <c r="G69" s="89" t="n"/>
      <c r="H69" s="89" t="n"/>
      <c r="I69" s="89" t="n"/>
      <c r="J69" s="89" t="n"/>
      <c r="K69" s="89" t="n"/>
      <c r="L69" s="150">
        <f>L68/L67</f>
        <v/>
      </c>
      <c r="M69" s="89" t="n"/>
      <c r="N69" s="150">
        <f>N68/N67</f>
        <v/>
      </c>
      <c r="O69" s="150">
        <f>O68/O67</f>
        <v/>
      </c>
      <c r="P69" s="150">
        <f>P68/P67</f>
        <v/>
      </c>
      <c r="Q69" s="150">
        <f>Q68/Q67</f>
        <v/>
      </c>
      <c r="R69" s="150">
        <f>R68/R67</f>
        <v/>
      </c>
      <c r="S69" s="150">
        <f>S68/S67</f>
        <v/>
      </c>
      <c r="T69" s="150">
        <f>T68/T67</f>
        <v/>
      </c>
      <c r="U69" s="150">
        <f>U68/U67</f>
        <v/>
      </c>
      <c r="V69" s="150">
        <f>V68/V67</f>
        <v/>
      </c>
      <c r="W69" s="150">
        <f>W68/W67</f>
        <v/>
      </c>
      <c r="X69" s="150">
        <f>X68/X67</f>
        <v/>
      </c>
      <c r="Y69" s="150">
        <f>Y68/Y67</f>
        <v/>
      </c>
      <c r="Z69" s="150">
        <f>Z68/Z67</f>
        <v/>
      </c>
      <c r="AA69" s="150" t="n"/>
      <c r="AB69" s="89" t="n"/>
      <c r="AD69" s="89" t="n"/>
      <c r="AE69" s="89" t="n"/>
      <c r="AF69" s="89" t="n"/>
      <c r="AG69" s="89" t="n"/>
      <c r="AH69" s="89" t="n"/>
      <c r="AI69" s="89" t="n"/>
      <c r="AJ69" s="89" t="n"/>
      <c r="AK69" s="89" t="n"/>
      <c r="AL69" s="89" t="n"/>
      <c r="AM69" s="89" t="n"/>
      <c r="AN69" s="89" t="n"/>
      <c r="AO69" s="89" t="n"/>
      <c r="AP69" s="89" t="n"/>
      <c r="AQ69" s="89" t="n"/>
      <c r="AR69" s="89" t="n"/>
      <c r="AS69" s="89" t="n"/>
      <c r="AT69" s="89" t="n"/>
      <c r="AU69" s="89" t="n"/>
      <c r="AV69" s="89" t="n"/>
      <c r="AW69" s="89" t="n"/>
      <c r="AX69" s="89" t="n"/>
      <c r="AY69" s="89" t="n"/>
      <c r="AZ69" s="89" t="n"/>
      <c r="BA69" s="89" t="n"/>
      <c r="BB69" s="89" t="n"/>
      <c r="BC69" s="89" t="n"/>
      <c r="BD69" s="89" t="n"/>
      <c r="BE69" s="89" t="n"/>
      <c r="BF69" s="89" t="n"/>
      <c r="BG69" s="89" t="n"/>
      <c r="BH69" s="89" t="n"/>
      <c r="BI69" s="89" t="n"/>
      <c r="BJ69" s="89" t="n"/>
      <c r="BK69" s="89" t="n"/>
      <c r="BL69" s="89" t="n"/>
      <c r="BM69" s="89" t="n"/>
      <c r="BN69" s="89" t="n"/>
      <c r="BO69" s="89" t="n"/>
      <c r="BP69" s="89" t="n"/>
      <c r="BQ69" s="89" t="n"/>
      <c r="BR69" s="89" t="n"/>
      <c r="BS69" s="89" t="n"/>
      <c r="BT69" s="89" t="n"/>
      <c r="BU69" s="89" t="n"/>
      <c r="BV69" s="89" t="n"/>
      <c r="BW69" s="89" t="n"/>
      <c r="BX69" s="89" t="n"/>
      <c r="BY69" s="89" t="n"/>
      <c r="BZ69" s="89" t="n"/>
      <c r="CA69" s="89" t="n"/>
      <c r="CB69" s="89" t="n"/>
      <c r="CC69" s="89" t="n"/>
      <c r="CD69" s="89" t="n"/>
      <c r="CE69" s="89" t="n"/>
      <c r="CF69" s="89" t="n"/>
      <c r="CG69" s="89" t="n"/>
      <c r="CH69" s="89" t="n"/>
      <c r="CI69" s="89" t="n"/>
    </row>
    <row r="70" ht="15.75" customHeight="1"/>
    <row r="71" ht="15.75" customHeight="1">
      <c r="A71" s="71" t="inlineStr">
        <is>
          <t>Saldo Insoluto</t>
        </is>
      </c>
      <c r="B71" s="90" t="n"/>
      <c r="L71" s="119" t="n">
        <v>158674030.8900001</v>
      </c>
      <c r="M71" s="263" t="n">
        <v>162820727.98</v>
      </c>
      <c r="N71" s="119" t="n">
        <v>166967425.0600002</v>
      </c>
      <c r="O71" s="119" t="n">
        <v>179694254.2500002</v>
      </c>
      <c r="P71" s="119" t="n">
        <v>191325325.11</v>
      </c>
      <c r="Q71" s="119" t="n">
        <v>194739941.1799997</v>
      </c>
      <c r="R71" s="119" t="n">
        <v>202249462.9300002</v>
      </c>
      <c r="S71" s="119" t="n">
        <v>206120570.4800003</v>
      </c>
      <c r="T71" s="119" t="n">
        <v>205729956.9300002</v>
      </c>
      <c r="U71" s="119" t="n">
        <v>203264566.9599997</v>
      </c>
      <c r="V71" s="119" t="n">
        <v>206607668.3099997</v>
      </c>
      <c r="W71" s="119" t="n">
        <v>203607857.6199996</v>
      </c>
      <c r="X71" s="119" t="n">
        <v>199173187.8</v>
      </c>
      <c r="Y71" s="119" t="n">
        <v>194893294.6299998</v>
      </c>
      <c r="Z71" s="119" t="n">
        <v>192854185.6100001</v>
      </c>
      <c r="AA71" s="119" t="n"/>
    </row>
    <row r="72" ht="15.75" customHeight="1">
      <c r="A72" s="71" t="inlineStr">
        <is>
          <t>Vencido +36 Meses</t>
        </is>
      </c>
      <c r="B72" s="90" t="n"/>
      <c r="L72" s="119" t="n">
        <v>14845487.16</v>
      </c>
      <c r="M72" s="263" t="n">
        <v>15426273.35</v>
      </c>
      <c r="N72" s="119" t="n">
        <v>16007059.54</v>
      </c>
      <c r="O72" s="119" t="n">
        <v>15987656.79</v>
      </c>
      <c r="P72" s="119" t="n">
        <v>16048343.13</v>
      </c>
      <c r="Q72" s="119" t="n">
        <v>16145588</v>
      </c>
      <c r="R72" s="119" t="n">
        <v>16288856.08</v>
      </c>
      <c r="S72" s="119" t="n">
        <v>15769208.81</v>
      </c>
      <c r="T72" s="119" t="n">
        <v>15597864.5</v>
      </c>
      <c r="U72" s="119" t="n">
        <v>15751740.7</v>
      </c>
      <c r="V72" s="119" t="n">
        <v>14737138.05</v>
      </c>
      <c r="W72" s="119" t="n">
        <v>15489199.6</v>
      </c>
      <c r="X72" s="119" t="n">
        <v>17589326.14</v>
      </c>
      <c r="Y72" s="119" t="n">
        <v>17677598.79</v>
      </c>
      <c r="Z72" s="119" t="n">
        <v>17761137.3</v>
      </c>
      <c r="AA72" s="119" t="n"/>
    </row>
    <row r="73" ht="15.75" customHeight="1">
      <c r="A73" s="89" t="inlineStr">
        <is>
          <t>Valor del Portafolio</t>
        </is>
      </c>
      <c r="B73" s="152" t="n"/>
      <c r="C73" s="89" t="n"/>
      <c r="D73" s="89" t="n"/>
      <c r="E73" s="89" t="n"/>
      <c r="F73" s="89" t="n"/>
      <c r="G73" s="89" t="n"/>
      <c r="H73" s="89" t="n"/>
      <c r="I73" s="89" t="n"/>
      <c r="J73" s="89" t="n"/>
      <c r="K73" s="89" t="n"/>
      <c r="L73" s="153">
        <f>L71-L72</f>
        <v/>
      </c>
      <c r="M73" s="153">
        <f>M71-M72</f>
        <v/>
      </c>
      <c r="N73" s="153">
        <f>N71-N72</f>
        <v/>
      </c>
      <c r="O73" s="153">
        <f>O71-O72</f>
        <v/>
      </c>
      <c r="P73" s="153">
        <f>P71-P72</f>
        <v/>
      </c>
      <c r="Q73" s="153">
        <f>Q71-Q72</f>
        <v/>
      </c>
      <c r="R73" s="153">
        <f>R71-R72</f>
        <v/>
      </c>
      <c r="S73" s="153">
        <f>S71-S72</f>
        <v/>
      </c>
      <c r="T73" s="153">
        <f>T71-T72</f>
        <v/>
      </c>
      <c r="U73" s="153">
        <f>U71-U72</f>
        <v/>
      </c>
      <c r="V73" s="153">
        <f>V71-V72</f>
        <v/>
      </c>
      <c r="W73" s="153">
        <f>W71-W72</f>
        <v/>
      </c>
      <c r="X73" s="153">
        <f>X71-X72</f>
        <v/>
      </c>
      <c r="Y73" s="153">
        <f>Y71-Y72</f>
        <v/>
      </c>
      <c r="Z73" s="153">
        <f>Z71-Z72</f>
        <v/>
      </c>
      <c r="AA73" s="153" t="n"/>
      <c r="AB73" s="89" t="n"/>
      <c r="AD73" s="89" t="n"/>
      <c r="AE73" s="89" t="n"/>
      <c r="AF73" s="89" t="n"/>
      <c r="AG73" s="89" t="n"/>
      <c r="AH73" s="89" t="n"/>
      <c r="AI73" s="89" t="n"/>
      <c r="AJ73" s="89" t="n"/>
      <c r="AK73" s="89" t="n"/>
      <c r="AL73" s="89" t="n"/>
      <c r="AM73" s="89" t="n"/>
      <c r="AN73" s="89" t="n"/>
      <c r="AO73" s="89" t="n"/>
      <c r="AP73" s="89" t="n"/>
      <c r="AQ73" s="89" t="n"/>
      <c r="AR73" s="89" t="n"/>
      <c r="AS73" s="89" t="n"/>
      <c r="AT73" s="89" t="n"/>
      <c r="AU73" s="89" t="n"/>
      <c r="AV73" s="89" t="n"/>
      <c r="AW73" s="89" t="n"/>
      <c r="AX73" s="89" t="n"/>
      <c r="AY73" s="89" t="n"/>
      <c r="AZ73" s="89" t="n"/>
      <c r="BA73" s="89" t="n"/>
      <c r="BB73" s="89" t="n"/>
      <c r="BC73" s="89" t="n"/>
      <c r="BD73" s="89" t="n"/>
      <c r="BE73" s="89" t="n"/>
      <c r="BF73" s="89" t="n"/>
      <c r="BG73" s="89" t="n"/>
      <c r="BH73" s="89" t="n"/>
      <c r="BI73" s="89" t="n"/>
      <c r="BJ73" s="89" t="n"/>
      <c r="BK73" s="89" t="n"/>
      <c r="BL73" s="89" t="n"/>
      <c r="BM73" s="89" t="n"/>
      <c r="BN73" s="89" t="n"/>
      <c r="BO73" s="89" t="n"/>
      <c r="BP73" s="89" t="n"/>
      <c r="BQ73" s="89" t="n"/>
      <c r="BR73" s="89" t="n"/>
      <c r="BS73" s="89" t="n"/>
      <c r="BT73" s="89" t="n"/>
      <c r="BU73" s="89" t="n"/>
      <c r="BV73" s="89" t="n"/>
      <c r="BW73" s="89" t="n"/>
      <c r="BX73" s="89" t="n"/>
      <c r="BY73" s="89" t="n"/>
      <c r="BZ73" s="89" t="n"/>
      <c r="CA73" s="89" t="n"/>
      <c r="CB73" s="89" t="n"/>
      <c r="CC73" s="89" t="n"/>
      <c r="CD73" s="89" t="n"/>
      <c r="CE73" s="89" t="n"/>
      <c r="CF73" s="89" t="n"/>
      <c r="CG73" s="89" t="n"/>
      <c r="CH73" s="89" t="n"/>
      <c r="CI73" s="89" t="n"/>
    </row>
    <row r="74" ht="15.75" customHeight="1">
      <c r="AA74" s="119" t="n"/>
      <c r="AB74" s="111" t="n"/>
      <c r="AD74" s="111" t="n"/>
      <c r="AE74" s="111" t="n"/>
      <c r="AF74" s="111" t="n"/>
      <c r="AG74" s="111" t="n"/>
      <c r="AH74" s="111" t="n"/>
      <c r="AI74" s="111" t="n"/>
      <c r="AJ74" s="111" t="n"/>
      <c r="AK74" s="111" t="n"/>
      <c r="AL74" s="111" t="n"/>
      <c r="AM74" s="111" t="n"/>
      <c r="AN74" s="111" t="n"/>
      <c r="AO74" s="111" t="n"/>
      <c r="AP74" s="111" t="n"/>
      <c r="AQ74" s="111" t="n"/>
      <c r="AR74" s="111" t="n"/>
      <c r="AS74" s="111" t="n"/>
      <c r="AT74" s="111" t="n"/>
      <c r="AU74" s="111" t="n"/>
      <c r="AV74" s="111" t="n"/>
      <c r="AW74" s="111" t="n"/>
      <c r="AX74" s="111" t="n"/>
      <c r="AY74" s="111" t="n"/>
      <c r="AZ74" s="111" t="n"/>
      <c r="BA74" s="111" t="n"/>
      <c r="BB74" s="111" t="n"/>
      <c r="BC74" s="111" t="n"/>
      <c r="BD74" s="111" t="n"/>
      <c r="BE74" s="111" t="n"/>
      <c r="BF74" s="111" t="n"/>
      <c r="BG74" s="111" t="n"/>
      <c r="BH74" s="111" t="n"/>
      <c r="BI74" s="111" t="n"/>
      <c r="BJ74" s="111" t="n"/>
      <c r="BK74" s="111" t="n"/>
      <c r="BL74" s="111" t="n"/>
      <c r="BM74" s="111" t="n"/>
      <c r="BN74" s="111" t="n"/>
      <c r="BO74" s="111" t="n"/>
      <c r="BP74" s="111" t="n"/>
      <c r="BQ74" s="111" t="n"/>
      <c r="BR74" s="111" t="n"/>
      <c r="BS74" s="111" t="n"/>
      <c r="BT74" s="111" t="n"/>
      <c r="BU74" s="111" t="n"/>
      <c r="BV74" s="111" t="n"/>
      <c r="BW74" s="111" t="n"/>
      <c r="BX74" s="111" t="n"/>
      <c r="BY74" s="111" t="n"/>
      <c r="BZ74" s="111" t="n"/>
      <c r="CA74" s="111" t="n"/>
      <c r="CB74" s="111" t="n"/>
      <c r="CC74" s="111" t="n"/>
      <c r="CD74" s="111" t="n"/>
      <c r="CE74" s="111" t="n"/>
      <c r="CF74" s="111" t="n"/>
      <c r="CG74" s="111" t="n"/>
      <c r="CH74" s="111" t="n"/>
      <c r="CI74" s="111" t="n"/>
    </row>
    <row r="75" ht="15.75" customHeight="1">
      <c r="A75" s="71" t="inlineStr">
        <is>
          <t>Vencido -36 Meses</t>
        </is>
      </c>
      <c r="B75" s="90" t="n"/>
      <c r="L75" s="119" t="n">
        <v>13450833.6</v>
      </c>
      <c r="N75" s="119" t="n">
        <v>15244089.16</v>
      </c>
      <c r="O75" s="119" t="n">
        <v>18519737.45999999</v>
      </c>
      <c r="P75" s="119" t="n">
        <v>17304485.04</v>
      </c>
      <c r="Q75" s="119" t="n">
        <v>23097241.49000001</v>
      </c>
      <c r="R75" s="119" t="n">
        <v>24800094.86</v>
      </c>
      <c r="S75" s="119" t="n">
        <v>28370436.33999999</v>
      </c>
      <c r="T75" s="119" t="n">
        <v>30137088.80999999</v>
      </c>
      <c r="U75" s="119" t="n">
        <v>32207708.72</v>
      </c>
      <c r="V75" s="262" t="n">
        <v>32815647.79</v>
      </c>
      <c r="W75" s="262" t="n">
        <v>29712387.24</v>
      </c>
      <c r="X75" s="262" t="n">
        <v>29235457.51</v>
      </c>
      <c r="Y75" s="262" t="n">
        <v>29432300.33999999</v>
      </c>
      <c r="Z75" s="262" t="n">
        <v>28408233.07999999</v>
      </c>
      <c r="AA75" s="262" t="n"/>
    </row>
    <row r="76" ht="15.75" customHeight="1">
      <c r="A76" s="71" t="inlineStr">
        <is>
          <t>Atrasado - 36 meses</t>
        </is>
      </c>
      <c r="B76" s="90" t="n"/>
      <c r="L76" s="119" t="n">
        <v>4982049.459999999</v>
      </c>
      <c r="N76" s="119" t="n">
        <v>18297544.19</v>
      </c>
      <c r="O76" s="119" t="n">
        <v>22634464.65</v>
      </c>
      <c r="P76" s="119" t="n">
        <v>13816953.41999999</v>
      </c>
      <c r="Q76" s="119" t="n">
        <v>8481049.219999999</v>
      </c>
      <c r="R76" s="119" t="n">
        <v>19066745.92</v>
      </c>
      <c r="S76" s="119" t="n">
        <v>17517028.67</v>
      </c>
      <c r="T76" s="119" t="n">
        <v>11052483.27</v>
      </c>
      <c r="U76" s="119" t="n">
        <v>27349982.73000001</v>
      </c>
      <c r="V76" s="262" t="n">
        <v>2776085.03</v>
      </c>
      <c r="W76" s="262" t="n">
        <v>18114125.3</v>
      </c>
      <c r="X76" s="262" t="n">
        <v>3787273.87</v>
      </c>
      <c r="Y76" s="262" t="n">
        <v>3655728.7</v>
      </c>
      <c r="Z76" s="262" t="n">
        <v>6054453.33</v>
      </c>
      <c r="AA76" s="262" t="n"/>
    </row>
    <row r="77" ht="15.75" customHeight="1"/>
    <row r="78" ht="15.75" customHeight="1">
      <c r="A78" s="89" t="inlineStr">
        <is>
          <t>Índice de Cartera Vencida</t>
        </is>
      </c>
      <c r="B78" s="150" t="n"/>
      <c r="C78" s="89" t="n"/>
      <c r="D78" s="89" t="n"/>
      <c r="E78" s="89" t="n"/>
      <c r="F78" s="89" t="n"/>
      <c r="G78" s="89" t="n"/>
      <c r="H78" s="89" t="n"/>
      <c r="I78" s="89" t="n"/>
      <c r="J78" s="89" t="n"/>
      <c r="K78" s="89" t="n"/>
      <c r="L78" s="150">
        <f>L75/L73</f>
        <v/>
      </c>
      <c r="M78" s="89" t="n"/>
      <c r="N78" s="150">
        <f>N75/N73</f>
        <v/>
      </c>
      <c r="O78" s="150">
        <f>O75/O73</f>
        <v/>
      </c>
      <c r="P78" s="150">
        <f>P75/P73</f>
        <v/>
      </c>
      <c r="Q78" s="150">
        <f>Q75/Q73</f>
        <v/>
      </c>
      <c r="R78" s="150">
        <f>R75/R73</f>
        <v/>
      </c>
      <c r="S78" s="150">
        <f>S75/S73</f>
        <v/>
      </c>
      <c r="T78" s="150">
        <f>T75/T73</f>
        <v/>
      </c>
      <c r="U78" s="150">
        <f>U75/U73</f>
        <v/>
      </c>
      <c r="V78" s="150">
        <f>V75/V73</f>
        <v/>
      </c>
      <c r="W78" s="150">
        <f>W75/W73</f>
        <v/>
      </c>
      <c r="X78" s="150">
        <f>X75/X73</f>
        <v/>
      </c>
      <c r="Y78" s="150">
        <f>Y75/Y73</f>
        <v/>
      </c>
      <c r="Z78" s="150">
        <f>Z75/Z73</f>
        <v/>
      </c>
      <c r="AA78" s="150" t="n"/>
      <c r="AB78" s="89" t="n"/>
      <c r="AD78" s="89" t="n"/>
      <c r="AE78" s="89" t="n"/>
      <c r="AF78" s="89" t="n"/>
      <c r="AG78" s="89" t="n"/>
      <c r="AH78" s="89" t="n"/>
      <c r="AI78" s="89" t="n"/>
      <c r="AJ78" s="89" t="n"/>
      <c r="AK78" s="89" t="n"/>
      <c r="AL78" s="89" t="n"/>
      <c r="AM78" s="89" t="n"/>
      <c r="AN78" s="89" t="n"/>
      <c r="AO78" s="89" t="n"/>
      <c r="AP78" s="89" t="n"/>
      <c r="AQ78" s="89" t="n"/>
      <c r="AR78" s="89" t="n"/>
      <c r="AS78" s="89" t="n"/>
      <c r="AT78" s="89" t="n"/>
      <c r="AU78" s="89" t="n"/>
      <c r="AV78" s="89" t="n"/>
      <c r="AW78" s="89" t="n"/>
      <c r="AX78" s="89" t="n"/>
      <c r="AY78" s="89" t="n"/>
      <c r="AZ78" s="89" t="n"/>
      <c r="BA78" s="89" t="n"/>
      <c r="BB78" s="89" t="n"/>
      <c r="BC78" s="89" t="n"/>
      <c r="BD78" s="89" t="n"/>
      <c r="BE78" s="89" t="n"/>
      <c r="BF78" s="89" t="n"/>
      <c r="BG78" s="89" t="n"/>
      <c r="BH78" s="89" t="n"/>
      <c r="BI78" s="89" t="n"/>
      <c r="BJ78" s="89" t="n"/>
      <c r="BK78" s="89" t="n"/>
      <c r="BL78" s="89" t="n"/>
      <c r="BM78" s="89" t="n"/>
      <c r="BN78" s="89" t="n"/>
      <c r="BO78" s="89" t="n"/>
      <c r="BP78" s="89" t="n"/>
      <c r="BQ78" s="89" t="n"/>
      <c r="BR78" s="89" t="n"/>
      <c r="BS78" s="89" t="n"/>
      <c r="BT78" s="89" t="n"/>
      <c r="BU78" s="89" t="n"/>
      <c r="BV78" s="89" t="n"/>
      <c r="BW78" s="89" t="n"/>
      <c r="BX78" s="89" t="n"/>
      <c r="BY78" s="89" t="n"/>
      <c r="BZ78" s="89" t="n"/>
      <c r="CA78" s="89" t="n"/>
      <c r="CB78" s="89" t="n"/>
      <c r="CC78" s="89" t="n"/>
      <c r="CD78" s="89" t="n"/>
      <c r="CE78" s="89" t="n"/>
      <c r="CF78" s="89" t="n"/>
      <c r="CG78" s="89" t="n"/>
      <c r="CH78" s="89" t="n"/>
      <c r="CI78" s="89" t="n"/>
    </row>
    <row r="79" ht="15.75" customHeight="1">
      <c r="A79" s="89" t="inlineStr">
        <is>
          <t>Índice de Cartera Atrasada</t>
        </is>
      </c>
      <c r="B79" s="150" t="n"/>
      <c r="C79" s="89" t="n"/>
      <c r="D79" s="89" t="n"/>
      <c r="E79" s="89" t="n"/>
      <c r="F79" s="89" t="n"/>
      <c r="G79" s="89" t="n"/>
      <c r="H79" s="89" t="n"/>
      <c r="I79" s="89" t="n"/>
      <c r="J79" s="89" t="n"/>
      <c r="K79" s="89" t="n"/>
      <c r="L79" s="150">
        <f>L76/L73</f>
        <v/>
      </c>
      <c r="M79" s="89" t="n"/>
      <c r="N79" s="150">
        <f>N76/N73</f>
        <v/>
      </c>
      <c r="O79" s="150">
        <f>O76/O73</f>
        <v/>
      </c>
      <c r="P79" s="150">
        <f>P76/P73</f>
        <v/>
      </c>
      <c r="Q79" s="150">
        <f>Q76/Q73</f>
        <v/>
      </c>
      <c r="R79" s="150">
        <f>R76/R73</f>
        <v/>
      </c>
      <c r="S79" s="150">
        <f>S76/S73</f>
        <v/>
      </c>
      <c r="T79" s="150">
        <f>T76/T73</f>
        <v/>
      </c>
      <c r="U79" s="150">
        <f>U76/U73</f>
        <v/>
      </c>
      <c r="V79" s="150">
        <f>V76/V73</f>
        <v/>
      </c>
      <c r="W79" s="150">
        <f>W76/W73</f>
        <v/>
      </c>
      <c r="X79" s="150">
        <f>X76/X73</f>
        <v/>
      </c>
      <c r="Y79" s="150">
        <f>Y76/Y73</f>
        <v/>
      </c>
      <c r="Z79" s="150">
        <f>Z76/Z73</f>
        <v/>
      </c>
      <c r="AA79" s="150" t="n"/>
      <c r="AB79" s="89" t="n"/>
      <c r="AD79" s="89" t="n"/>
      <c r="AE79" s="89" t="n"/>
      <c r="AF79" s="89" t="n"/>
      <c r="AG79" s="89" t="n"/>
      <c r="AH79" s="89" t="n"/>
      <c r="AI79" s="89" t="n"/>
      <c r="AJ79" s="89" t="n"/>
      <c r="AK79" s="89" t="n"/>
      <c r="AL79" s="89" t="n"/>
      <c r="AM79" s="89" t="n"/>
      <c r="AN79" s="89" t="n"/>
      <c r="AO79" s="89" t="n"/>
      <c r="AP79" s="89" t="n"/>
      <c r="AQ79" s="89" t="n"/>
      <c r="AR79" s="89" t="n"/>
      <c r="AS79" s="89" t="n"/>
      <c r="AT79" s="89" t="n"/>
      <c r="AU79" s="89" t="n"/>
      <c r="AV79" s="89" t="n"/>
      <c r="AW79" s="89" t="n"/>
      <c r="AX79" s="89" t="n"/>
      <c r="AY79" s="89" t="n"/>
      <c r="AZ79" s="89" t="n"/>
      <c r="BA79" s="89" t="n"/>
      <c r="BB79" s="89" t="n"/>
      <c r="BC79" s="89" t="n"/>
      <c r="BD79" s="89" t="n"/>
      <c r="BE79" s="89" t="n"/>
      <c r="BF79" s="89" t="n"/>
      <c r="BG79" s="89" t="n"/>
      <c r="BH79" s="89" t="n"/>
      <c r="BI79" s="89" t="n"/>
      <c r="BJ79" s="89" t="n"/>
      <c r="BK79" s="89" t="n"/>
      <c r="BL79" s="89" t="n"/>
      <c r="BM79" s="89" t="n"/>
      <c r="BN79" s="89" t="n"/>
      <c r="BO79" s="89" t="n"/>
      <c r="BP79" s="89" t="n"/>
      <c r="BQ79" s="89" t="n"/>
      <c r="BR79" s="89" t="n"/>
      <c r="BS79" s="89" t="n"/>
      <c r="BT79" s="89" t="n"/>
      <c r="BU79" s="89" t="n"/>
      <c r="BV79" s="89" t="n"/>
      <c r="BW79" s="89" t="n"/>
      <c r="BX79" s="89" t="n"/>
      <c r="BY79" s="89" t="n"/>
      <c r="BZ79" s="89" t="n"/>
      <c r="CA79" s="89" t="n"/>
      <c r="CB79" s="89" t="n"/>
      <c r="CC79" s="89" t="n"/>
      <c r="CD79" s="89" t="n"/>
      <c r="CE79" s="89" t="n"/>
      <c r="CF79" s="89" t="n"/>
      <c r="CG79" s="89" t="n"/>
      <c r="CH79" s="89" t="n"/>
      <c r="CI79" s="89" t="n"/>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scale="100" fitToHeight="1" fitToWidth="1" firstPageNumber="1" useFirstPageNumber="1" horizontalDpi="4294967295" verticalDpi="4294967295" copies="1"/>
  <legacyDrawing xmlns:r="http://schemas.openxmlformats.org/officeDocument/2006/relationships" r:id="anysvml"/>
</worksheet>
</file>

<file path=xl/worksheets/sheet7.xml><?xml version="1.0" encoding="utf-8"?>
<worksheet xmlns="http://schemas.openxmlformats.org/spreadsheetml/2006/main">
  <sheetPr>
    <tabColor rgb="FFD0D0D0"/>
    <outlinePr summaryBelow="1" summaryRight="1"/>
    <pageSetUpPr/>
  </sheetPr>
  <dimension ref="A1:FA1000"/>
  <sheetViews>
    <sheetView zoomScale="100" zoomScaleNormal="100" workbookViewId="0">
      <pane xSplit="1" ySplit="1" topLeftCell="CH2" activePane="bottomRight" state="frozen"/>
      <selection pane="bottomRight" activeCell="B2" sqref="B2"/>
    </sheetView>
  </sheetViews>
  <sheetFormatPr baseColWidth="8" defaultColWidth="12.6640625" defaultRowHeight="15" outlineLevelRow="1" outlineLevelCol="0"/>
  <cols>
    <col width="41.5" customWidth="1" min="1" max="1"/>
    <col hidden="1" width="9.6640625" customWidth="1" min="2" max="7"/>
    <col hidden="1" width="11.1640625" customWidth="1" min="8" max="24"/>
    <col hidden="1" width="12.1640625" customWidth="1" min="25" max="71"/>
    <col hidden="1" width="13.1640625" customWidth="1" min="72" max="85"/>
    <col width="13.1640625" customWidth="1" min="86" max="95"/>
    <col width="15.6640625" customWidth="1" min="96" max="96"/>
    <col width="13.1640625" customWidth="1" min="97" max="108"/>
    <col width="12.1640625" customWidth="1" min="109" max="118"/>
    <col width="13.33203125" customWidth="1" min="119" max="119"/>
    <col width="12.1640625" customWidth="1" min="120" max="141"/>
    <col width="13.33203125" customWidth="1" min="142" max="144"/>
    <col width="12.1640625" customWidth="1" min="145" max="148"/>
    <col width="13.1640625" customWidth="1" min="149" max="149"/>
    <col width="12.1640625" customWidth="1" min="150" max="154"/>
    <col width="13.33203125" customWidth="1" min="155" max="155"/>
    <col width="12.1640625" customWidth="1" min="156" max="157"/>
  </cols>
  <sheetData>
    <row r="1">
      <c r="B1" s="154" t="n">
        <v>42736</v>
      </c>
      <c r="C1" s="154" t="n">
        <v>42767</v>
      </c>
      <c r="D1" s="154" t="n">
        <v>42795</v>
      </c>
      <c r="E1" s="154" t="n">
        <v>42826</v>
      </c>
      <c r="F1" s="154" t="n">
        <v>42856</v>
      </c>
      <c r="G1" s="154" t="n">
        <v>42887</v>
      </c>
      <c r="H1" s="154" t="n">
        <v>42917</v>
      </c>
      <c r="I1" s="154" t="n">
        <v>42948</v>
      </c>
      <c r="J1" s="154" t="n">
        <v>42979</v>
      </c>
      <c r="K1" s="154" t="n">
        <v>43009</v>
      </c>
      <c r="L1" s="154" t="n">
        <v>43040</v>
      </c>
      <c r="M1" s="154" t="n">
        <v>43070</v>
      </c>
      <c r="N1" s="154" t="n">
        <v>43101</v>
      </c>
      <c r="O1" s="154" t="n">
        <v>43132</v>
      </c>
      <c r="P1" s="154" t="n">
        <v>43160</v>
      </c>
      <c r="Q1" s="154" t="n">
        <v>43191</v>
      </c>
      <c r="R1" s="154" t="n">
        <v>43221</v>
      </c>
      <c r="S1" s="154" t="n">
        <v>43252</v>
      </c>
      <c r="T1" s="154" t="n">
        <v>43282</v>
      </c>
      <c r="U1" s="154" t="n">
        <v>43313</v>
      </c>
      <c r="V1" s="154" t="n">
        <v>43344</v>
      </c>
      <c r="W1" s="154" t="n">
        <v>43374</v>
      </c>
      <c r="X1" s="154" t="n">
        <v>43405</v>
      </c>
      <c r="Y1" s="154" t="n">
        <v>43435</v>
      </c>
      <c r="Z1" s="154" t="n">
        <v>43466</v>
      </c>
      <c r="AA1" s="154" t="n">
        <v>43497</v>
      </c>
      <c r="AB1" s="154" t="n">
        <v>43525</v>
      </c>
      <c r="AC1" s="154" t="n">
        <v>43556</v>
      </c>
      <c r="AD1" s="154" t="n">
        <v>43586</v>
      </c>
      <c r="AE1" s="154" t="n">
        <v>43617</v>
      </c>
      <c r="AF1" s="154" t="n">
        <v>43647</v>
      </c>
      <c r="AG1" s="154" t="n">
        <v>43678</v>
      </c>
      <c r="AH1" s="154" t="n">
        <v>43709</v>
      </c>
      <c r="AI1" s="154" t="n">
        <v>43739</v>
      </c>
      <c r="AJ1" s="154" t="n">
        <v>43770</v>
      </c>
      <c r="AK1" s="154" t="n">
        <v>43800</v>
      </c>
      <c r="AL1" s="154" t="n">
        <v>43831</v>
      </c>
      <c r="AM1" s="154" t="n">
        <v>43862</v>
      </c>
      <c r="AN1" s="154" t="n">
        <v>43891</v>
      </c>
      <c r="AO1" s="154" t="n">
        <v>43922</v>
      </c>
      <c r="AP1" s="154" t="n">
        <v>43952</v>
      </c>
      <c r="AQ1" s="154" t="n">
        <v>43983</v>
      </c>
      <c r="AR1" s="154" t="n">
        <v>44013</v>
      </c>
      <c r="AS1" s="154" t="n">
        <v>44044</v>
      </c>
      <c r="AT1" s="154" t="n">
        <v>44075</v>
      </c>
      <c r="AU1" s="154" t="n">
        <v>44105</v>
      </c>
      <c r="AV1" s="154" t="n">
        <v>44136</v>
      </c>
      <c r="AW1" s="154" t="n">
        <v>44166</v>
      </c>
      <c r="AX1" s="154" t="n">
        <v>44197</v>
      </c>
      <c r="AY1" s="154" t="n">
        <v>44228</v>
      </c>
      <c r="AZ1" s="154" t="n">
        <v>44256</v>
      </c>
      <c r="BA1" s="154" t="n">
        <v>44287</v>
      </c>
      <c r="BB1" s="154" t="n">
        <v>44317</v>
      </c>
      <c r="BC1" s="154" t="n">
        <v>44348</v>
      </c>
      <c r="BD1" s="154" t="n">
        <v>44378</v>
      </c>
      <c r="BE1" s="154" t="n">
        <v>44409</v>
      </c>
      <c r="BF1" s="154" t="n">
        <v>44440</v>
      </c>
      <c r="BG1" s="154" t="n">
        <v>44470</v>
      </c>
      <c r="BH1" s="154" t="n">
        <v>44501</v>
      </c>
      <c r="BI1" s="154" t="n">
        <v>44531</v>
      </c>
      <c r="BJ1" s="154" t="n">
        <v>44562</v>
      </c>
      <c r="BK1" s="154" t="n">
        <v>44593</v>
      </c>
      <c r="BL1" s="154" t="n">
        <v>44621</v>
      </c>
      <c r="BM1" s="154" t="n">
        <v>44652</v>
      </c>
      <c r="BN1" s="154" t="n">
        <v>44682</v>
      </c>
      <c r="BO1" s="154" t="n">
        <v>44713</v>
      </c>
      <c r="BP1" s="154" t="n">
        <v>44743</v>
      </c>
      <c r="BQ1" s="154" t="n">
        <v>44774</v>
      </c>
      <c r="BR1" s="154" t="n">
        <v>44805</v>
      </c>
      <c r="BS1" s="154" t="n">
        <v>44835</v>
      </c>
      <c r="BT1" s="154" t="n">
        <v>44866</v>
      </c>
      <c r="BU1" s="154" t="n">
        <v>44896</v>
      </c>
      <c r="BV1" s="154" t="n">
        <v>44927</v>
      </c>
      <c r="BW1" s="154" t="n">
        <v>44958</v>
      </c>
      <c r="BX1" s="154" t="n">
        <v>44986</v>
      </c>
      <c r="BY1" s="154" t="n">
        <v>45017</v>
      </c>
      <c r="BZ1" s="154" t="n">
        <v>45047</v>
      </c>
      <c r="CA1" s="154" t="n">
        <v>45078</v>
      </c>
      <c r="CB1" s="154" t="n">
        <v>45108</v>
      </c>
      <c r="CC1" s="154" t="n">
        <v>45139</v>
      </c>
      <c r="CD1" s="154" t="n">
        <v>45170</v>
      </c>
      <c r="CE1" s="154" t="n">
        <v>45200</v>
      </c>
      <c r="CF1" s="154" t="n">
        <v>45231</v>
      </c>
      <c r="CG1" s="154" t="n">
        <v>45261</v>
      </c>
      <c r="CH1" s="154" t="n">
        <v>45292</v>
      </c>
      <c r="CI1" s="154" t="n">
        <v>45323</v>
      </c>
      <c r="CJ1" s="154" t="n">
        <v>45352</v>
      </c>
      <c r="CK1" s="154" t="n">
        <v>45383</v>
      </c>
      <c r="CL1" s="154" t="n">
        <v>45413</v>
      </c>
      <c r="CM1" s="154" t="n">
        <v>45444</v>
      </c>
      <c r="CN1" s="154" t="n">
        <v>45474</v>
      </c>
      <c r="CO1" s="154" t="n">
        <v>45505</v>
      </c>
      <c r="CP1" s="154" t="n">
        <v>45536</v>
      </c>
      <c r="CQ1" s="155" t="n">
        <v>45566</v>
      </c>
      <c r="CR1" s="154" t="n">
        <v>45597</v>
      </c>
      <c r="CS1" s="154" t="n">
        <v>45627</v>
      </c>
      <c r="CT1" s="154" t="n">
        <v>45658</v>
      </c>
      <c r="CU1" s="154" t="n">
        <v>45689</v>
      </c>
      <c r="CV1" s="154" t="n">
        <v>45717</v>
      </c>
      <c r="CW1" s="154" t="n">
        <v>45748</v>
      </c>
      <c r="CX1" s="154" t="n">
        <v>45778</v>
      </c>
      <c r="CY1" s="154" t="n">
        <v>45809</v>
      </c>
      <c r="CZ1" s="154" t="n">
        <v>45839</v>
      </c>
      <c r="DA1" s="154" t="n">
        <v>45870</v>
      </c>
      <c r="DB1" s="154" t="n">
        <v>45901</v>
      </c>
      <c r="DC1" s="156" t="n">
        <v>45931</v>
      </c>
      <c r="DD1" s="154" t="n">
        <v>45962</v>
      </c>
      <c r="DE1" s="154" t="n">
        <v>45992</v>
      </c>
      <c r="DF1" s="154" t="n">
        <v>46023</v>
      </c>
      <c r="DG1" s="154" t="n">
        <v>46054</v>
      </c>
      <c r="DH1" s="154" t="n">
        <v>46082</v>
      </c>
      <c r="DI1" s="154" t="n">
        <v>46113</v>
      </c>
      <c r="DJ1" s="154" t="n">
        <v>46143</v>
      </c>
      <c r="DK1" s="154" t="n">
        <v>46174</v>
      </c>
      <c r="DL1" s="154" t="n">
        <v>46204</v>
      </c>
      <c r="DM1" s="154" t="n">
        <v>46235</v>
      </c>
      <c r="DN1" s="154" t="n">
        <v>46266</v>
      </c>
      <c r="DO1" s="154" t="n">
        <v>46296</v>
      </c>
      <c r="DP1" s="154" t="n">
        <v>46327</v>
      </c>
      <c r="DQ1" s="154" t="n">
        <v>46357</v>
      </c>
      <c r="DR1" s="154" t="n">
        <v>46388</v>
      </c>
      <c r="DS1" s="154" t="n">
        <v>46419</v>
      </c>
      <c r="DT1" s="154" t="n">
        <v>46447</v>
      </c>
      <c r="DU1" s="154" t="n">
        <v>46478</v>
      </c>
      <c r="DV1" s="154" t="n">
        <v>46508</v>
      </c>
      <c r="DW1" s="154" t="n">
        <v>46539</v>
      </c>
      <c r="DX1" s="154" t="n">
        <v>46569</v>
      </c>
      <c r="DY1" s="154" t="n">
        <v>46600</v>
      </c>
      <c r="DZ1" s="154" t="n">
        <v>46631</v>
      </c>
      <c r="EA1" s="154" t="n">
        <v>46661</v>
      </c>
      <c r="EB1" s="154" t="n">
        <v>46692</v>
      </c>
      <c r="EC1" s="154" t="n">
        <v>46722</v>
      </c>
      <c r="ED1" s="154" t="n">
        <v>46753</v>
      </c>
      <c r="EE1" s="154" t="n">
        <v>46784</v>
      </c>
      <c r="EF1" s="154" t="n">
        <v>46813</v>
      </c>
      <c r="EG1" s="154" t="n">
        <v>46844</v>
      </c>
      <c r="EH1" s="154" t="n">
        <v>46874</v>
      </c>
      <c r="EI1" s="154" t="n">
        <v>46905</v>
      </c>
      <c r="EJ1" s="154" t="n">
        <v>46935</v>
      </c>
      <c r="EK1" s="154" t="n">
        <v>46966</v>
      </c>
      <c r="EL1" s="154" t="n">
        <v>46997</v>
      </c>
      <c r="EM1" s="154" t="n">
        <v>47027</v>
      </c>
      <c r="EN1" s="154" t="n">
        <v>47058</v>
      </c>
      <c r="EO1" s="154" t="n">
        <v>47088</v>
      </c>
      <c r="EP1" s="154" t="n">
        <v>47119</v>
      </c>
      <c r="EQ1" s="154" t="n">
        <v>47150</v>
      </c>
      <c r="ER1" s="154" t="n">
        <v>47178</v>
      </c>
      <c r="ES1" s="154" t="n">
        <v>47209</v>
      </c>
      <c r="ET1" s="154" t="n">
        <v>47239</v>
      </c>
      <c r="EU1" s="154" t="n">
        <v>47270</v>
      </c>
      <c r="EV1" s="154" t="n">
        <v>47300</v>
      </c>
      <c r="EW1" s="154" t="n">
        <v>47331</v>
      </c>
      <c r="EX1" s="154" t="n">
        <v>47362</v>
      </c>
      <c r="EY1" s="154" t="n">
        <v>47392</v>
      </c>
      <c r="EZ1" s="154" t="n">
        <v>47423</v>
      </c>
      <c r="FA1" s="154" t="n">
        <v>47453</v>
      </c>
    </row>
    <row r="2">
      <c r="A2" s="89" t="inlineStr">
        <is>
          <t>Ingresos por Intereses</t>
        </is>
      </c>
      <c r="B2" s="152">
        <f>B52*B46/12</f>
        <v/>
      </c>
      <c r="C2" s="152">
        <f>C52*C46/12</f>
        <v/>
      </c>
      <c r="D2" s="152">
        <f>D52*D46/12</f>
        <v/>
      </c>
      <c r="E2" s="152">
        <f>E52*E46/12</f>
        <v/>
      </c>
      <c r="F2" s="152">
        <f>F52*F46/12</f>
        <v/>
      </c>
      <c r="G2" s="152">
        <f>G52*G46/12</f>
        <v/>
      </c>
      <c r="H2" s="152">
        <f>H52*H46/12</f>
        <v/>
      </c>
      <c r="I2" s="152">
        <f>I52*I46/12</f>
        <v/>
      </c>
      <c r="J2" s="152">
        <f>J52*J46/12</f>
        <v/>
      </c>
      <c r="K2" s="152">
        <f>K52*K46/12</f>
        <v/>
      </c>
      <c r="L2" s="152">
        <f>L52*L46/12</f>
        <v/>
      </c>
      <c r="M2" s="152">
        <f>M52*M46/12</f>
        <v/>
      </c>
      <c r="N2" s="152">
        <f>N52*N46/12</f>
        <v/>
      </c>
      <c r="O2" s="152">
        <f>O52*O46/12</f>
        <v/>
      </c>
      <c r="P2" s="152">
        <f>P52*P46/12</f>
        <v/>
      </c>
      <c r="Q2" s="152">
        <f>Q52*Q46/12</f>
        <v/>
      </c>
      <c r="R2" s="152">
        <f>R52*R46/12</f>
        <v/>
      </c>
      <c r="S2" s="152">
        <f>S52*S46/12</f>
        <v/>
      </c>
      <c r="T2" s="152">
        <f>T52*T46/12</f>
        <v/>
      </c>
      <c r="U2" s="152">
        <f>U52*U46/12</f>
        <v/>
      </c>
      <c r="V2" s="152">
        <f>V52*V46/12</f>
        <v/>
      </c>
      <c r="W2" s="152">
        <f>W52*W46/12</f>
        <v/>
      </c>
      <c r="X2" s="152">
        <f>X52*X46/12</f>
        <v/>
      </c>
      <c r="Y2" s="152">
        <f>Y52*Y46/12</f>
        <v/>
      </c>
      <c r="Z2" s="152">
        <f>Z52*Z46/12</f>
        <v/>
      </c>
      <c r="AA2" s="152">
        <f>AA52*AA46/12</f>
        <v/>
      </c>
      <c r="AB2" s="152">
        <f>AB52*AB46/12</f>
        <v/>
      </c>
      <c r="AC2" s="152">
        <f>AC52*AC46/12</f>
        <v/>
      </c>
      <c r="AD2" s="152">
        <f>AD52*AD46/12</f>
        <v/>
      </c>
      <c r="AE2" s="152">
        <f>AE52*AE46/12</f>
        <v/>
      </c>
      <c r="AF2" s="152">
        <f>AF52*AF46/12</f>
        <v/>
      </c>
      <c r="AG2" s="152">
        <f>AG52*AG46/12</f>
        <v/>
      </c>
      <c r="AH2" s="152">
        <f>AH52*AH46/12</f>
        <v/>
      </c>
      <c r="AI2" s="152">
        <f>AI52*AI46/12</f>
        <v/>
      </c>
      <c r="AJ2" s="152">
        <f>AJ52*AJ46/12</f>
        <v/>
      </c>
      <c r="AK2" s="152">
        <f>AK52*AK46/12</f>
        <v/>
      </c>
      <c r="AL2" s="152">
        <f>AL52*AL46/12</f>
        <v/>
      </c>
      <c r="AM2" s="152">
        <f>AM52*AM46/12</f>
        <v/>
      </c>
      <c r="AN2" s="152">
        <f>AN52*AN46/12</f>
        <v/>
      </c>
      <c r="AO2" s="152">
        <f>AO52*AO46/12</f>
        <v/>
      </c>
      <c r="AP2" s="152">
        <f>AP52*AP46/12</f>
        <v/>
      </c>
      <c r="AQ2" s="152">
        <f>AQ52*AQ46/12</f>
        <v/>
      </c>
      <c r="AR2" s="152">
        <f>AR52*AR46/12</f>
        <v/>
      </c>
      <c r="AS2" s="152">
        <f>AS52*AS46/12</f>
        <v/>
      </c>
      <c r="AT2" s="152">
        <f>AT52*AT46/12</f>
        <v/>
      </c>
      <c r="AU2" s="152">
        <f>AU52*AU46/12</f>
        <v/>
      </c>
      <c r="AV2" s="152">
        <f>AV52*AV46/12</f>
        <v/>
      </c>
      <c r="AW2" s="152">
        <f>AW52*AW46/12</f>
        <v/>
      </c>
      <c r="AX2" s="152">
        <f>AX52*AX46/12</f>
        <v/>
      </c>
      <c r="AY2" s="152">
        <f>AY52*AY46/12</f>
        <v/>
      </c>
      <c r="AZ2" s="152">
        <f>AZ52*AZ46/12</f>
        <v/>
      </c>
      <c r="BA2" s="152">
        <f>BA52*BA46/12</f>
        <v/>
      </c>
      <c r="BB2" s="152">
        <f>BB52*BB46/12</f>
        <v/>
      </c>
      <c r="BC2" s="152">
        <f>BC52*BC46/12</f>
        <v/>
      </c>
      <c r="BD2" s="152">
        <f>BD52*BD46/12</f>
        <v/>
      </c>
      <c r="BE2" s="152">
        <f>BE52*BE46/12</f>
        <v/>
      </c>
      <c r="BF2" s="152">
        <f>BF52*BF46/12</f>
        <v/>
      </c>
      <c r="BG2" s="152">
        <f>BG52*BG46/12</f>
        <v/>
      </c>
      <c r="BH2" s="152">
        <f>BH52*BH46/12</f>
        <v/>
      </c>
      <c r="BI2" s="152">
        <f>BI52*BI46/12</f>
        <v/>
      </c>
      <c r="BJ2" s="152">
        <f>BJ52*BJ46/12</f>
        <v/>
      </c>
      <c r="BK2" s="152">
        <f>BK52*BK46/12</f>
        <v/>
      </c>
      <c r="BL2" s="152">
        <f>BL52*BL46/12</f>
        <v/>
      </c>
      <c r="BM2" s="152">
        <f>BM52*BM46/12</f>
        <v/>
      </c>
      <c r="BN2" s="152">
        <f>BN52*BN46/12</f>
        <v/>
      </c>
      <c r="BO2" s="152">
        <f>BO52*BO46/12</f>
        <v/>
      </c>
      <c r="BP2" s="152">
        <f>BP52*BP46/12</f>
        <v/>
      </c>
      <c r="BQ2" s="152">
        <f>BQ52*BQ46/12</f>
        <v/>
      </c>
      <c r="BR2" s="152">
        <f>BR52*BR46/12</f>
        <v/>
      </c>
      <c r="BS2" s="152">
        <f>BS52*BS46/12</f>
        <v/>
      </c>
      <c r="BT2" s="152">
        <f>BT52*BT46/12</f>
        <v/>
      </c>
      <c r="BU2" s="152">
        <f>BU52*BU46/12</f>
        <v/>
      </c>
      <c r="BV2" s="152">
        <f>BV52*BV46/12</f>
        <v/>
      </c>
      <c r="BW2" s="152">
        <f>BW52*BW46/12</f>
        <v/>
      </c>
      <c r="BX2" s="152">
        <f>BX52*BX46/12</f>
        <v/>
      </c>
      <c r="BY2" s="152">
        <f>BY52*BY46/12</f>
        <v/>
      </c>
      <c r="BZ2" s="152">
        <f>BZ52*BZ46/12</f>
        <v/>
      </c>
      <c r="CA2" s="152">
        <f>CA52*CA46/12</f>
        <v/>
      </c>
      <c r="CB2" s="152">
        <f>CB52*CB46/12</f>
        <v/>
      </c>
      <c r="CC2" s="152">
        <f>CC52*CC46/12</f>
        <v/>
      </c>
      <c r="CD2" s="152">
        <f>CD52*CD46/12</f>
        <v/>
      </c>
      <c r="CE2" s="152">
        <f>CE52*CE46/12</f>
        <v/>
      </c>
      <c r="CF2" s="152">
        <f>CF52*CF46/12</f>
        <v/>
      </c>
      <c r="CG2" s="152">
        <f>CG52*CG46/12</f>
        <v/>
      </c>
      <c r="CH2" s="152" t="n">
        <v>17680.75290030772</v>
      </c>
      <c r="CI2" s="152" t="n">
        <v>17631.54700440228</v>
      </c>
      <c r="CJ2" s="152" t="n">
        <v>17771.45413621398</v>
      </c>
      <c r="CK2" s="152" t="n">
        <v>17390.61551546485</v>
      </c>
      <c r="CL2" s="152" t="n">
        <v>17744.96011684468</v>
      </c>
      <c r="CM2" s="152" t="n">
        <v>18224.77838881046</v>
      </c>
      <c r="CN2" s="152" t="n">
        <v>18220.48227010221</v>
      </c>
      <c r="CO2" s="152" t="n">
        <v>18457.06664647456</v>
      </c>
      <c r="CP2" s="152" t="n">
        <v>92383.1889253353</v>
      </c>
      <c r="CQ2" s="157" t="n">
        <v>97493.85688142978</v>
      </c>
      <c r="CR2" s="152" t="n">
        <v>370452.2420736084</v>
      </c>
      <c r="CS2" s="152" t="n">
        <v>370104.553396602</v>
      </c>
      <c r="CT2" s="152" t="n">
        <v>369788.2484909295</v>
      </c>
      <c r="CU2" s="152" t="n">
        <v>653527.0188129925</v>
      </c>
      <c r="CV2" s="152" t="n">
        <v>867596.469906956</v>
      </c>
      <c r="CW2" s="152" t="n">
        <v>1365097.466408907</v>
      </c>
      <c r="CX2" s="152" t="n">
        <v>1577717.737192593</v>
      </c>
      <c r="CY2" s="152" t="n">
        <v>1794483.544935457</v>
      </c>
      <c r="CZ2" s="152" t="n">
        <v>1797754.186853783</v>
      </c>
      <c r="DA2" s="152" t="n">
        <v>1802069.359031048</v>
      </c>
      <c r="DB2" s="152" t="n">
        <v>1800032.549752136</v>
      </c>
      <c r="DC2" s="158" t="n">
        <v>1803977.54009401</v>
      </c>
      <c r="DD2" s="152" t="n">
        <v>1808662.659278512</v>
      </c>
      <c r="DE2" s="152" t="n">
        <v>1813038.597716001</v>
      </c>
      <c r="DF2" s="152" t="n">
        <v>1815206.112393672</v>
      </c>
      <c r="DG2" s="152" t="n">
        <v>1820111.472975099</v>
      </c>
      <c r="DH2" s="152" t="n">
        <v>1824580.005027433</v>
      </c>
      <c r="DI2" s="152" t="n">
        <v>1831553.418102125</v>
      </c>
      <c r="DJ2" s="152" t="n">
        <v>1833679.078159023</v>
      </c>
      <c r="DK2" s="152" t="n">
        <v>1838117.858360142</v>
      </c>
      <c r="DL2" s="152" t="n">
        <v>1840940.26732015</v>
      </c>
      <c r="DM2" s="152" t="n">
        <v>1843972.634102936</v>
      </c>
      <c r="DN2" s="152" t="n">
        <v>1841067.703831166</v>
      </c>
      <c r="DO2" s="152" t="n">
        <v>1839090.288280749</v>
      </c>
      <c r="DP2" s="152" t="n">
        <v>1842276.609308271</v>
      </c>
      <c r="DQ2" s="152" t="n">
        <v>1845919.047156426</v>
      </c>
      <c r="DR2" s="152" t="n">
        <v>1852897.966021465</v>
      </c>
      <c r="DS2" s="152" t="n">
        <v>1855184.560683747</v>
      </c>
      <c r="DT2" s="152" t="n">
        <v>1859231.164013162</v>
      </c>
      <c r="DU2" s="152" t="n">
        <v>1858152.370083956</v>
      </c>
      <c r="DV2" s="152" t="n">
        <v>1856673.315564838</v>
      </c>
      <c r="DW2" s="152" t="n">
        <v>1861887.40327019</v>
      </c>
      <c r="DX2" s="152" t="n">
        <v>1865080.082594434</v>
      </c>
      <c r="DY2" s="152" t="n">
        <v>1869191.849467187</v>
      </c>
      <c r="DZ2" s="152" t="n">
        <v>1877368.907770911</v>
      </c>
      <c r="EA2" s="152" t="n">
        <v>1887346.944014468</v>
      </c>
      <c r="EB2" s="152" t="n">
        <v>1897349.078714757</v>
      </c>
      <c r="EC2" s="152" t="n">
        <v>1910809.501713272</v>
      </c>
      <c r="ED2" s="152" t="n">
        <v>1922911.026141116</v>
      </c>
      <c r="EE2" s="152" t="n">
        <v>1942155.93567213</v>
      </c>
      <c r="EF2" s="152" t="n">
        <v>1957542.71579434</v>
      </c>
      <c r="EG2" s="152" t="n">
        <v>1964199.131372834</v>
      </c>
      <c r="EH2" s="152" t="n">
        <v>1985114.470762081</v>
      </c>
      <c r="EI2" s="152" t="n">
        <v>2015466.570588946</v>
      </c>
      <c r="EJ2" s="152" t="n">
        <v>2028301.020338914</v>
      </c>
      <c r="EK2" s="152" t="n">
        <v>2022878.280535659</v>
      </c>
      <c r="EL2" s="152" t="n">
        <v>2051451.754541297</v>
      </c>
      <c r="EM2" s="152" t="n">
        <v>2068222.188283554</v>
      </c>
      <c r="EN2" s="152" t="n">
        <v>2101442.752658369</v>
      </c>
      <c r="EO2" s="152" t="n">
        <v>2078548.181136772</v>
      </c>
      <c r="EP2" s="152" t="n">
        <v>2118380.94969172</v>
      </c>
      <c r="EQ2" s="152" t="n">
        <v>2104254.17353751</v>
      </c>
      <c r="ER2" s="152" t="n">
        <v>2166687.617428623</v>
      </c>
      <c r="ES2" s="152" t="n">
        <v>2240644.218512139</v>
      </c>
      <c r="ET2" s="152" t="n">
        <v>2358818.575320515</v>
      </c>
      <c r="EU2" s="152" t="n">
        <v>2437515.667092049</v>
      </c>
      <c r="EV2" s="152" t="n">
        <v>2888535.185474011</v>
      </c>
      <c r="EW2" s="152" t="n">
        <v>3092187.338220214</v>
      </c>
      <c r="EX2" s="152" t="n">
        <v>3309111.630562428</v>
      </c>
      <c r="EY2" s="152" t="n">
        <v>0</v>
      </c>
      <c r="EZ2" s="152" t="n">
        <v>0</v>
      </c>
      <c r="FA2" s="152" t="n">
        <v>0</v>
      </c>
    </row>
    <row r="3">
      <c r="A3" s="89" t="n"/>
      <c r="CQ3" s="159" t="n"/>
      <c r="DC3" s="160" t="n"/>
    </row>
    <row r="4">
      <c r="A4" s="161" t="inlineStr">
        <is>
          <t>Comisiones de Apertura y Preoriginación</t>
        </is>
      </c>
      <c r="B4" s="90">
        <f>#REF!</f>
        <v/>
      </c>
      <c r="C4" s="90">
        <f>#REF!</f>
        <v/>
      </c>
      <c r="D4" s="90">
        <f>#REF!</f>
        <v/>
      </c>
      <c r="E4" s="90">
        <f>#REF!</f>
        <v/>
      </c>
      <c r="F4" s="90">
        <f>#REF!</f>
        <v/>
      </c>
      <c r="G4" s="90">
        <f>#REF!</f>
        <v/>
      </c>
      <c r="H4" s="90">
        <f>#REF!</f>
        <v/>
      </c>
      <c r="I4" s="90">
        <f>#REF!</f>
        <v/>
      </c>
      <c r="J4" s="90">
        <f>#REF!</f>
        <v/>
      </c>
      <c r="K4" s="90">
        <f>#REF!</f>
        <v/>
      </c>
      <c r="L4" s="90">
        <f>#REF!</f>
        <v/>
      </c>
      <c r="M4" s="90">
        <f>#REF!</f>
        <v/>
      </c>
      <c r="N4" s="90">
        <f>#REF!</f>
        <v/>
      </c>
      <c r="O4" s="90">
        <f>#REF!</f>
        <v/>
      </c>
      <c r="P4" s="90">
        <f>#REF!</f>
        <v/>
      </c>
      <c r="Q4" s="90">
        <f>#REF!</f>
        <v/>
      </c>
      <c r="R4" s="90">
        <f>#REF!</f>
        <v/>
      </c>
      <c r="S4" s="90">
        <f>#REF!</f>
        <v/>
      </c>
      <c r="T4" s="90">
        <f>#REF!</f>
        <v/>
      </c>
      <c r="U4" s="90">
        <f>#REF!</f>
        <v/>
      </c>
      <c r="V4" s="90">
        <f>#REF!</f>
        <v/>
      </c>
      <c r="W4" s="90">
        <f>#REF!</f>
        <v/>
      </c>
      <c r="X4" s="90">
        <f>#REF!</f>
        <v/>
      </c>
      <c r="Y4" s="90">
        <f>#REF!</f>
        <v/>
      </c>
      <c r="Z4" s="90">
        <f>#REF!</f>
        <v/>
      </c>
      <c r="AA4" s="90">
        <f>#REF!</f>
        <v/>
      </c>
      <c r="AB4" s="90">
        <f>#REF!</f>
        <v/>
      </c>
      <c r="AC4" s="90">
        <f>#REF!</f>
        <v/>
      </c>
      <c r="AD4" s="90">
        <f>#REF!</f>
        <v/>
      </c>
      <c r="AE4" s="90">
        <f>#REF!</f>
        <v/>
      </c>
      <c r="AF4" s="90">
        <f>#REF!</f>
        <v/>
      </c>
      <c r="AG4" s="90">
        <f>#REF!</f>
        <v/>
      </c>
      <c r="AH4" s="90">
        <f>#REF!</f>
        <v/>
      </c>
      <c r="AI4" s="90">
        <f>#REF!</f>
        <v/>
      </c>
      <c r="AJ4" s="90">
        <f>#REF!</f>
        <v/>
      </c>
      <c r="AK4" s="90">
        <f>#REF!</f>
        <v/>
      </c>
      <c r="AL4" s="90">
        <f>#REF!</f>
        <v/>
      </c>
      <c r="AM4" s="90">
        <f>#REF!</f>
        <v/>
      </c>
      <c r="AN4" s="90">
        <f>#REF!</f>
        <v/>
      </c>
      <c r="AO4" s="90">
        <f>#REF!</f>
        <v/>
      </c>
      <c r="AP4" s="90">
        <f>#REF!</f>
        <v/>
      </c>
      <c r="AQ4" s="90">
        <f>#REF!</f>
        <v/>
      </c>
      <c r="AR4" s="90">
        <f>#REF!</f>
        <v/>
      </c>
      <c r="AS4" s="90">
        <f>#REF!</f>
        <v/>
      </c>
      <c r="AT4" s="90">
        <f>#REF!</f>
        <v/>
      </c>
      <c r="AU4" s="90">
        <f>#REF!</f>
        <v/>
      </c>
      <c r="AV4" s="90">
        <f>#REF!</f>
        <v/>
      </c>
      <c r="AW4" s="90">
        <f>#REF!</f>
        <v/>
      </c>
      <c r="AX4" s="90">
        <f>#REF!</f>
        <v/>
      </c>
      <c r="AY4" s="90">
        <f>#REF!</f>
        <v/>
      </c>
      <c r="AZ4" s="90">
        <f>#REF!</f>
        <v/>
      </c>
      <c r="BA4" s="90">
        <f>#REF!</f>
        <v/>
      </c>
      <c r="BB4" s="90">
        <f>#REF!</f>
        <v/>
      </c>
      <c r="BC4" s="90">
        <f>#REF!</f>
        <v/>
      </c>
      <c r="BD4" s="90">
        <f>#REF!</f>
        <v/>
      </c>
      <c r="BE4" s="90">
        <f>#REF!</f>
        <v/>
      </c>
      <c r="BF4" s="90">
        <f>#REF!</f>
        <v/>
      </c>
      <c r="BG4" s="90">
        <f>#REF!</f>
        <v/>
      </c>
      <c r="BH4" s="90">
        <f>#REF!</f>
        <v/>
      </c>
      <c r="BI4" s="90">
        <f>#REF!</f>
        <v/>
      </c>
      <c r="BJ4" s="90">
        <f>#REF!</f>
        <v/>
      </c>
      <c r="BK4" s="90">
        <f>#REF!</f>
        <v/>
      </c>
      <c r="BL4" s="90">
        <f>#REF!</f>
        <v/>
      </c>
      <c r="BM4" s="90">
        <f>#REF!</f>
        <v/>
      </c>
      <c r="BN4" s="90">
        <f>#REF!</f>
        <v/>
      </c>
      <c r="BO4" s="90">
        <f>#REF!</f>
        <v/>
      </c>
      <c r="BP4" s="90">
        <f>#REF!</f>
        <v/>
      </c>
      <c r="BQ4" s="90">
        <f>#REF!</f>
        <v/>
      </c>
      <c r="BR4" s="90">
        <f>#REF!</f>
        <v/>
      </c>
      <c r="BS4" s="90">
        <f>#REF!</f>
        <v/>
      </c>
      <c r="BT4" s="90">
        <f>#REF!</f>
        <v/>
      </c>
      <c r="BU4" s="90">
        <f>#REF!</f>
        <v/>
      </c>
      <c r="BV4" s="90">
        <f>#REF!</f>
        <v/>
      </c>
      <c r="BW4" s="90">
        <f>#REF!</f>
        <v/>
      </c>
      <c r="BX4" s="90">
        <f>#REF!</f>
        <v/>
      </c>
      <c r="BY4" s="90">
        <f>#REF!</f>
        <v/>
      </c>
      <c r="BZ4" s="90">
        <f>#REF!</f>
        <v/>
      </c>
      <c r="CA4" s="90">
        <f>#REF!</f>
        <v/>
      </c>
      <c r="CB4" s="90">
        <f>#REF!</f>
        <v/>
      </c>
      <c r="CC4" s="90">
        <f>#REF!</f>
        <v/>
      </c>
      <c r="CD4" s="90">
        <f>#REF!</f>
        <v/>
      </c>
      <c r="CE4" s="90">
        <f>#REF!</f>
        <v/>
      </c>
      <c r="CF4" s="90">
        <f>#REF!</f>
        <v/>
      </c>
      <c r="CG4" s="90">
        <f>#REF!</f>
        <v/>
      </c>
      <c r="CH4" s="90" t="n">
        <v>143476.08</v>
      </c>
      <c r="CI4" s="90" t="n">
        <v>112522.68</v>
      </c>
      <c r="CJ4" s="90" t="n">
        <v>41129.2</v>
      </c>
      <c r="CK4" s="90" t="n">
        <v>153075.28</v>
      </c>
      <c r="CL4" s="90" t="n">
        <v>176065.56</v>
      </c>
      <c r="CM4" s="90" t="n">
        <v>103720.42</v>
      </c>
      <c r="CN4" s="90" t="n">
        <v>121839.7</v>
      </c>
      <c r="CO4" s="90" t="n">
        <v>167684.58</v>
      </c>
      <c r="CP4" s="90" t="n">
        <v>157378.68</v>
      </c>
      <c r="CQ4" s="162" t="n">
        <v>17664.24</v>
      </c>
      <c r="CR4" s="90" t="n">
        <v>512465.899155339</v>
      </c>
      <c r="CS4" s="90" t="n">
        <v>509675.4434613413</v>
      </c>
      <c r="CT4" s="90" t="n">
        <v>107007.411698696</v>
      </c>
      <c r="CU4" s="90" t="n">
        <v>504751.8862303293</v>
      </c>
      <c r="CV4" s="90" t="n">
        <v>404969.9506451619</v>
      </c>
      <c r="CW4" s="90" t="n">
        <v>405732.0138631221</v>
      </c>
      <c r="CX4" s="90" t="n">
        <v>102572.6650216854</v>
      </c>
      <c r="CY4" s="90" t="n">
        <v>98017.18530691386</v>
      </c>
      <c r="CZ4" s="90" t="n">
        <v>98115.72865926921</v>
      </c>
      <c r="DA4" s="90" t="n">
        <v>98093.80096738279</v>
      </c>
      <c r="DB4" s="90" t="n">
        <v>98918.41172256559</v>
      </c>
      <c r="DC4" s="163" t="n">
        <v>93347.04090729535</v>
      </c>
      <c r="DD4" s="90" t="n">
        <v>93095.7179869768</v>
      </c>
      <c r="DE4" s="90" t="n">
        <v>93475.45688036204</v>
      </c>
      <c r="DF4" s="90" t="n">
        <v>92957.61166023255</v>
      </c>
      <c r="DG4" s="90" t="n">
        <v>90887.96636305212</v>
      </c>
      <c r="DH4" s="90" t="n">
        <v>90800.01800273151</v>
      </c>
      <c r="DI4" s="90" t="n">
        <v>89874.54016791821</v>
      </c>
      <c r="DJ4" s="90" t="n">
        <v>90555.28167936712</v>
      </c>
      <c r="DK4" s="90" t="n">
        <v>87312.68879028052</v>
      </c>
      <c r="DL4" s="90" t="n">
        <v>85900.31319108665</v>
      </c>
      <c r="DM4" s="90" t="n">
        <v>83512.65475584984</v>
      </c>
      <c r="DN4" s="90" t="n">
        <v>81113.59096341819</v>
      </c>
      <c r="DO4" s="90" t="n">
        <v>75895.66173140287</v>
      </c>
      <c r="DP4" s="90" t="n">
        <v>71991.59955558152</v>
      </c>
      <c r="DQ4" s="90" t="n">
        <v>70567.38021867961</v>
      </c>
      <c r="DR4" s="90" t="n">
        <v>69730.99632039219</v>
      </c>
      <c r="DS4" s="90" t="n">
        <v>70314.59059718788</v>
      </c>
      <c r="DT4" s="90" t="n">
        <v>68753.71900265038</v>
      </c>
      <c r="DU4" s="90" t="n">
        <v>67867.10190744221</v>
      </c>
      <c r="DV4" s="90" t="n">
        <v>64951.38139955819</v>
      </c>
      <c r="DW4" s="90" t="n">
        <v>62505.59527127147</v>
      </c>
      <c r="DX4" s="90" t="n">
        <v>62190.12048160791</v>
      </c>
      <c r="DY4" s="90" t="n">
        <v>61266.04147454739</v>
      </c>
      <c r="DZ4" s="90" t="n">
        <v>60442.12335296571</v>
      </c>
      <c r="EA4" s="90" t="n">
        <v>60346.059942801</v>
      </c>
      <c r="EB4" s="90" t="n">
        <v>60449.28534820437</v>
      </c>
      <c r="EC4" s="90" t="n">
        <v>60189.68148742974</v>
      </c>
      <c r="ED4" s="90" t="n">
        <v>60402.64128755391</v>
      </c>
      <c r="EE4" s="90" t="n">
        <v>59852.44907363534</v>
      </c>
      <c r="EF4" s="90" t="n">
        <v>60235.17093593001</v>
      </c>
      <c r="EG4" s="90" t="n">
        <v>59438.06228301048</v>
      </c>
      <c r="EH4" s="90" t="n">
        <v>57056.8437579161</v>
      </c>
      <c r="EI4" s="90" t="n">
        <v>56289.40417454958</v>
      </c>
      <c r="EJ4" s="90" t="n">
        <v>55829.89999905109</v>
      </c>
      <c r="EK4" s="90" t="n">
        <v>53338.11714490056</v>
      </c>
      <c r="EL4" s="90" t="n">
        <v>49704.74573237598</v>
      </c>
      <c r="EM4" s="90" t="n">
        <v>48560.51592992306</v>
      </c>
      <c r="EN4" s="90" t="n">
        <v>46616.91348231256</v>
      </c>
      <c r="EO4" s="90" t="n">
        <v>45445.52023310005</v>
      </c>
      <c r="EP4" s="90" t="n">
        <v>42648.87390104235</v>
      </c>
      <c r="EQ4" s="90" t="n">
        <v>41868.45567402124</v>
      </c>
      <c r="ER4" s="90" t="n">
        <v>40099.29814612985</v>
      </c>
      <c r="ES4" s="90" t="n">
        <v>39730.4971187222</v>
      </c>
      <c r="ET4" s="90" t="n">
        <v>39156.56956408561</v>
      </c>
      <c r="EU4" s="90" t="n">
        <v>38543.81897396684</v>
      </c>
      <c r="EV4" s="90" t="n">
        <v>37456.96964426815</v>
      </c>
      <c r="EW4" s="90" t="n">
        <v>37373.41001287699</v>
      </c>
      <c r="EX4" s="90" t="n">
        <v>36008.87523618698</v>
      </c>
      <c r="EY4" s="90" t="n">
        <v>35715.25109172702</v>
      </c>
      <c r="EZ4" s="90" t="n">
        <v>35792.19390813589</v>
      </c>
      <c r="FA4" s="90" t="n">
        <v>36060.6353624469</v>
      </c>
    </row>
    <row r="5">
      <c r="A5" s="161" t="inlineStr">
        <is>
          <t>Comisiones de Administración</t>
        </is>
      </c>
      <c r="B5" s="90">
        <f>#REF!</f>
        <v/>
      </c>
      <c r="C5" s="90">
        <f>#REF!</f>
        <v/>
      </c>
      <c r="D5" s="90">
        <f>#REF!</f>
        <v/>
      </c>
      <c r="E5" s="90">
        <f>#REF!</f>
        <v/>
      </c>
      <c r="F5" s="90">
        <f>#REF!</f>
        <v/>
      </c>
      <c r="G5" s="90">
        <f>#REF!</f>
        <v/>
      </c>
      <c r="H5" s="90">
        <f>#REF!</f>
        <v/>
      </c>
      <c r="I5" s="90">
        <f>#REF!</f>
        <v/>
      </c>
      <c r="J5" s="90">
        <f>#REF!</f>
        <v/>
      </c>
      <c r="K5" s="90">
        <f>#REF!</f>
        <v/>
      </c>
      <c r="L5" s="90">
        <f>#REF!</f>
        <v/>
      </c>
      <c r="M5" s="90">
        <f>#REF!</f>
        <v/>
      </c>
      <c r="N5" s="90">
        <f>#REF!</f>
        <v/>
      </c>
      <c r="O5" s="90">
        <f>#REF!</f>
        <v/>
      </c>
      <c r="P5" s="90">
        <f>#REF!</f>
        <v/>
      </c>
      <c r="Q5" s="90">
        <f>#REF!</f>
        <v/>
      </c>
      <c r="R5" s="90">
        <f>#REF!</f>
        <v/>
      </c>
      <c r="S5" s="90">
        <f>#REF!</f>
        <v/>
      </c>
      <c r="T5" s="90">
        <f>#REF!</f>
        <v/>
      </c>
      <c r="U5" s="90">
        <f>#REF!</f>
        <v/>
      </c>
      <c r="V5" s="90">
        <f>#REF!</f>
        <v/>
      </c>
      <c r="W5" s="90">
        <f>#REF!</f>
        <v/>
      </c>
      <c r="X5" s="90">
        <f>#REF!</f>
        <v/>
      </c>
      <c r="Y5" s="90">
        <f>#REF!</f>
        <v/>
      </c>
      <c r="Z5" s="90">
        <f>#REF!</f>
        <v/>
      </c>
      <c r="AA5" s="90">
        <f>#REF!</f>
        <v/>
      </c>
      <c r="AB5" s="90">
        <f>#REF!</f>
        <v/>
      </c>
      <c r="AC5" s="90">
        <f>#REF!</f>
        <v/>
      </c>
      <c r="AD5" s="90">
        <f>#REF!</f>
        <v/>
      </c>
      <c r="AE5" s="90">
        <f>#REF!</f>
        <v/>
      </c>
      <c r="AF5" s="90">
        <f>#REF!</f>
        <v/>
      </c>
      <c r="AG5" s="90">
        <f>#REF!</f>
        <v/>
      </c>
      <c r="AH5" s="90">
        <f>#REF!</f>
        <v/>
      </c>
      <c r="AI5" s="90">
        <f>#REF!</f>
        <v/>
      </c>
      <c r="AJ5" s="90">
        <f>#REF!</f>
        <v/>
      </c>
      <c r="AK5" s="90">
        <f>#REF!</f>
        <v/>
      </c>
      <c r="AL5" s="90">
        <f>#REF!</f>
        <v/>
      </c>
      <c r="AM5" s="90">
        <f>#REF!</f>
        <v/>
      </c>
      <c r="AN5" s="90">
        <f>#REF!</f>
        <v/>
      </c>
      <c r="AO5" s="90">
        <f>#REF!</f>
        <v/>
      </c>
      <c r="AP5" s="90">
        <f>#REF!</f>
        <v/>
      </c>
      <c r="AQ5" s="90">
        <f>#REF!</f>
        <v/>
      </c>
      <c r="AR5" s="90">
        <f>#REF!</f>
        <v/>
      </c>
      <c r="AS5" s="90">
        <f>#REF!</f>
        <v/>
      </c>
      <c r="AT5" s="90">
        <f>#REF!</f>
        <v/>
      </c>
      <c r="AU5" s="90">
        <f>#REF!</f>
        <v/>
      </c>
      <c r="AV5" s="90">
        <f>#REF!</f>
        <v/>
      </c>
      <c r="AW5" s="90">
        <f>#REF!</f>
        <v/>
      </c>
      <c r="AX5" s="90">
        <f>#REF!</f>
        <v/>
      </c>
      <c r="AY5" s="90">
        <f>#REF!</f>
        <v/>
      </c>
      <c r="AZ5" s="90">
        <f>#REF!</f>
        <v/>
      </c>
      <c r="BA5" s="90">
        <f>#REF!</f>
        <v/>
      </c>
      <c r="BB5" s="90">
        <f>#REF!</f>
        <v/>
      </c>
      <c r="BC5" s="90">
        <f>#REF!</f>
        <v/>
      </c>
      <c r="BD5" s="90">
        <f>#REF!</f>
        <v/>
      </c>
      <c r="BE5" s="90">
        <f>#REF!</f>
        <v/>
      </c>
      <c r="BF5" s="90">
        <f>#REF!</f>
        <v/>
      </c>
      <c r="BG5" s="90">
        <f>#REF!</f>
        <v/>
      </c>
      <c r="BH5" s="90">
        <f>#REF!</f>
        <v/>
      </c>
      <c r="BI5" s="90">
        <f>#REF!</f>
        <v/>
      </c>
      <c r="BJ5" s="90">
        <f>#REF!</f>
        <v/>
      </c>
      <c r="BK5" s="90">
        <f>#REF!</f>
        <v/>
      </c>
      <c r="BL5" s="90">
        <f>#REF!</f>
        <v/>
      </c>
      <c r="BM5" s="90">
        <f>#REF!</f>
        <v/>
      </c>
      <c r="BN5" s="90">
        <f>#REF!</f>
        <v/>
      </c>
      <c r="BO5" s="90">
        <f>#REF!</f>
        <v/>
      </c>
      <c r="BP5" s="90">
        <f>#REF!</f>
        <v/>
      </c>
      <c r="BQ5" s="90">
        <f>#REF!</f>
        <v/>
      </c>
      <c r="BR5" s="90">
        <f>#REF!</f>
        <v/>
      </c>
      <c r="BS5" s="90">
        <f>#REF!</f>
        <v/>
      </c>
      <c r="BT5" s="90">
        <f>#REF!</f>
        <v/>
      </c>
      <c r="BU5" s="90">
        <f>#REF!</f>
        <v/>
      </c>
      <c r="BV5" s="90">
        <f>#REF!</f>
        <v/>
      </c>
      <c r="BW5" s="90">
        <f>#REF!</f>
        <v/>
      </c>
      <c r="BX5" s="90">
        <f>#REF!</f>
        <v/>
      </c>
      <c r="BY5" s="90">
        <f>#REF!</f>
        <v/>
      </c>
      <c r="BZ5" s="90">
        <f>#REF!</f>
        <v/>
      </c>
      <c r="CA5" s="90">
        <f>#REF!</f>
        <v/>
      </c>
      <c r="CB5" s="90">
        <f>#REF!</f>
        <v/>
      </c>
      <c r="CC5" s="90">
        <f>#REF!</f>
        <v/>
      </c>
      <c r="CD5" s="90">
        <f>#REF!</f>
        <v/>
      </c>
      <c r="CE5" s="90">
        <f>#REF!</f>
        <v/>
      </c>
      <c r="CF5" s="90">
        <f>#REF!</f>
        <v/>
      </c>
      <c r="CG5" s="90">
        <f>#REF!</f>
        <v/>
      </c>
      <c r="CH5" s="90" t="n">
        <v>619810.3364260092</v>
      </c>
      <c r="CI5" s="90" t="n">
        <v>657343.2179251239</v>
      </c>
      <c r="CJ5" s="90" t="n">
        <v>687399.5972606445</v>
      </c>
      <c r="CK5" s="90" t="n">
        <v>685065.9075311045</v>
      </c>
      <c r="CL5" s="90" t="n">
        <v>728561.5213483287</v>
      </c>
      <c r="CM5" s="90" t="n">
        <v>786023.9391060061</v>
      </c>
      <c r="CN5" s="90" t="n">
        <v>805613.7930565546</v>
      </c>
      <c r="CO5" s="90" t="n">
        <v>839588.7359330365</v>
      </c>
      <c r="CP5" s="90" t="n">
        <v>894218.167343939</v>
      </c>
      <c r="CQ5" s="162" t="n">
        <v>950629.8343931482</v>
      </c>
      <c r="CR5" s="90" t="n">
        <v>1251720.558983438</v>
      </c>
      <c r="CS5" s="90" t="n">
        <v>1279712.233036628</v>
      </c>
      <c r="CT5" s="90" t="n">
        <v>1307559.669302846</v>
      </c>
      <c r="CU5" s="90" t="n">
        <v>1535597.654010001</v>
      </c>
      <c r="CV5" s="90" t="n">
        <v>1713039.110020691</v>
      </c>
      <c r="CW5" s="90" t="n">
        <v>2088174.286240335</v>
      </c>
      <c r="CX5" s="90" t="n">
        <v>2262214.903207493</v>
      </c>
      <c r="CY5" s="90" t="n">
        <v>2438594.042851619</v>
      </c>
      <c r="CZ5" s="90" t="n">
        <v>2464445.284142187</v>
      </c>
      <c r="DA5" s="90" t="n">
        <v>2489734.327245114</v>
      </c>
      <c r="DB5" s="90" t="n">
        <v>2511899.738990339</v>
      </c>
      <c r="DC5" s="163" t="n">
        <v>2536695.695251575</v>
      </c>
      <c r="DD5" s="90" t="n">
        <v>2560939.361786703</v>
      </c>
      <c r="DE5" s="90" t="n">
        <v>2584726.856797477</v>
      </c>
      <c r="DF5" s="90" t="n">
        <v>2606460.80721382</v>
      </c>
      <c r="DG5" s="90" t="n">
        <v>2628595.464177588</v>
      </c>
      <c r="DH5" s="90" t="n">
        <v>2649185.332639226</v>
      </c>
      <c r="DI5" s="90" t="n">
        <v>2670682.493101832</v>
      </c>
      <c r="DJ5" s="90" t="n">
        <v>2690285.591734175</v>
      </c>
      <c r="DK5" s="90" t="n">
        <v>2710977.443222966</v>
      </c>
      <c r="DL5" s="90" t="n">
        <v>2730208.015470681</v>
      </c>
      <c r="DM5" s="90" t="n">
        <v>2749958.217870411</v>
      </c>
      <c r="DN5" s="90" t="n">
        <v>2766892.769504646</v>
      </c>
      <c r="DO5" s="90" t="n">
        <v>2784344.365949207</v>
      </c>
      <c r="DP5" s="90" t="n">
        <v>2803323.855413162</v>
      </c>
      <c r="DQ5" s="90" t="n">
        <v>2821486.432205521</v>
      </c>
      <c r="DR5" s="90" t="n">
        <v>2839905.640192368</v>
      </c>
      <c r="DS5" s="90" t="n">
        <v>2857738.252804735</v>
      </c>
      <c r="DT5" s="90" t="n">
        <v>2875901.877895323</v>
      </c>
      <c r="DU5" s="90" t="n">
        <v>2891815.630022799</v>
      </c>
      <c r="DV5" s="90" t="n">
        <v>2908971.563266457</v>
      </c>
      <c r="DW5" s="90" t="n">
        <v>2925582.761998772</v>
      </c>
      <c r="DX5" s="90" t="n">
        <v>2941848.809212594</v>
      </c>
      <c r="DY5" s="90" t="n">
        <v>2958283.292641214</v>
      </c>
      <c r="DZ5" s="90" t="n">
        <v>2974665.251404229</v>
      </c>
      <c r="EA5" s="90" t="n">
        <v>2991134.564035219</v>
      </c>
      <c r="EB5" s="90" t="n">
        <v>3007849.183201806</v>
      </c>
      <c r="EC5" s="90" t="n">
        <v>3023829.639208046</v>
      </c>
      <c r="ED5" s="90" t="n">
        <v>3039436.75657599</v>
      </c>
      <c r="EE5" s="90" t="n">
        <v>3055347.0453686</v>
      </c>
      <c r="EF5" s="90" t="n">
        <v>3070113.177534758</v>
      </c>
      <c r="EG5" s="90" t="n">
        <v>3084229.285056305</v>
      </c>
      <c r="EH5" s="90" t="n">
        <v>3099257.984492833</v>
      </c>
      <c r="EI5" s="90" t="n">
        <v>3114557.567958489</v>
      </c>
      <c r="EJ5" s="90" t="n">
        <v>3128991.456710219</v>
      </c>
      <c r="EK5" s="90" t="n">
        <v>3143002.31515328</v>
      </c>
      <c r="EL5" s="90" t="n">
        <v>3158360.251220639</v>
      </c>
      <c r="EM5" s="90" t="n">
        <v>3173456.790316754</v>
      </c>
      <c r="EN5" s="90" t="n">
        <v>3189060.602036221</v>
      </c>
      <c r="EO5" s="90" t="n">
        <v>3204004.807800597</v>
      </c>
      <c r="EP5" s="90" t="n">
        <v>3220065.257409675</v>
      </c>
      <c r="EQ5" s="90" t="n">
        <v>3235774.882771764</v>
      </c>
      <c r="ER5" s="90" t="n">
        <v>3252298.970563341</v>
      </c>
      <c r="ES5" s="90" t="n">
        <v>3268852.159030078</v>
      </c>
      <c r="ET5" s="90" t="n">
        <v>3285516.740088139</v>
      </c>
      <c r="EU5" s="90" t="n">
        <v>3302082.60479835</v>
      </c>
      <c r="EV5" s="90" t="n">
        <v>3319270.847362848</v>
      </c>
      <c r="EW5" s="90" t="n">
        <v>3335967.652783355</v>
      </c>
      <c r="EX5" s="90" t="n">
        <v>3353323.620390419</v>
      </c>
      <c r="EY5" s="90" t="n">
        <v>3370993.459784693</v>
      </c>
      <c r="EZ5" s="90" t="n">
        <v>3388889.556738761</v>
      </c>
      <c r="FA5" s="90" t="n">
        <v>3406919.874419984</v>
      </c>
    </row>
    <row r="6">
      <c r="A6" s="161" t="inlineStr">
        <is>
          <t>Comisiones de Éxito</t>
        </is>
      </c>
      <c r="B6" s="90">
        <f>IF(B1&gt;Supuestos!$D$22,Supuestos!$B$22*B41,Supuestos!$B$21*B44)</f>
        <v/>
      </c>
      <c r="C6" s="90">
        <f>IF(C1&gt;Supuestos!$D$22,Supuestos!$B$22*C41,Supuestos!$B$21*C44)</f>
        <v/>
      </c>
      <c r="D6" s="90">
        <f>IF(D1&gt;Supuestos!$D$22,Supuestos!$B$22*D41,Supuestos!$B$21*D44)</f>
        <v/>
      </c>
      <c r="E6" s="90">
        <f>IF(E1&gt;Supuestos!$D$22,Supuestos!$B$22*E41,Supuestos!$B$21*E44)</f>
        <v/>
      </c>
      <c r="F6" s="90">
        <f>IF(F1&gt;Supuestos!$D$22,Supuestos!$B$22*F41,Supuestos!$B$21*F44)</f>
        <v/>
      </c>
      <c r="G6" s="90">
        <f>IF(G1&gt;Supuestos!$D$22,Supuestos!$B$22*G41,Supuestos!$B$21*G44)</f>
        <v/>
      </c>
      <c r="H6" s="90">
        <f>IF(H1&gt;Supuestos!$D$22,Supuestos!$B$22*H41,Supuestos!$B$21*H44)</f>
        <v/>
      </c>
      <c r="I6" s="90">
        <f>IF(I1&gt;Supuestos!$D$22,Supuestos!$B$22*I41,Supuestos!$B$21*I44)</f>
        <v/>
      </c>
      <c r="J6" s="90">
        <f>IF(J1&gt;Supuestos!$D$22,Supuestos!$B$22*J41,Supuestos!$B$21*J44)</f>
        <v/>
      </c>
      <c r="K6" s="90">
        <f>IF(K1&gt;Supuestos!$D$22,Supuestos!$B$22*K41,Supuestos!$B$21*K44)</f>
        <v/>
      </c>
      <c r="L6" s="90">
        <f>IF(L1&gt;Supuestos!$D$22,Supuestos!$B$22*L41,Supuestos!$B$21*L44)</f>
        <v/>
      </c>
      <c r="M6" s="90">
        <f>IF(M1&gt;Supuestos!$D$22,Supuestos!$B$22*M41,Supuestos!$B$21*M44)</f>
        <v/>
      </c>
      <c r="N6" s="90">
        <f>IF(N1&gt;Supuestos!$D$22,Supuestos!$B$22*N41,Supuestos!$B$21*N44)</f>
        <v/>
      </c>
      <c r="O6" s="90">
        <f>IF(O1&gt;Supuestos!$D$22,Supuestos!$B$22*O41,Supuestos!$B$21*O44)</f>
        <v/>
      </c>
      <c r="P6" s="90">
        <f>IF(P1&gt;Supuestos!$D$22,Supuestos!$B$22*P41,Supuestos!$B$21*P44)</f>
        <v/>
      </c>
      <c r="Q6" s="90">
        <f>IF(Q1&gt;Supuestos!$D$22,Supuestos!$B$22*Q41,Supuestos!$B$21*Q44)</f>
        <v/>
      </c>
      <c r="R6" s="90">
        <f>IF(R1&gt;Supuestos!$D$22,Supuestos!$B$22*R41,Supuestos!$B$21*R44)</f>
        <v/>
      </c>
      <c r="S6" s="90">
        <f>IF(S1&gt;Supuestos!$D$22,Supuestos!$B$22*S41,Supuestos!$B$21*S44)</f>
        <v/>
      </c>
      <c r="T6" s="90">
        <f>IF(T1&gt;Supuestos!$D$22,Supuestos!$B$22*T41,Supuestos!$B$21*T44)</f>
        <v/>
      </c>
      <c r="U6" s="90">
        <f>IF(U1&gt;Supuestos!$D$22,Supuestos!$B$22*U41,Supuestos!$B$21*U44)</f>
        <v/>
      </c>
      <c r="V6" s="90">
        <f>IF(V1&gt;Supuestos!$D$22,Supuestos!$B$22*V41,Supuestos!$B$21*V44)</f>
        <v/>
      </c>
      <c r="W6" s="90">
        <f>IF(W1&gt;Supuestos!$D$22,Supuestos!$B$22*W41,Supuestos!$B$21*W44)</f>
        <v/>
      </c>
      <c r="X6" s="90">
        <f>IF(X1&gt;Supuestos!$D$22,Supuestos!$B$22*X41,Supuestos!$B$21*X44)</f>
        <v/>
      </c>
      <c r="Y6" s="90">
        <f>IF(Y1&gt;Supuestos!$D$22,Supuestos!$B$22*Y41,Supuestos!$B$21*Y44)</f>
        <v/>
      </c>
      <c r="Z6" s="90">
        <f>IF(Z1&gt;Supuestos!$D$22,Supuestos!$B$22*Z41,Supuestos!$B$21*Z44)</f>
        <v/>
      </c>
      <c r="AA6" s="90">
        <f>IF(AA1&gt;Supuestos!$D$22,Supuestos!$B$22*AA41,Supuestos!$B$21*AA44)</f>
        <v/>
      </c>
      <c r="AB6" s="90">
        <f>IF(AB1&gt;Supuestos!$D$22,Supuestos!$B$22*AB41,Supuestos!$B$21*AB44)</f>
        <v/>
      </c>
      <c r="AC6" s="90">
        <f>IF(AC1&gt;Supuestos!$D$22,Supuestos!$B$22*AC41,Supuestos!$B$21*AC44)</f>
        <v/>
      </c>
      <c r="AD6" s="90">
        <f>IF(AD1&gt;Supuestos!$D$22,Supuestos!$B$22*AD41,Supuestos!$B$21*AD44)</f>
        <v/>
      </c>
      <c r="AE6" s="90">
        <f>IF(AE1&gt;Supuestos!$D$22,Supuestos!$B$22*AE41,Supuestos!$B$21*AE44)</f>
        <v/>
      </c>
      <c r="AF6" s="90">
        <f>IF(AF1&gt;Supuestos!$D$22,Supuestos!$B$22*AF41,Supuestos!$B$21*AF44)</f>
        <v/>
      </c>
      <c r="AG6" s="90">
        <f>IF(AG1&gt;Supuestos!$D$22,Supuestos!$B$22*AG41,Supuestos!$B$21*AG44)</f>
        <v/>
      </c>
      <c r="AH6" s="90">
        <f>IF(AH1&gt;Supuestos!$D$22,Supuestos!$B$22*AH41,Supuestos!$B$21*AH44)</f>
        <v/>
      </c>
      <c r="AI6" s="90">
        <f>IF(AI1&gt;Supuestos!$D$22,Supuestos!$B$22*AI41,Supuestos!$B$21*AI44)</f>
        <v/>
      </c>
      <c r="AJ6" s="90">
        <f>IF(AJ1&gt;Supuestos!$D$22,Supuestos!$B$22*AJ41,Supuestos!$B$21*AJ44)</f>
        <v/>
      </c>
      <c r="AK6" s="90">
        <f>IF(AK1&gt;Supuestos!$D$22,Supuestos!$B$22*AK41,Supuestos!$B$21*AK44)</f>
        <v/>
      </c>
      <c r="AL6" s="90">
        <f>IF(AL1&gt;Supuestos!$D$22,Supuestos!$B$22*AL41,Supuestos!$B$21*AL44)</f>
        <v/>
      </c>
      <c r="AM6" s="90">
        <f>IF(AM1&gt;Supuestos!$D$22,Supuestos!$B$22*AM41,Supuestos!$B$21*AM44)</f>
        <v/>
      </c>
      <c r="AN6" s="90">
        <f>IF(AN1&gt;Supuestos!$D$22,Supuestos!$B$22*AN41,Supuestos!$B$21*AN44)</f>
        <v/>
      </c>
      <c r="AO6" s="90">
        <f>IF(AO1&gt;Supuestos!$D$22,Supuestos!$B$22*AO41,Supuestos!$B$21*AO44)</f>
        <v/>
      </c>
      <c r="AP6" s="90">
        <f>IF(AP1&gt;Supuestos!$D$22,Supuestos!$B$22*AP41,Supuestos!$B$21*AP44)</f>
        <v/>
      </c>
      <c r="AQ6" s="90">
        <f>IF(AQ1&gt;Supuestos!$D$22,Supuestos!$B$22*AQ41,Supuestos!$B$21*AQ44)</f>
        <v/>
      </c>
      <c r="AR6" s="90">
        <f>IF(AR1&gt;Supuestos!$D$22,Supuestos!$B$22*AR41,Supuestos!$B$21*AR44)</f>
        <v/>
      </c>
      <c r="AS6" s="90">
        <f>IF(AS1&gt;Supuestos!$D$22,Supuestos!$B$22*AS41,Supuestos!$B$21*AS44)</f>
        <v/>
      </c>
      <c r="AT6" s="90">
        <f>IF(AT1&gt;Supuestos!$D$22,Supuestos!$B$22*AT41,Supuestos!$B$21*AT44)</f>
        <v/>
      </c>
      <c r="AU6" s="90">
        <f>IF(AU1&gt;Supuestos!$D$22,Supuestos!$B$22*AU41,Supuestos!$B$21*AU44)</f>
        <v/>
      </c>
      <c r="AV6" s="90">
        <f>IF(AV1&gt;Supuestos!$D$22,Supuestos!$B$22*AV41,Supuestos!$B$21*AV44)</f>
        <v/>
      </c>
      <c r="AW6" s="90">
        <f>IF(AW1&gt;Supuestos!$D$22,Supuestos!$B$22*AW41,Supuestos!$B$21*AW44)</f>
        <v/>
      </c>
      <c r="AX6" s="90">
        <f>IF(AX1&gt;Supuestos!$D$22,Supuestos!$B$22*AX41,Supuestos!$B$21*AX44)</f>
        <v/>
      </c>
      <c r="AY6" s="90">
        <f>IF(AY1&gt;Supuestos!$D$22,Supuestos!$B$22*AY41,Supuestos!$B$21*AY44)</f>
        <v/>
      </c>
      <c r="AZ6" s="90">
        <f>IF(AZ1&gt;Supuestos!$D$22,Supuestos!$B$22*AZ41,Supuestos!$B$21*AZ44)</f>
        <v/>
      </c>
      <c r="BA6" s="90">
        <f>IF(BA1&gt;Supuestos!$D$22,Supuestos!$B$22*BA41,Supuestos!$B$21*BA44)</f>
        <v/>
      </c>
      <c r="BB6" s="90">
        <f>IF(BB1&gt;Supuestos!$D$22,Supuestos!$B$22*BB41,Supuestos!$B$21*BB44)</f>
        <v/>
      </c>
      <c r="BC6" s="90">
        <f>IF(BC1&gt;Supuestos!$D$22,Supuestos!$B$22*BC41,Supuestos!$B$21*BC44)</f>
        <v/>
      </c>
      <c r="BD6" s="90">
        <f>IF(BD1&gt;Supuestos!$D$22,Supuestos!$B$22*BD41,Supuestos!$B$21*BD44)</f>
        <v/>
      </c>
      <c r="BE6" s="90">
        <f>IF(BE1&gt;Supuestos!$D$22,Supuestos!$B$22*BE41,Supuestos!$B$21*BE44)</f>
        <v/>
      </c>
      <c r="BF6" s="90">
        <f>IF(BF1&gt;Supuestos!$D$22,Supuestos!$B$22*BF41,Supuestos!$B$21*BF44)</f>
        <v/>
      </c>
      <c r="BG6" s="90">
        <f>IF(BG1&gt;Supuestos!$D$22,Supuestos!$B$22*BG41,Supuestos!$B$21*BG44)</f>
        <v/>
      </c>
      <c r="BH6" s="90">
        <f>IF(BH1&gt;Supuestos!$D$22,Supuestos!$B$22*BH41,Supuestos!$B$21*BH44)</f>
        <v/>
      </c>
      <c r="BI6" s="90">
        <f>IF(BI1&gt;Supuestos!$D$22,Supuestos!$B$22*BI41,Supuestos!$B$21*BI44)</f>
        <v/>
      </c>
      <c r="BJ6" s="90">
        <f>IF(BJ1&gt;Supuestos!$D$22,Supuestos!$B$22*BJ41,Supuestos!$B$21*BJ44)</f>
        <v/>
      </c>
      <c r="BK6" s="90">
        <f>IF(BK1&gt;Supuestos!$D$22,Supuestos!$B$22*BK41,Supuestos!$B$21*BK44)</f>
        <v/>
      </c>
      <c r="BL6" s="90">
        <f>IF(BL1&gt;Supuestos!$D$22,Supuestos!$B$22*BL41,Supuestos!$B$21*BL44)</f>
        <v/>
      </c>
      <c r="BM6" s="90">
        <f>IF(BM1&gt;Supuestos!$D$22,Supuestos!$B$22*BM41,Supuestos!$B$21*BM44)</f>
        <v/>
      </c>
      <c r="BN6" s="90">
        <f>IF(BN1&gt;Supuestos!$D$22,Supuestos!$B$22*BN41,Supuestos!$B$21*BN44)</f>
        <v/>
      </c>
      <c r="BO6" s="90">
        <f>IF(BO1&gt;Supuestos!$D$22,Supuestos!$B$22*BO41,Supuestos!$B$21*BO44)</f>
        <v/>
      </c>
      <c r="BP6" s="90">
        <f>IF(BP1&gt;Supuestos!$D$22,Supuestos!$B$22*BP41,Supuestos!$B$21*BP44)</f>
        <v/>
      </c>
      <c r="BQ6" s="90">
        <f>IF(BQ1&gt;Supuestos!$D$22,Supuestos!$B$22*BQ41,Supuestos!$B$21*BQ44)</f>
        <v/>
      </c>
      <c r="BR6" s="90">
        <f>IF(BR1&gt;Supuestos!$D$22,Supuestos!$B$22*BR41,Supuestos!$B$21*BR44)</f>
        <v/>
      </c>
      <c r="BS6" s="90">
        <f>IF(BS1&gt;Supuestos!$D$22,Supuestos!$B$22*BS41,Supuestos!$B$21*BS44)</f>
        <v/>
      </c>
      <c r="BT6" s="90">
        <f>IF(BT1&gt;Supuestos!$D$22,Supuestos!$B$22*BT41,Supuestos!$B$21*BT44)</f>
        <v/>
      </c>
      <c r="BU6" s="90">
        <f>IF(BU1&gt;Supuestos!$D$22,Supuestos!$B$22*BU41,Supuestos!$B$21*BU44)</f>
        <v/>
      </c>
      <c r="BV6" s="90">
        <f>IF(BV1&gt;Supuestos!$D$22,Supuestos!$B$22*BV41,Supuestos!$B$21*BV44)</f>
        <v/>
      </c>
      <c r="BW6" s="90">
        <f>IF(BW1&gt;Supuestos!$D$22,Supuestos!$B$22*BW41,Supuestos!$B$21*BW44)</f>
        <v/>
      </c>
      <c r="BX6" s="90">
        <f>IF(BX1&gt;Supuestos!$D$22,Supuestos!$B$22*BX41,Supuestos!$B$21*BX44)</f>
        <v/>
      </c>
      <c r="BY6" s="90">
        <f>IF(BY1&gt;Supuestos!$D$22,Supuestos!$B$22*BY41,Supuestos!$B$21*BY44)</f>
        <v/>
      </c>
      <c r="BZ6" s="90">
        <f>IF(BZ1&gt;Supuestos!$D$22,Supuestos!$B$22*BZ41,Supuestos!$B$21*BZ44)</f>
        <v/>
      </c>
      <c r="CA6" s="90">
        <f>IF(CA1&gt;Supuestos!$D$22,Supuestos!$B$22*CA41,Supuestos!$B$21*CA44)</f>
        <v/>
      </c>
      <c r="CB6" s="90">
        <f>IF(CB1&gt;Supuestos!$D$22,Supuestos!$B$22*CB41,Supuestos!$B$21*CB44)</f>
        <v/>
      </c>
      <c r="CC6" s="90">
        <f>IF(CC1&gt;Supuestos!$D$22,Supuestos!$B$22*CC41,Supuestos!$B$21*CC44)</f>
        <v/>
      </c>
      <c r="CD6" s="90">
        <f>IF(CD1&gt;Supuestos!$D$22,Supuestos!$B$22*CD41,Supuestos!$B$21*CD44)</f>
        <v/>
      </c>
      <c r="CE6" s="90">
        <f>IF(CE1&gt;Supuestos!$D$22,Supuestos!$B$22*CE41,Supuestos!$B$21*CE44)</f>
        <v/>
      </c>
      <c r="CF6" s="90">
        <f>IF(CF1&gt;Supuestos!$D$22,Supuestos!$B$22*CF41,Supuestos!$B$21*CF44)</f>
        <v/>
      </c>
      <c r="CG6" s="90">
        <f>IF(CG1&gt;Supuestos!$D$22,Supuestos!$B$22*CG41,Supuestos!$B$21*CG44)</f>
        <v/>
      </c>
      <c r="CH6" s="90" t="n">
        <v>124346.6190159187</v>
      </c>
      <c r="CI6" s="90" t="n">
        <v>125886.468109426</v>
      </c>
      <c r="CJ6" s="90" t="n">
        <v>122884.6657121927</v>
      </c>
      <c r="CK6" s="90" t="n">
        <v>122582.8684789941</v>
      </c>
      <c r="CL6" s="90" t="n">
        <v>128007.7351212275</v>
      </c>
      <c r="CM6" s="90" t="n">
        <v>129375.3982605407</v>
      </c>
      <c r="CN6" s="90" t="n">
        <v>126787.7834034871</v>
      </c>
      <c r="CO6" s="90" t="n">
        <v>125012.5757786101</v>
      </c>
      <c r="CP6" s="90" t="n">
        <v>120596.5871067041</v>
      </c>
      <c r="CQ6" s="162" t="n">
        <v>196094.0588562917</v>
      </c>
      <c r="CR6" s="90" t="n">
        <v>199463.9061364405</v>
      </c>
      <c r="CS6" s="90" t="n">
        <v>201416.1015961687</v>
      </c>
      <c r="CT6" s="90" t="n">
        <v>203391.1521598383</v>
      </c>
      <c r="CU6" s="90" t="n">
        <v>205627.2728345317</v>
      </c>
      <c r="CV6" s="90" t="n">
        <v>207949.6365830148</v>
      </c>
      <c r="CW6" s="90" t="n">
        <v>209926.2292693112</v>
      </c>
      <c r="CX6" s="90" t="n">
        <v>211801.0810134191</v>
      </c>
      <c r="CY6" s="90" t="n">
        <v>214183.9333695898</v>
      </c>
      <c r="CZ6" s="90" t="n">
        <v>216562.5508942683</v>
      </c>
      <c r="DA6" s="90" t="n">
        <v>219090.8557355489</v>
      </c>
      <c r="DB6" s="90" t="n">
        <v>220865.7548668514</v>
      </c>
      <c r="DC6" s="163" t="n">
        <v>223387.5773587067</v>
      </c>
      <c r="DD6" s="90" t="n">
        <v>226026.3928105336</v>
      </c>
      <c r="DE6" s="90" t="n">
        <v>228653.2017397265</v>
      </c>
      <c r="DF6" s="90" t="n">
        <v>231024.6420085536</v>
      </c>
      <c r="DG6" s="90" t="n">
        <v>233767.0566060747</v>
      </c>
      <c r="DH6" s="90" t="n">
        <v>236480.5922958926</v>
      </c>
      <c r="DI6" s="90" t="n">
        <v>239547.8998714208</v>
      </c>
      <c r="DJ6" s="90" t="n">
        <v>242009.2871621201</v>
      </c>
      <c r="DK6" s="90" t="n">
        <v>244797.503163871</v>
      </c>
      <c r="DL6" s="90" t="n">
        <v>247394.7429412627</v>
      </c>
      <c r="DM6" s="90" t="n">
        <v>250041.993411474</v>
      </c>
      <c r="DN6" s="90" t="n">
        <v>251899.0607300577</v>
      </c>
      <c r="DO6" s="90" t="n">
        <v>253889.012152177</v>
      </c>
      <c r="DP6" s="90" t="n">
        <v>256606.6068352276</v>
      </c>
      <c r="DQ6" s="90" t="n">
        <v>259412.0821950907</v>
      </c>
      <c r="DR6" s="90" t="n">
        <v>262716.3362585483</v>
      </c>
      <c r="DS6" s="90" t="n">
        <v>265385.1994054356</v>
      </c>
      <c r="DT6" s="90" t="n">
        <v>268330.0273308672</v>
      </c>
      <c r="DU6" s="90" t="n">
        <v>270555.9133460255</v>
      </c>
      <c r="DV6" s="90" t="n">
        <v>272735.1189391229</v>
      </c>
      <c r="DW6" s="90" t="n">
        <v>275917.8113410484</v>
      </c>
      <c r="DX6" s="90" t="n">
        <v>278829.800623826</v>
      </c>
      <c r="DY6" s="90" t="n">
        <v>281906.1662693823</v>
      </c>
      <c r="DZ6" s="90" t="n">
        <v>285629.5500047626</v>
      </c>
      <c r="EA6" s="90" t="n">
        <v>289669.7878455727</v>
      </c>
      <c r="EB6" s="90" t="n">
        <v>293759.6589611823</v>
      </c>
      <c r="EC6" s="90" t="n">
        <v>298435.6374005332</v>
      </c>
      <c r="ED6" s="90" t="n">
        <v>302953.9606272543</v>
      </c>
      <c r="EE6" s="90" t="n">
        <v>308659.8830005504</v>
      </c>
      <c r="EF6" s="90" t="n">
        <v>313821.0938592886</v>
      </c>
      <c r="EG6" s="90" t="n">
        <v>317632.7895843239</v>
      </c>
      <c r="EH6" s="90" t="n">
        <v>323806.6185058778</v>
      </c>
      <c r="EI6" s="90" t="n">
        <v>331612.1050484943</v>
      </c>
      <c r="EJ6" s="90" t="n">
        <v>336617.4481653846</v>
      </c>
      <c r="EK6" s="90" t="n">
        <v>338621.6618481662</v>
      </c>
      <c r="EL6" s="90" t="n">
        <v>346366.9522173649</v>
      </c>
      <c r="EM6" s="90" t="n">
        <v>352205.5762774115</v>
      </c>
      <c r="EN6" s="90" t="n">
        <v>360938.2234265287</v>
      </c>
      <c r="EO6" s="90" t="n">
        <v>360068.7613594283</v>
      </c>
      <c r="EP6" s="90" t="n">
        <v>370109.6542504783</v>
      </c>
      <c r="EQ6" s="90" t="n">
        <v>370783.2033352972</v>
      </c>
      <c r="ER6" s="90" t="n">
        <v>385040.5548354349</v>
      </c>
      <c r="ES6" s="90" t="n">
        <v>401575.0037564591</v>
      </c>
      <c r="ET6" s="90" t="n">
        <v>426350.5801477146</v>
      </c>
      <c r="EU6" s="90" t="n">
        <v>444317.2765015215</v>
      </c>
      <c r="EV6" s="90" t="n">
        <v>530995.7369890098</v>
      </c>
      <c r="EW6" s="90" t="n">
        <v>573248.1378058058</v>
      </c>
      <c r="EX6" s="90" t="n">
        <v>618650.6233802316</v>
      </c>
      <c r="EY6" s="90" t="n">
        <v>0</v>
      </c>
      <c r="EZ6" s="90" t="n">
        <v>0</v>
      </c>
      <c r="FA6" s="90" t="n">
        <v>0</v>
      </c>
    </row>
    <row r="7">
      <c r="A7" s="89" t="inlineStr">
        <is>
          <t>Total Comisiones</t>
        </is>
      </c>
      <c r="B7" s="152">
        <f>SUM(B4:B6)</f>
        <v/>
      </c>
      <c r="C7" s="152">
        <f>SUM(C4:C6)</f>
        <v/>
      </c>
      <c r="D7" s="152">
        <f>SUM(D4:D6)</f>
        <v/>
      </c>
      <c r="E7" s="152">
        <f>SUM(E4:E6)</f>
        <v/>
      </c>
      <c r="F7" s="152">
        <f>SUM(F4:F6)</f>
        <v/>
      </c>
      <c r="G7" s="152">
        <f>SUM(G4:G6)</f>
        <v/>
      </c>
      <c r="H7" s="152">
        <f>SUM(H4:H6)</f>
        <v/>
      </c>
      <c r="I7" s="152">
        <f>SUM(I4:I6)</f>
        <v/>
      </c>
      <c r="J7" s="152">
        <f>SUM(J4:J6)</f>
        <v/>
      </c>
      <c r="K7" s="152">
        <f>SUM(K4:K6)</f>
        <v/>
      </c>
      <c r="L7" s="152">
        <f>SUM(L4:L6)</f>
        <v/>
      </c>
      <c r="M7" s="152">
        <f>SUM(M4:M6)</f>
        <v/>
      </c>
      <c r="N7" s="152">
        <f>SUM(N4:N6)</f>
        <v/>
      </c>
      <c r="O7" s="152">
        <f>SUM(O4:O6)</f>
        <v/>
      </c>
      <c r="P7" s="152">
        <f>SUM(P4:P6)</f>
        <v/>
      </c>
      <c r="Q7" s="152">
        <f>SUM(Q4:Q6)</f>
        <v/>
      </c>
      <c r="R7" s="152">
        <f>SUM(R4:R6)</f>
        <v/>
      </c>
      <c r="S7" s="152">
        <f>SUM(S4:S6)</f>
        <v/>
      </c>
      <c r="T7" s="152">
        <f>SUM(T4:T6)</f>
        <v/>
      </c>
      <c r="U7" s="152">
        <f>SUM(U4:U6)</f>
        <v/>
      </c>
      <c r="V7" s="152">
        <f>SUM(V4:V6)</f>
        <v/>
      </c>
      <c r="W7" s="152">
        <f>SUM(W4:W6)</f>
        <v/>
      </c>
      <c r="X7" s="152">
        <f>SUM(X4:X6)</f>
        <v/>
      </c>
      <c r="Y7" s="152">
        <f>SUM(Y4:Y6)</f>
        <v/>
      </c>
      <c r="Z7" s="152">
        <f>SUM(Z4:Z6)</f>
        <v/>
      </c>
      <c r="AA7" s="152">
        <f>SUM(AA4:AA6)</f>
        <v/>
      </c>
      <c r="AB7" s="152">
        <f>SUM(AB4:AB6)</f>
        <v/>
      </c>
      <c r="AC7" s="152">
        <f>SUM(AC4:AC6)</f>
        <v/>
      </c>
      <c r="AD7" s="152">
        <f>SUM(AD4:AD6)</f>
        <v/>
      </c>
      <c r="AE7" s="152">
        <f>SUM(AE4:AE6)</f>
        <v/>
      </c>
      <c r="AF7" s="152">
        <f>SUM(AF4:AF6)</f>
        <v/>
      </c>
      <c r="AG7" s="152">
        <f>SUM(AG4:AG6)</f>
        <v/>
      </c>
      <c r="AH7" s="152">
        <f>SUM(AH4:AH6)</f>
        <v/>
      </c>
      <c r="AI7" s="152">
        <f>SUM(AI4:AI6)</f>
        <v/>
      </c>
      <c r="AJ7" s="152">
        <f>SUM(AJ4:AJ6)</f>
        <v/>
      </c>
      <c r="AK7" s="152">
        <f>SUM(AK4:AK6)</f>
        <v/>
      </c>
      <c r="AL7" s="152">
        <f>SUM(AL4:AL6)</f>
        <v/>
      </c>
      <c r="AM7" s="152">
        <f>SUM(AM4:AM6)</f>
        <v/>
      </c>
      <c r="AN7" s="152">
        <f>SUM(AN4:AN6)</f>
        <v/>
      </c>
      <c r="AO7" s="152">
        <f>SUM(AO4:AO6)</f>
        <v/>
      </c>
      <c r="AP7" s="152">
        <f>SUM(AP4:AP6)</f>
        <v/>
      </c>
      <c r="AQ7" s="152">
        <f>SUM(AQ4:AQ6)</f>
        <v/>
      </c>
      <c r="AR7" s="152">
        <f>SUM(AR4:AR6)</f>
        <v/>
      </c>
      <c r="AS7" s="152">
        <f>SUM(AS4:AS6)</f>
        <v/>
      </c>
      <c r="AT7" s="152">
        <f>SUM(AT4:AT6)</f>
        <v/>
      </c>
      <c r="AU7" s="152">
        <f>SUM(AU4:AU6)</f>
        <v/>
      </c>
      <c r="AV7" s="152">
        <f>SUM(AV4:AV6)</f>
        <v/>
      </c>
      <c r="AW7" s="152">
        <f>SUM(AW4:AW6)</f>
        <v/>
      </c>
      <c r="AX7" s="152">
        <f>SUM(AX4:AX6)</f>
        <v/>
      </c>
      <c r="AY7" s="152">
        <f>SUM(AY4:AY6)</f>
        <v/>
      </c>
      <c r="AZ7" s="152">
        <f>SUM(AZ4:AZ6)</f>
        <v/>
      </c>
      <c r="BA7" s="152">
        <f>SUM(BA4:BA6)</f>
        <v/>
      </c>
      <c r="BB7" s="152">
        <f>SUM(BB4:BB6)</f>
        <v/>
      </c>
      <c r="BC7" s="152">
        <f>SUM(BC4:BC6)</f>
        <v/>
      </c>
      <c r="BD7" s="152">
        <f>SUM(BD4:BD6)</f>
        <v/>
      </c>
      <c r="BE7" s="152">
        <f>SUM(BE4:BE6)</f>
        <v/>
      </c>
      <c r="BF7" s="152">
        <f>SUM(BF4:BF6)</f>
        <v/>
      </c>
      <c r="BG7" s="152">
        <f>SUM(BG4:BG6)</f>
        <v/>
      </c>
      <c r="BH7" s="152">
        <f>SUM(BH4:BH6)</f>
        <v/>
      </c>
      <c r="BI7" s="152">
        <f>SUM(BI4:BI6)</f>
        <v/>
      </c>
      <c r="BJ7" s="152">
        <f>SUM(BJ4:BJ6)</f>
        <v/>
      </c>
      <c r="BK7" s="152">
        <f>SUM(BK4:BK6)</f>
        <v/>
      </c>
      <c r="BL7" s="152">
        <f>SUM(BL4:BL6)</f>
        <v/>
      </c>
      <c r="BM7" s="152">
        <f>SUM(BM4:BM6)</f>
        <v/>
      </c>
      <c r="BN7" s="152">
        <f>SUM(BN4:BN6)</f>
        <v/>
      </c>
      <c r="BO7" s="152">
        <f>SUM(BO4:BO6)</f>
        <v/>
      </c>
      <c r="BP7" s="152">
        <f>SUM(BP4:BP6)</f>
        <v/>
      </c>
      <c r="BQ7" s="152">
        <f>SUM(BQ4:BQ6)</f>
        <v/>
      </c>
      <c r="BR7" s="152">
        <f>SUM(BR4:BR6)</f>
        <v/>
      </c>
      <c r="BS7" s="152">
        <f>SUM(BS4:BS6)</f>
        <v/>
      </c>
      <c r="BT7" s="152">
        <f>SUM(BT4:BT6)</f>
        <v/>
      </c>
      <c r="BU7" s="152">
        <f>SUM(BU4:BU6)</f>
        <v/>
      </c>
      <c r="BV7" s="152">
        <f>SUM(BV4:BV6)</f>
        <v/>
      </c>
      <c r="BW7" s="152">
        <f>SUM(BW4:BW6)</f>
        <v/>
      </c>
      <c r="BX7" s="152">
        <f>SUM(BX4:BX6)</f>
        <v/>
      </c>
      <c r="BY7" s="152">
        <f>SUM(BY4:BY6)</f>
        <v/>
      </c>
      <c r="BZ7" s="152">
        <f>SUM(BZ4:BZ6)</f>
        <v/>
      </c>
      <c r="CA7" s="152">
        <f>SUM(CA4:CA6)</f>
        <v/>
      </c>
      <c r="CB7" s="152">
        <f>SUM(CB4:CB6)</f>
        <v/>
      </c>
      <c r="CC7" s="152">
        <f>SUM(CC4:CC6)</f>
        <v/>
      </c>
      <c r="CD7" s="152">
        <f>SUM(CD4:CD6)</f>
        <v/>
      </c>
      <c r="CE7" s="152">
        <f>SUM(CE4:CE6)</f>
        <v/>
      </c>
      <c r="CF7" s="152">
        <f>SUM(CF4:CF6)</f>
        <v/>
      </c>
      <c r="CG7" s="152">
        <f>SUM(CG4:CG6)</f>
        <v/>
      </c>
      <c r="CH7" s="152">
        <f>SUM(CH4:CH6)</f>
        <v/>
      </c>
      <c r="CI7" s="152">
        <f>SUM(CI4:CI6)</f>
        <v/>
      </c>
      <c r="CJ7" s="152">
        <f>SUM(CJ4:CJ6)</f>
        <v/>
      </c>
      <c r="CK7" s="152">
        <f>SUM(CK4:CK6)</f>
        <v/>
      </c>
      <c r="CL7" s="152">
        <f>SUM(CL4:CL6)</f>
        <v/>
      </c>
      <c r="CM7" s="152">
        <f>SUM(CM4:CM6)</f>
        <v/>
      </c>
      <c r="CN7" s="152">
        <f>SUM(CN4:CN6)</f>
        <v/>
      </c>
      <c r="CO7" s="152">
        <f>SUM(CO4:CO6)</f>
        <v/>
      </c>
      <c r="CP7" s="152">
        <f>SUM(CP4:CP6)</f>
        <v/>
      </c>
      <c r="CQ7" s="157">
        <f>SUM(CQ4:CQ6)</f>
        <v/>
      </c>
      <c r="CR7" s="152">
        <f>SUM(CR4:CR6)*Supuestos!$B$4</f>
        <v/>
      </c>
      <c r="CS7" s="152">
        <f>SUM(CS4:CS6)*Supuestos!$B$4</f>
        <v/>
      </c>
      <c r="CT7" s="152">
        <f>SUM(CT4:CT6)*Supuestos!$B$4</f>
        <v/>
      </c>
      <c r="CU7" s="152">
        <f>SUM(CU4:CU6)*Supuestos!$B$4</f>
        <v/>
      </c>
      <c r="CV7" s="152">
        <f>SUM(CV4:CV6)*Supuestos!$B$4</f>
        <v/>
      </c>
      <c r="CW7" s="152">
        <f>SUM(CW4:CW6)*Supuestos!$B$4</f>
        <v/>
      </c>
      <c r="CX7" s="152">
        <f>SUM(CX4:CX6)*Supuestos!$B$4</f>
        <v/>
      </c>
      <c r="CY7" s="152">
        <f>SUM(CY4:CY6)*Supuestos!$B$4</f>
        <v/>
      </c>
      <c r="CZ7" s="152">
        <f>SUM(CZ4:CZ6)*Supuestos!$B$4</f>
        <v/>
      </c>
      <c r="DA7" s="152">
        <f>SUM(DA4:DA6)*Supuestos!$B$4</f>
        <v/>
      </c>
      <c r="DB7" s="152">
        <f>SUM(DB4:DB6)*Supuestos!$B$4</f>
        <v/>
      </c>
      <c r="DC7" s="158">
        <f>SUM(DC4:DC6)*Supuestos!$B$4</f>
        <v/>
      </c>
      <c r="DD7" s="152">
        <f>SUM(DD4:DD6)*Supuestos!$B$4</f>
        <v/>
      </c>
      <c r="DE7" s="152">
        <f>SUM(DE4:DE6)*Supuestos!$B$4</f>
        <v/>
      </c>
      <c r="DF7" s="152">
        <f>SUM(DF4:DF6)*Supuestos!$B$4</f>
        <v/>
      </c>
      <c r="DG7" s="152">
        <f>SUM(DG4:DG6)*Supuestos!$B$4</f>
        <v/>
      </c>
      <c r="DH7" s="152">
        <f>SUM(DH4:DH6)*Supuestos!$B$4</f>
        <v/>
      </c>
      <c r="DI7" s="152">
        <f>SUM(DI4:DI6)*Supuestos!$B$4</f>
        <v/>
      </c>
      <c r="DJ7" s="152">
        <f>SUM(DJ4:DJ6)*Supuestos!$B$4</f>
        <v/>
      </c>
      <c r="DK7" s="152">
        <f>SUM(DK4:DK6)*Supuestos!$B$4</f>
        <v/>
      </c>
      <c r="DL7" s="152">
        <f>SUM(DL4:DL6)*Supuestos!$B$4</f>
        <v/>
      </c>
      <c r="DM7" s="152">
        <f>SUM(DM4:DM6)*Supuestos!$B$4</f>
        <v/>
      </c>
      <c r="DN7" s="152">
        <f>SUM(DN4:DN6)*Supuestos!$B$4</f>
        <v/>
      </c>
      <c r="DO7" s="152">
        <f>SUM(DO4:DO6)*Supuestos!$B$4</f>
        <v/>
      </c>
      <c r="DP7" s="152">
        <f>SUM(DP4:DP6)*Supuestos!$B$4</f>
        <v/>
      </c>
      <c r="DQ7" s="152">
        <f>SUM(DQ4:DQ6)*Supuestos!$B$4</f>
        <v/>
      </c>
      <c r="DR7" s="152">
        <f>SUM(DR4:DR6)*Supuestos!$B$4</f>
        <v/>
      </c>
      <c r="DS7" s="152">
        <f>SUM(DS4:DS6)*Supuestos!$B$4</f>
        <v/>
      </c>
      <c r="DT7" s="152">
        <f>SUM(DT4:DT6)*Supuestos!$B$4</f>
        <v/>
      </c>
      <c r="DU7" s="152">
        <f>SUM(DU4:DU6)*Supuestos!$B$4</f>
        <v/>
      </c>
      <c r="DV7" s="152">
        <f>SUM(DV4:DV6)*Supuestos!$B$4</f>
        <v/>
      </c>
      <c r="DW7" s="152">
        <f>SUM(DW4:DW6)*Supuestos!$B$4</f>
        <v/>
      </c>
      <c r="DX7" s="152">
        <f>SUM(DX4:DX6)*Supuestos!$B$4</f>
        <v/>
      </c>
      <c r="DY7" s="152">
        <f>SUM(DY4:DY6)*Supuestos!$B$4</f>
        <v/>
      </c>
      <c r="DZ7" s="152">
        <f>SUM(DZ4:DZ6)*Supuestos!$B$4</f>
        <v/>
      </c>
      <c r="EA7" s="152">
        <f>SUM(EA4:EA6)*Supuestos!$B$4</f>
        <v/>
      </c>
      <c r="EB7" s="152">
        <f>SUM(EB4:EB6)*Supuestos!$B$4</f>
        <v/>
      </c>
      <c r="EC7" s="152">
        <f>SUM(EC4:EC6)*Supuestos!$B$4</f>
        <v/>
      </c>
      <c r="ED7" s="152">
        <f>SUM(ED4:ED6)*Supuestos!$B$4</f>
        <v/>
      </c>
      <c r="EE7" s="152">
        <f>SUM(EE4:EE6)*Supuestos!$B$4</f>
        <v/>
      </c>
      <c r="EF7" s="152">
        <f>SUM(EF4:EF6)*Supuestos!$B$4</f>
        <v/>
      </c>
      <c r="EG7" s="152">
        <f>SUM(EG4:EG6)*Supuestos!$B$4</f>
        <v/>
      </c>
      <c r="EH7" s="152">
        <f>SUM(EH4:EH6)*Supuestos!$B$4</f>
        <v/>
      </c>
      <c r="EI7" s="152">
        <f>SUM(EI4:EI6)*Supuestos!$B$4</f>
        <v/>
      </c>
      <c r="EJ7" s="152">
        <f>SUM(EJ4:EJ6)*Supuestos!$B$4</f>
        <v/>
      </c>
      <c r="EK7" s="152">
        <f>SUM(EK4:EK6)*Supuestos!$B$4</f>
        <v/>
      </c>
      <c r="EL7" s="152">
        <f>SUM(EL4:EL6)*Supuestos!$B$4</f>
        <v/>
      </c>
      <c r="EM7" s="152">
        <f>SUM(EM4:EM6)*Supuestos!$B$4</f>
        <v/>
      </c>
      <c r="EN7" s="152">
        <f>SUM(EN4:EN6)*Supuestos!$B$4</f>
        <v/>
      </c>
      <c r="EO7" s="152">
        <f>SUM(EO4:EO6)*Supuestos!$B$4</f>
        <v/>
      </c>
      <c r="EP7" s="152">
        <f>SUM(EP4:EP6)*Supuestos!$B$4</f>
        <v/>
      </c>
      <c r="EQ7" s="152">
        <f>SUM(EQ4:EQ6)*Supuestos!$B$4</f>
        <v/>
      </c>
      <c r="ER7" s="152">
        <f>SUM(ER4:ER6)*Supuestos!$B$4</f>
        <v/>
      </c>
      <c r="ES7" s="152">
        <f>SUM(ES4:ES6)*Supuestos!$B$4</f>
        <v/>
      </c>
      <c r="ET7" s="152">
        <f>SUM(ET4:ET6)*Supuestos!$B$4</f>
        <v/>
      </c>
      <c r="EU7" s="152">
        <f>SUM(EU4:EU6)*Supuestos!$B$4</f>
        <v/>
      </c>
      <c r="EV7" s="152">
        <f>SUM(EV4:EV6)*Supuestos!$B$4</f>
        <v/>
      </c>
      <c r="EW7" s="152">
        <f>SUM(EW4:EW6)*Supuestos!$B$4</f>
        <v/>
      </c>
      <c r="EX7" s="152">
        <f>SUM(EX4:EX6)*Supuestos!$B$4</f>
        <v/>
      </c>
      <c r="EY7" s="152">
        <f>SUM(EY4:EY6)*Supuestos!$B$4</f>
        <v/>
      </c>
      <c r="EZ7" s="152">
        <f>SUM(EZ4:EZ6)*Supuestos!$B$4</f>
        <v/>
      </c>
      <c r="FA7" s="152">
        <f>SUM(FA4:FA6)*Supuestos!$B$4</f>
        <v/>
      </c>
    </row>
    <row r="8">
      <c r="A8" s="89" t="n"/>
      <c r="B8" s="152" t="n"/>
      <c r="C8" s="152" t="n"/>
      <c r="D8" s="152" t="n"/>
      <c r="E8" s="152" t="n"/>
      <c r="F8" s="152" t="n"/>
      <c r="G8" s="152" t="n"/>
      <c r="H8" s="152" t="n"/>
      <c r="I8" s="152" t="n"/>
      <c r="J8" s="152" t="n"/>
      <c r="K8" s="152" t="n"/>
      <c r="L8" s="152" t="n"/>
      <c r="M8" s="152" t="n"/>
      <c r="N8" s="152" t="n"/>
      <c r="O8" s="152" t="n"/>
      <c r="P8" s="152" t="n"/>
      <c r="Q8" s="152" t="n"/>
      <c r="R8" s="152" t="n"/>
      <c r="S8" s="152" t="n"/>
      <c r="T8" s="152" t="n"/>
      <c r="U8" s="152" t="n"/>
      <c r="V8" s="152" t="n"/>
      <c r="W8" s="152" t="n"/>
      <c r="X8" s="152" t="n"/>
      <c r="Y8" s="152" t="n"/>
      <c r="Z8" s="152" t="n"/>
      <c r="AA8" s="152" t="n"/>
      <c r="AB8" s="152" t="n"/>
      <c r="AC8" s="152" t="n"/>
      <c r="AD8" s="152" t="n"/>
      <c r="AE8" s="152" t="n"/>
      <c r="AF8" s="152" t="n"/>
      <c r="AG8" s="152" t="n"/>
      <c r="AH8" s="152" t="n"/>
      <c r="AI8" s="152" t="n"/>
      <c r="AJ8" s="152" t="n"/>
      <c r="AK8" s="152" t="n"/>
      <c r="AL8" s="152" t="n"/>
      <c r="AM8" s="152" t="n"/>
      <c r="AN8" s="152" t="n"/>
      <c r="AO8" s="152" t="n"/>
      <c r="AP8" s="152" t="n"/>
      <c r="AQ8" s="152" t="n"/>
      <c r="AR8" s="152" t="n"/>
      <c r="AS8" s="152" t="n"/>
      <c r="AT8" s="152" t="n"/>
      <c r="AU8" s="152" t="n"/>
      <c r="AV8" s="152" t="n"/>
      <c r="AW8" s="152" t="n"/>
      <c r="AX8" s="152" t="n"/>
      <c r="AY8" s="152" t="n"/>
      <c r="AZ8" s="152" t="n"/>
      <c r="BA8" s="152" t="n"/>
      <c r="BB8" s="152" t="n"/>
      <c r="BC8" s="152" t="n"/>
      <c r="BD8" s="152" t="n"/>
      <c r="BE8" s="152" t="n"/>
      <c r="BF8" s="152" t="n"/>
      <c r="BG8" s="152" t="n"/>
      <c r="BH8" s="152" t="n"/>
      <c r="BI8" s="152" t="n"/>
      <c r="BJ8" s="152" t="n"/>
      <c r="BK8" s="152" t="n"/>
      <c r="BL8" s="152" t="n"/>
      <c r="BM8" s="152" t="n"/>
      <c r="BN8" s="152" t="n"/>
      <c r="BO8" s="152" t="n"/>
      <c r="BP8" s="152" t="n"/>
      <c r="BQ8" s="152" t="n"/>
      <c r="BR8" s="152" t="n"/>
      <c r="BS8" s="152" t="n"/>
      <c r="BT8" s="152" t="n"/>
      <c r="BU8" s="152" t="n"/>
      <c r="BV8" s="152" t="n"/>
      <c r="BW8" s="152" t="n"/>
      <c r="BX8" s="152" t="n"/>
      <c r="BY8" s="152" t="n"/>
      <c r="BZ8" s="152" t="n"/>
      <c r="CA8" s="152" t="n"/>
      <c r="CB8" s="152" t="n"/>
      <c r="CC8" s="152" t="n"/>
      <c r="CD8" s="152" t="n"/>
      <c r="CE8" s="152" t="n"/>
      <c r="CF8" s="152" t="n"/>
      <c r="CG8" s="152" t="n"/>
      <c r="CH8" s="152" t="n"/>
      <c r="CI8" s="152" t="n"/>
      <c r="CJ8" s="152" t="n"/>
      <c r="CK8" s="152" t="n"/>
      <c r="CL8" s="152" t="n"/>
      <c r="CM8" s="152" t="n"/>
      <c r="CN8" s="152" t="n"/>
      <c r="CO8" s="152" t="n"/>
      <c r="CP8" s="152" t="n"/>
      <c r="CQ8" s="157" t="n"/>
      <c r="CR8" s="152" t="n"/>
      <c r="CS8" s="152" t="n"/>
      <c r="CT8" s="152" t="n"/>
      <c r="CU8" s="152" t="n"/>
      <c r="CV8" s="152" t="n"/>
      <c r="CW8" s="152" t="n"/>
      <c r="CX8" s="152" t="n"/>
      <c r="CY8" s="152" t="n"/>
      <c r="CZ8" s="152" t="n"/>
      <c r="DA8" s="152" t="n"/>
      <c r="DB8" s="152" t="n"/>
      <c r="DC8" s="158" t="n"/>
      <c r="DD8" s="152" t="n"/>
      <c r="DE8" s="152" t="n"/>
      <c r="DF8" s="152" t="n"/>
      <c r="DG8" s="152" t="n"/>
      <c r="DH8" s="152" t="n"/>
      <c r="DI8" s="152" t="n"/>
      <c r="DJ8" s="152" t="n"/>
      <c r="DK8" s="152" t="n"/>
      <c r="DL8" s="152" t="n"/>
      <c r="DM8" s="152" t="n"/>
      <c r="DN8" s="152" t="n"/>
      <c r="DO8" s="152" t="n"/>
      <c r="DP8" s="152" t="n"/>
      <c r="DQ8" s="152" t="n"/>
      <c r="DR8" s="152" t="n"/>
      <c r="DS8" s="152" t="n"/>
      <c r="DT8" s="152" t="n"/>
      <c r="DU8" s="152" t="n"/>
      <c r="DV8" s="152" t="n"/>
      <c r="DW8" s="152" t="n"/>
      <c r="DX8" s="152" t="n"/>
      <c r="DY8" s="152" t="n"/>
      <c r="DZ8" s="152" t="n"/>
      <c r="EA8" s="152" t="n"/>
      <c r="EB8" s="152" t="n"/>
      <c r="EC8" s="152" t="n"/>
      <c r="ED8" s="152" t="n"/>
      <c r="EE8" s="152" t="n"/>
      <c r="EF8" s="152" t="n"/>
      <c r="EG8" s="152" t="n"/>
      <c r="EH8" s="152" t="n"/>
      <c r="EI8" s="152" t="n"/>
      <c r="EJ8" s="152" t="n"/>
      <c r="EK8" s="152" t="n"/>
      <c r="EL8" s="152" t="n"/>
      <c r="EM8" s="152" t="n"/>
      <c r="EN8" s="152" t="n"/>
      <c r="EO8" s="152" t="n"/>
      <c r="EP8" s="152" t="n"/>
      <c r="EQ8" s="152" t="n"/>
      <c r="ER8" s="152" t="n"/>
      <c r="ES8" s="152" t="n"/>
      <c r="ET8" s="152" t="n"/>
      <c r="EU8" s="152" t="n"/>
      <c r="EV8" s="152" t="n"/>
      <c r="EW8" s="152" t="n"/>
      <c r="EX8" s="152" t="n"/>
      <c r="EY8" s="152" t="n"/>
      <c r="EZ8" s="152" t="n"/>
      <c r="FA8" s="152" t="n"/>
    </row>
    <row r="9" hidden="1" outlineLevel="1" collapsed="1">
      <c r="A9" s="89" t="n"/>
      <c r="B9" s="152" t="n"/>
      <c r="C9" s="152" t="n"/>
      <c r="D9" s="152" t="n"/>
      <c r="E9" s="152" t="n"/>
      <c r="F9" s="152" t="n"/>
      <c r="G9" s="152" t="n"/>
      <c r="H9" s="152" t="n"/>
      <c r="I9" s="152" t="n"/>
      <c r="J9" s="152" t="n"/>
      <c r="K9" s="152" t="n"/>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c r="AI9" s="152" t="n"/>
      <c r="AJ9" s="152" t="n"/>
      <c r="AK9" s="152" t="n"/>
      <c r="AL9" s="152" t="n"/>
      <c r="AM9" s="152" t="n"/>
      <c r="AN9" s="152" t="n"/>
      <c r="AO9" s="152" t="n"/>
      <c r="AP9" s="152" t="n"/>
      <c r="AQ9" s="152" t="n"/>
      <c r="AR9" s="152" t="n"/>
      <c r="AS9" s="152" t="n"/>
      <c r="AT9" s="152" t="n"/>
      <c r="AU9" s="152" t="n"/>
      <c r="AV9" s="152" t="n"/>
      <c r="AW9" s="152" t="n"/>
      <c r="AX9" s="152" t="n"/>
      <c r="AY9" s="152" t="n"/>
      <c r="AZ9" s="152" t="n"/>
      <c r="BA9" s="152" t="n"/>
      <c r="BB9" s="152" t="n"/>
      <c r="BC9" s="152" t="n"/>
      <c r="BD9" s="152" t="n"/>
      <c r="BE9" s="152" t="n"/>
      <c r="BF9" s="152" t="n"/>
      <c r="BG9" s="152" t="n"/>
      <c r="BH9" s="152" t="n"/>
      <c r="BI9" s="152" t="n"/>
      <c r="BJ9" s="152" t="n"/>
      <c r="BK9" s="152" t="n"/>
      <c r="BL9" s="152" t="n"/>
      <c r="BM9" s="152" t="n"/>
      <c r="BN9" s="152" t="n"/>
      <c r="BO9" s="152" t="n"/>
      <c r="BP9" s="152" t="n"/>
      <c r="BQ9" s="152" t="n"/>
      <c r="BR9" s="152" t="n"/>
      <c r="BS9" s="152" t="n"/>
      <c r="BT9" s="152" t="n"/>
      <c r="BU9" s="152" t="n"/>
      <c r="BV9" s="152" t="n"/>
      <c r="BW9" s="152" t="n"/>
      <c r="BX9" s="152" t="n"/>
      <c r="BY9" s="152" t="n"/>
      <c r="BZ9" s="152" t="n"/>
      <c r="CA9" s="152" t="n"/>
      <c r="CB9" s="152" t="n"/>
      <c r="CC9" s="152" t="n"/>
      <c r="CD9" s="152" t="n"/>
      <c r="CE9" s="152" t="n"/>
      <c r="CF9" s="152" t="n"/>
      <c r="CG9" s="152" t="n"/>
      <c r="CH9" s="152" t="n"/>
      <c r="CI9" s="152" t="n"/>
      <c r="CJ9" s="152" t="n"/>
      <c r="CK9" s="152" t="n"/>
      <c r="CL9" s="152" t="n"/>
      <c r="CM9" s="152" t="n"/>
      <c r="CN9" s="152" t="n"/>
      <c r="CO9" s="152" t="n"/>
      <c r="CP9" s="152" t="n"/>
      <c r="CQ9" s="157" t="n"/>
      <c r="CR9" s="152">
        <f>#REF!+CR41*0.1</f>
        <v/>
      </c>
      <c r="CS9" s="152">
        <f>#REF!+CS41*0.1</f>
        <v/>
      </c>
      <c r="CT9" s="152">
        <f>#REF!+CT41*0.1</f>
        <v/>
      </c>
      <c r="CU9" s="152">
        <f>#REF!+CU41*0.1</f>
        <v/>
      </c>
      <c r="CV9" s="152">
        <f>#REF!+CV41*0.1</f>
        <v/>
      </c>
      <c r="CW9" s="152">
        <f>#REF!+CW41*0.1</f>
        <v/>
      </c>
      <c r="CX9" s="152">
        <f>#REF!+CX41*0.1</f>
        <v/>
      </c>
      <c r="CY9" s="152">
        <f>#REF!+CY41*0.1</f>
        <v/>
      </c>
      <c r="CZ9" s="152">
        <f>#REF!+CZ41*0.1</f>
        <v/>
      </c>
      <c r="DA9" s="152">
        <f>#REF!+DA41*0.1</f>
        <v/>
      </c>
      <c r="DB9" s="152">
        <f>#REF!+DB41*0.1</f>
        <v/>
      </c>
      <c r="DC9" s="152">
        <f>#REF!+DC41*0.1</f>
        <v/>
      </c>
      <c r="DD9" s="152">
        <f>#REF!+DD41*0.1</f>
        <v/>
      </c>
      <c r="DE9" s="152">
        <f>#REF!+DE41*0.1</f>
        <v/>
      </c>
      <c r="DF9" s="152">
        <f>#REF!+DF41*0.1</f>
        <v/>
      </c>
      <c r="DG9" s="152">
        <f>#REF!+DG41*0.1</f>
        <v/>
      </c>
      <c r="DH9" s="152">
        <f>#REF!+DH41*0.1</f>
        <v/>
      </c>
      <c r="DI9" s="152">
        <f>#REF!+DI41*0.1</f>
        <v/>
      </c>
      <c r="DJ9" s="152">
        <f>#REF!+DJ41*0.1</f>
        <v/>
      </c>
      <c r="DK9" s="152">
        <f>#REF!+DK41*0.1</f>
        <v/>
      </c>
      <c r="DL9" s="152">
        <f>#REF!+DL41*0.1</f>
        <v/>
      </c>
      <c r="DM9" s="152">
        <f>#REF!+DM41*0.1</f>
        <v/>
      </c>
      <c r="DN9" s="152">
        <f>#REF!+DN41*0.1</f>
        <v/>
      </c>
      <c r="DO9" s="152">
        <f>#REF!+DO41*0.1</f>
        <v/>
      </c>
      <c r="DP9" s="152">
        <f>#REF!+DP41*0.1</f>
        <v/>
      </c>
      <c r="DQ9" s="152">
        <f>#REF!+DQ41*0.1</f>
        <v/>
      </c>
      <c r="DR9" s="152">
        <f>#REF!+DR41*0.1</f>
        <v/>
      </c>
      <c r="DS9" s="152">
        <f>#REF!+DS41*0.1</f>
        <v/>
      </c>
      <c r="DT9" s="152">
        <f>#REF!+DT41*0.1</f>
        <v/>
      </c>
      <c r="DU9" s="152">
        <f>#REF!+DU41*0.1</f>
        <v/>
      </c>
      <c r="DV9" s="152">
        <f>#REF!+DV41*0.1</f>
        <v/>
      </c>
      <c r="DW9" s="152">
        <f>#REF!+DW41*0.1</f>
        <v/>
      </c>
      <c r="DX9" s="152">
        <f>#REF!+DX41*0.1</f>
        <v/>
      </c>
      <c r="DY9" s="152">
        <f>#REF!+DY41*0.1</f>
        <v/>
      </c>
      <c r="DZ9" s="152">
        <f>#REF!+DZ41*0.1</f>
        <v/>
      </c>
      <c r="EA9" s="152">
        <f>#REF!+EA41*0.1</f>
        <v/>
      </c>
      <c r="EB9" s="152">
        <f>#REF!+EB41*0.1</f>
        <v/>
      </c>
      <c r="EC9" s="152">
        <f>#REF!+EC41*0.1</f>
        <v/>
      </c>
      <c r="ED9" s="152">
        <f>#REF!+ED41*0.1</f>
        <v/>
      </c>
      <c r="EE9" s="152">
        <f>#REF!+EE41*0.1</f>
        <v/>
      </c>
      <c r="EF9" s="152">
        <f>#REF!+EF41*0.1</f>
        <v/>
      </c>
      <c r="EG9" s="152">
        <f>#REF!+EG41*0.1</f>
        <v/>
      </c>
      <c r="EH9" s="152">
        <f>#REF!+EH41*0.1</f>
        <v/>
      </c>
      <c r="EI9" s="152">
        <f>#REF!+EI41*0.1</f>
        <v/>
      </c>
      <c r="EJ9" s="152">
        <f>#REF!+EJ41*0.1</f>
        <v/>
      </c>
      <c r="EK9" s="152">
        <f>#REF!+EK41*0.1</f>
        <v/>
      </c>
      <c r="EL9" s="152">
        <f>#REF!+EL41*0.1</f>
        <v/>
      </c>
      <c r="EM9" s="152">
        <f>#REF!+EM41*0.1</f>
        <v/>
      </c>
      <c r="EN9" s="152">
        <f>#REF!+EN41*0.1</f>
        <v/>
      </c>
      <c r="EO9" s="152">
        <f>#REF!+EO41*0.1</f>
        <v/>
      </c>
      <c r="EP9" s="152">
        <f>#REF!+EP41*0.1</f>
        <v/>
      </c>
      <c r="EQ9" s="152">
        <f>#REF!+EQ41*0.1</f>
        <v/>
      </c>
      <c r="ER9" s="152">
        <f>#REF!+ER41*0.1</f>
        <v/>
      </c>
      <c r="ES9" s="152">
        <f>#REF!+ES41*0.1</f>
        <v/>
      </c>
      <c r="ET9" s="152">
        <f>#REF!+ET41*0.1</f>
        <v/>
      </c>
      <c r="EU9" s="152">
        <f>#REF!+EU41*0.1</f>
        <v/>
      </c>
      <c r="EV9" s="152">
        <f>#REF!+EV41*0.1</f>
        <v/>
      </c>
      <c r="EW9" s="152">
        <f>#REF!+EW41*0.1</f>
        <v/>
      </c>
      <c r="EX9" s="152">
        <f>#REF!+EX41*0.1</f>
        <v/>
      </c>
      <c r="EY9" s="152">
        <f>#REF!+EY41*0.1</f>
        <v/>
      </c>
      <c r="EZ9" s="152">
        <f>#REF!+EZ41*0.1</f>
        <v/>
      </c>
      <c r="FA9" s="152">
        <f>#REF!+FA41*0.1</f>
        <v/>
      </c>
    </row>
    <row r="10" hidden="1" outlineLevel="1" collapsed="1">
      <c r="A10" s="89" t="n"/>
      <c r="B10" s="152" t="n"/>
      <c r="C10" s="152" t="n"/>
      <c r="D10" s="152" t="n"/>
      <c r="E10" s="152" t="n"/>
      <c r="F10" s="152" t="n"/>
      <c r="G10" s="152" t="n"/>
      <c r="H10" s="152" t="n"/>
      <c r="I10" s="152" t="n"/>
      <c r="J10" s="152" t="n"/>
      <c r="K10" s="152" t="n"/>
      <c r="L10" s="152" t="n"/>
      <c r="M10" s="152" t="n"/>
      <c r="N10" s="152" t="n"/>
      <c r="O10" s="152" t="n"/>
      <c r="P10" s="152" t="n"/>
      <c r="Q10" s="152" t="n"/>
      <c r="R10" s="152" t="n"/>
      <c r="S10" s="152" t="n"/>
      <c r="T10" s="152" t="n"/>
      <c r="U10" s="152" t="n"/>
      <c r="V10" s="152" t="n"/>
      <c r="W10" s="152" t="n"/>
      <c r="X10" s="152" t="n"/>
      <c r="Y10" s="152" t="n"/>
      <c r="Z10" s="152" t="n"/>
      <c r="AA10" s="152" t="n"/>
      <c r="AB10" s="152" t="n"/>
      <c r="AC10" s="152" t="n"/>
      <c r="AD10" s="152" t="n"/>
      <c r="AE10" s="152" t="n"/>
      <c r="AF10" s="152" t="n"/>
      <c r="AG10" s="152" t="n"/>
      <c r="AH10" s="152" t="n"/>
      <c r="AI10" s="152" t="n"/>
      <c r="AJ10" s="152" t="n"/>
      <c r="AK10" s="152" t="n"/>
      <c r="AL10" s="152" t="n"/>
      <c r="AM10" s="152" t="n"/>
      <c r="AN10" s="152" t="n"/>
      <c r="AO10" s="152" t="n"/>
      <c r="AP10" s="152" t="n"/>
      <c r="AQ10" s="152" t="n"/>
      <c r="AR10" s="152" t="n"/>
      <c r="AS10" s="152" t="n"/>
      <c r="AT10" s="152" t="n"/>
      <c r="AU10" s="152" t="n"/>
      <c r="AV10" s="152" t="n"/>
      <c r="AW10" s="152" t="n"/>
      <c r="AX10" s="152" t="n"/>
      <c r="AY10" s="152" t="n"/>
      <c r="AZ10" s="152" t="n"/>
      <c r="BA10" s="152" t="n"/>
      <c r="BB10" s="152" t="n"/>
      <c r="BC10" s="152" t="n"/>
      <c r="BD10" s="152" t="n"/>
      <c r="BE10" s="152" t="n"/>
      <c r="BF10" s="152" t="n"/>
      <c r="BG10" s="152" t="n"/>
      <c r="BH10" s="152" t="n"/>
      <c r="BI10" s="152" t="n"/>
      <c r="BJ10" s="152" t="n"/>
      <c r="BK10" s="152" t="n"/>
      <c r="BL10" s="152" t="n"/>
      <c r="BM10" s="152" t="n"/>
      <c r="BN10" s="152" t="n"/>
      <c r="BO10" s="152" t="n"/>
      <c r="BP10" s="152" t="n"/>
      <c r="BQ10" s="152" t="n"/>
      <c r="BR10" s="152" t="n"/>
      <c r="BS10" s="152" t="n"/>
      <c r="BT10" s="152" t="n"/>
      <c r="BU10" s="152" t="n"/>
      <c r="BV10" s="152" t="n"/>
      <c r="BW10" s="152" t="n"/>
      <c r="BX10" s="152" t="n"/>
      <c r="BY10" s="152" t="n"/>
      <c r="BZ10" s="152" t="n"/>
      <c r="CA10" s="152" t="n"/>
      <c r="CB10" s="152" t="n"/>
      <c r="CC10" s="152" t="n"/>
      <c r="CD10" s="152" t="n"/>
      <c r="CE10" s="152" t="n"/>
      <c r="CF10" s="152" t="n"/>
      <c r="CG10" s="152" t="n"/>
      <c r="CH10" s="152" t="n"/>
      <c r="CI10" s="152" t="n"/>
      <c r="CJ10" s="152" t="n"/>
      <c r="CK10" s="152" t="n"/>
      <c r="CL10" s="152" t="n"/>
      <c r="CM10" s="152" t="n"/>
      <c r="CN10" s="152" t="n"/>
      <c r="CO10" s="152" t="n"/>
      <c r="CP10" s="152" t="n"/>
      <c r="CQ10" s="164" t="n">
        <v>0.205</v>
      </c>
      <c r="CR10" s="152">
        <f>CR9/POWER((1+($CQ$10/12)),CR11)</f>
        <v/>
      </c>
      <c r="CS10" s="152">
        <f>CS9/POWER((1+($CQ$10/12)),CS11)</f>
        <v/>
      </c>
      <c r="CT10" s="152">
        <f>CT9/POWER((1+($CQ$10/12)),CT11)</f>
        <v/>
      </c>
      <c r="CU10" s="152">
        <f>CU9/POWER((1+($CQ$10/12)),CU11)</f>
        <v/>
      </c>
      <c r="CV10" s="152">
        <f>CV9/POWER((1+($CQ$10/12)),CV11)</f>
        <v/>
      </c>
      <c r="CW10" s="152">
        <f>CW9/POWER((1+($CQ$10/12)),CW11)</f>
        <v/>
      </c>
      <c r="CX10" s="152">
        <f>CX9/POWER((1+($CQ$10/12)),CX11)</f>
        <v/>
      </c>
      <c r="CY10" s="152">
        <f>CY9/POWER((1+($CQ$10/12)),CY11)</f>
        <v/>
      </c>
      <c r="CZ10" s="152">
        <f>CZ9/POWER((1+($CQ$10/12)),CZ11)</f>
        <v/>
      </c>
      <c r="DA10" s="152">
        <f>DA9/POWER((1+($CQ$10/12)),DA11)</f>
        <v/>
      </c>
      <c r="DB10" s="152">
        <f>DB9/POWER((1+($CQ$10/12)),DB11)</f>
        <v/>
      </c>
      <c r="DC10" s="152">
        <f>DC9/POWER((1+($CQ$10/12)),DC11)</f>
        <v/>
      </c>
      <c r="DD10" s="152">
        <f>DD9/POWER((1+($CQ$10/12)),DD11)</f>
        <v/>
      </c>
      <c r="DE10" s="152">
        <f>DE9/POWER((1+($CQ$10/12)),DE11)</f>
        <v/>
      </c>
      <c r="DF10" s="152">
        <f>DF9/POWER((1+($CQ$10/12)),DF11)</f>
        <v/>
      </c>
      <c r="DG10" s="152">
        <f>DG9/POWER((1+($CQ$10/12)),DG11)</f>
        <v/>
      </c>
      <c r="DH10" s="152">
        <f>DH9/POWER((1+($CQ$10/12)),DH11)</f>
        <v/>
      </c>
      <c r="DI10" s="152">
        <f>DI9/POWER((1+($CQ$10/12)),DI11)</f>
        <v/>
      </c>
      <c r="DJ10" s="152">
        <f>DJ9/POWER((1+($CQ$10/12)),DJ11)</f>
        <v/>
      </c>
      <c r="DK10" s="152">
        <f>DK9/POWER((1+($CQ$10/12)),DK11)</f>
        <v/>
      </c>
      <c r="DL10" s="152">
        <f>DL9/POWER((1+($CQ$10/12)),DL11)</f>
        <v/>
      </c>
      <c r="DM10" s="152">
        <f>DM9/POWER((1+($CQ$10/12)),DM11)</f>
        <v/>
      </c>
      <c r="DN10" s="152">
        <f>DN9/POWER((1+($CQ$10/12)),DN11)</f>
        <v/>
      </c>
      <c r="DO10" s="152">
        <f>DO9/POWER((1+($CQ$10/12)),DO11)</f>
        <v/>
      </c>
      <c r="DP10" s="152">
        <f>DP9/POWER((1+($CQ$10/12)),DP11)</f>
        <v/>
      </c>
      <c r="DQ10" s="152">
        <f>DQ9/POWER((1+($CQ$10/12)),DQ11)</f>
        <v/>
      </c>
      <c r="DR10" s="152">
        <f>DR9/POWER((1+($CQ$10/12)),DR11)</f>
        <v/>
      </c>
      <c r="DS10" s="152">
        <f>DS9/POWER((1+($CQ$10/12)),DS11)</f>
        <v/>
      </c>
      <c r="DT10" s="152">
        <f>DT9/POWER((1+($CQ$10/12)),DT11)</f>
        <v/>
      </c>
      <c r="DU10" s="152">
        <f>DU9/POWER((1+($CQ$10/12)),DU11)</f>
        <v/>
      </c>
      <c r="DV10" s="152">
        <f>DV9/POWER((1+($CQ$10/12)),DV11)</f>
        <v/>
      </c>
      <c r="DW10" s="152">
        <f>DW9/POWER((1+($CQ$10/12)),DW11)</f>
        <v/>
      </c>
      <c r="DX10" s="152">
        <f>DX9/POWER((1+($CQ$10/12)),DX11)</f>
        <v/>
      </c>
      <c r="DY10" s="152">
        <f>DY9/POWER((1+($CQ$10/12)),DY11)</f>
        <v/>
      </c>
      <c r="DZ10" s="152">
        <f>DZ9/POWER((1+($CQ$10/12)),DZ11)</f>
        <v/>
      </c>
      <c r="EA10" s="152">
        <f>EA9/POWER((1+($CQ$10/12)),EA11)</f>
        <v/>
      </c>
      <c r="EB10" s="152">
        <f>EB9/POWER((1+($CQ$10/12)),EB11)</f>
        <v/>
      </c>
      <c r="EC10" s="152">
        <f>EC9/POWER((1+($CQ$10/12)),EC11)</f>
        <v/>
      </c>
      <c r="ED10" s="152">
        <f>ED9/POWER((1+($CQ$10/12)),ED11)</f>
        <v/>
      </c>
      <c r="EE10" s="152">
        <f>EE9/POWER((1+($CQ$10/12)),EE11)</f>
        <v/>
      </c>
      <c r="EF10" s="152">
        <f>EF9/POWER((1+($CQ$10/12)),EF11)</f>
        <v/>
      </c>
      <c r="EG10" s="152">
        <f>EG9/POWER((1+($CQ$10/12)),EG11)</f>
        <v/>
      </c>
      <c r="EH10" s="152">
        <f>EH9/POWER((1+($CQ$10/12)),EH11)</f>
        <v/>
      </c>
      <c r="EI10" s="152">
        <f>EI9/POWER((1+($CQ$10/12)),EI11)</f>
        <v/>
      </c>
      <c r="EJ10" s="152">
        <f>EJ9/POWER((1+($CQ$10/12)),EJ11)</f>
        <v/>
      </c>
      <c r="EK10" s="152">
        <f>EK9/POWER((1+($CQ$10/12)),EK11)</f>
        <v/>
      </c>
      <c r="EL10" s="152">
        <f>EL9/POWER((1+($CQ$10/12)),EL11)</f>
        <v/>
      </c>
      <c r="EM10" s="152">
        <f>EM9/POWER((1+($CQ$10/12)),EM11)</f>
        <v/>
      </c>
      <c r="EN10" s="152">
        <f>EN9/POWER((1+($CQ$10/12)),EN11)</f>
        <v/>
      </c>
      <c r="EO10" s="152">
        <f>EO9/POWER((1+($CQ$10/12)),EO11)</f>
        <v/>
      </c>
      <c r="EP10" s="152">
        <f>EP9/POWER((1+($CQ$10/12)),EP11)</f>
        <v/>
      </c>
      <c r="EQ10" s="152">
        <f>EQ9/POWER((1+($CQ$10/12)),EQ11)</f>
        <v/>
      </c>
      <c r="ER10" s="152">
        <f>ER9/POWER((1+($CQ$10/12)),ER11)</f>
        <v/>
      </c>
      <c r="ES10" s="152">
        <f>ES9/POWER((1+($CQ$10/12)),ES11)</f>
        <v/>
      </c>
      <c r="ET10" s="152">
        <f>ET9/POWER((1+($CQ$10/12)),ET11)</f>
        <v/>
      </c>
      <c r="EU10" s="152">
        <f>EU9/POWER((1+($CQ$10/12)),EU11)</f>
        <v/>
      </c>
      <c r="EV10" s="152">
        <f>EV9/POWER((1+($CQ$10/12)),EV11)</f>
        <v/>
      </c>
      <c r="EW10" s="152">
        <f>EW9/POWER((1+($CQ$10/12)),EW11)</f>
        <v/>
      </c>
      <c r="EX10" s="152">
        <f>EX9/POWER((1+($CQ$10/12)),EX11)</f>
        <v/>
      </c>
      <c r="EY10" s="152">
        <f>EY9/POWER((1+($CQ$10/12)),EY11)</f>
        <v/>
      </c>
      <c r="EZ10" s="152">
        <f>EZ9/POWER((1+($CQ$10/12)),EZ11)</f>
        <v/>
      </c>
      <c r="FA10" s="152">
        <f>FA9/POWER((1+($CQ$10/12)),FA11)</f>
        <v/>
      </c>
    </row>
    <row r="11" hidden="1" outlineLevel="1" collapsed="1">
      <c r="A11" s="89" t="n"/>
      <c r="B11" s="152" t="n"/>
      <c r="C11" s="152" t="n"/>
      <c r="D11" s="152" t="n"/>
      <c r="E11" s="152" t="n"/>
      <c r="F11" s="152" t="n"/>
      <c r="G11" s="152" t="n"/>
      <c r="H11" s="152" t="n"/>
      <c r="I11" s="152" t="n"/>
      <c r="J11" s="152" t="n"/>
      <c r="K11" s="152" t="n"/>
      <c r="L11" s="152" t="n"/>
      <c r="M11" s="152" t="n"/>
      <c r="N11" s="152" t="n"/>
      <c r="O11" s="152" t="n"/>
      <c r="P11" s="152" t="n"/>
      <c r="Q11" s="152" t="n"/>
      <c r="R11" s="152" t="n"/>
      <c r="S11" s="152" t="n"/>
      <c r="T11" s="152" t="n"/>
      <c r="U11" s="152" t="n"/>
      <c r="V11" s="152" t="n"/>
      <c r="W11" s="152" t="n"/>
      <c r="X11" s="152" t="n"/>
      <c r="Y11" s="152" t="n"/>
      <c r="Z11" s="152" t="n"/>
      <c r="AA11" s="152" t="n"/>
      <c r="AB11" s="152" t="n"/>
      <c r="AC11" s="152" t="n"/>
      <c r="AD11" s="152" t="n"/>
      <c r="AE11" s="152" t="n"/>
      <c r="AF11" s="152" t="n"/>
      <c r="AG11" s="152" t="n"/>
      <c r="AH11" s="152" t="n"/>
      <c r="AI11" s="152" t="n"/>
      <c r="AJ11" s="152" t="n"/>
      <c r="AK11" s="152" t="n"/>
      <c r="AL11" s="152" t="n"/>
      <c r="AM11" s="152" t="n"/>
      <c r="AN11" s="152" t="n"/>
      <c r="AO11" s="152" t="n"/>
      <c r="AP11" s="152" t="n"/>
      <c r="AQ11" s="152" t="n"/>
      <c r="AR11" s="152" t="n"/>
      <c r="AS11" s="152" t="n"/>
      <c r="AT11" s="152" t="n"/>
      <c r="AU11" s="152" t="n"/>
      <c r="AV11" s="152" t="n"/>
      <c r="AW11" s="152" t="n"/>
      <c r="AX11" s="152" t="n"/>
      <c r="AY11" s="152" t="n"/>
      <c r="AZ11" s="152" t="n"/>
      <c r="BA11" s="152" t="n"/>
      <c r="BB11" s="152" t="n"/>
      <c r="BC11" s="152" t="n"/>
      <c r="BD11" s="152" t="n"/>
      <c r="BE11" s="152" t="n"/>
      <c r="BF11" s="152" t="n"/>
      <c r="BG11" s="152" t="n"/>
      <c r="BH11" s="152" t="n"/>
      <c r="BI11" s="152" t="n"/>
      <c r="BJ11" s="152" t="n"/>
      <c r="BK11" s="152" t="n"/>
      <c r="BL11" s="152" t="n"/>
      <c r="BM11" s="152" t="n"/>
      <c r="BN11" s="152" t="n"/>
      <c r="BO11" s="152" t="n"/>
      <c r="BP11" s="152" t="n"/>
      <c r="BQ11" s="152" t="n"/>
      <c r="BR11" s="152" t="n"/>
      <c r="BS11" s="152" t="n"/>
      <c r="BT11" s="152" t="n"/>
      <c r="BU11" s="152" t="n"/>
      <c r="BV11" s="152" t="n"/>
      <c r="BW11" s="152" t="n"/>
      <c r="BX11" s="152" t="n"/>
      <c r="BY11" s="152" t="n"/>
      <c r="BZ11" s="152" t="n"/>
      <c r="CA11" s="152" t="n"/>
      <c r="CB11" s="152" t="n"/>
      <c r="CC11" s="152" t="n"/>
      <c r="CD11" s="152" t="n"/>
      <c r="CE11" s="152" t="n"/>
      <c r="CF11" s="152" t="n"/>
      <c r="CG11" s="152" t="n"/>
      <c r="CH11" s="152" t="n"/>
      <c r="CI11" s="152" t="n"/>
      <c r="CJ11" s="152" t="n"/>
      <c r="CK11" s="152" t="n"/>
      <c r="CL11" s="152" t="n"/>
      <c r="CM11" s="152" t="n"/>
      <c r="CN11" s="152" t="n"/>
      <c r="CO11" s="152" t="n"/>
      <c r="CP11" s="152" t="n"/>
      <c r="CQ11" s="157" t="n"/>
      <c r="CR11" s="165" t="n">
        <v>0</v>
      </c>
      <c r="CS11" s="165" t="n">
        <v>1</v>
      </c>
      <c r="CT11" s="165" t="n">
        <v>2</v>
      </c>
      <c r="CU11" s="165" t="n">
        <v>3</v>
      </c>
      <c r="CV11" s="165" t="n">
        <v>4</v>
      </c>
      <c r="CW11" s="165" t="n">
        <v>5</v>
      </c>
      <c r="CX11" s="165" t="n">
        <v>6</v>
      </c>
      <c r="CY11" s="165" t="n">
        <v>7</v>
      </c>
      <c r="CZ11" s="165" t="n">
        <v>8</v>
      </c>
      <c r="DA11" s="165" t="n">
        <v>9</v>
      </c>
      <c r="DB11" s="165" t="n">
        <v>10</v>
      </c>
      <c r="DC11" s="165" t="n">
        <v>11</v>
      </c>
      <c r="DD11" s="165" t="n">
        <v>12</v>
      </c>
      <c r="DE11" s="165" t="n">
        <v>13</v>
      </c>
      <c r="DF11" s="165" t="n">
        <v>14</v>
      </c>
      <c r="DG11" s="165" t="n">
        <v>15</v>
      </c>
      <c r="DH11" s="165" t="n">
        <v>16</v>
      </c>
      <c r="DI11" s="165" t="n">
        <v>17</v>
      </c>
      <c r="DJ11" s="165" t="n">
        <v>18</v>
      </c>
      <c r="DK11" s="165" t="n">
        <v>19</v>
      </c>
      <c r="DL11" s="165" t="n">
        <v>20</v>
      </c>
      <c r="DM11" s="165" t="n">
        <v>21</v>
      </c>
      <c r="DN11" s="165" t="n">
        <v>22</v>
      </c>
      <c r="DO11" s="165" t="n">
        <v>23</v>
      </c>
      <c r="DP11" s="165" t="n">
        <v>24</v>
      </c>
      <c r="DQ11" s="165" t="n">
        <v>25</v>
      </c>
      <c r="DR11" s="165" t="n">
        <v>26</v>
      </c>
      <c r="DS11" s="165" t="n">
        <v>27</v>
      </c>
      <c r="DT11" s="165" t="n">
        <v>28</v>
      </c>
      <c r="DU11" s="165" t="n">
        <v>29</v>
      </c>
      <c r="DV11" s="165" t="n">
        <v>30</v>
      </c>
      <c r="DW11" s="165" t="n">
        <v>31</v>
      </c>
      <c r="DX11" s="165" t="n">
        <v>32</v>
      </c>
      <c r="DY11" s="165" t="n">
        <v>33</v>
      </c>
      <c r="DZ11" s="165" t="n">
        <v>34</v>
      </c>
      <c r="EA11" s="165" t="n">
        <v>35</v>
      </c>
      <c r="EB11" s="165" t="n">
        <v>36</v>
      </c>
      <c r="EC11" s="165" t="n">
        <v>37</v>
      </c>
      <c r="ED11" s="165" t="n">
        <v>38</v>
      </c>
      <c r="EE11" s="165" t="n">
        <v>39</v>
      </c>
      <c r="EF11" s="165" t="n">
        <v>40</v>
      </c>
      <c r="EG11" s="165" t="n">
        <v>41</v>
      </c>
      <c r="EH11" s="165" t="n">
        <v>42</v>
      </c>
      <c r="EI11" s="165" t="n">
        <v>43</v>
      </c>
      <c r="EJ11" s="165" t="n">
        <v>44</v>
      </c>
      <c r="EK11" s="165" t="n">
        <v>45</v>
      </c>
      <c r="EL11" s="165" t="n">
        <v>46</v>
      </c>
      <c r="EM11" s="165" t="n">
        <v>47</v>
      </c>
      <c r="EN11" s="165" t="n">
        <v>48</v>
      </c>
      <c r="EO11" s="165" t="n">
        <v>49</v>
      </c>
      <c r="EP11" s="165" t="n">
        <v>50</v>
      </c>
      <c r="EQ11" s="165" t="n">
        <v>51</v>
      </c>
      <c r="ER11" s="165" t="n">
        <v>52</v>
      </c>
      <c r="ES11" s="165" t="n">
        <v>53</v>
      </c>
      <c r="ET11" s="165" t="n">
        <v>54</v>
      </c>
      <c r="EU11" s="165" t="n">
        <v>55</v>
      </c>
      <c r="EV11" s="165" t="n">
        <v>56</v>
      </c>
      <c r="EW11" s="165" t="n">
        <v>57</v>
      </c>
      <c r="EX11" s="165" t="n">
        <v>58</v>
      </c>
      <c r="EY11" s="165" t="n">
        <v>59</v>
      </c>
      <c r="EZ11" s="165" t="n">
        <v>60</v>
      </c>
      <c r="FA11" s="165" t="n">
        <v>61</v>
      </c>
    </row>
    <row r="12" hidden="1" outlineLevel="1" collapsed="1">
      <c r="A12" s="89" t="n"/>
      <c r="B12" s="152" t="n"/>
      <c r="C12" s="152" t="n"/>
      <c r="D12" s="152" t="n"/>
      <c r="E12" s="152" t="n"/>
      <c r="F12" s="152" t="n"/>
      <c r="G12" s="152" t="n"/>
      <c r="H12" s="152" t="n"/>
      <c r="I12" s="152" t="n"/>
      <c r="J12" s="152" t="n"/>
      <c r="K12" s="152" t="n"/>
      <c r="L12" s="152" t="n"/>
      <c r="M12" s="152" t="n"/>
      <c r="N12" s="152" t="n"/>
      <c r="O12" s="152" t="n"/>
      <c r="P12" s="152" t="n"/>
      <c r="Q12" s="152" t="n"/>
      <c r="R12" s="152" t="n"/>
      <c r="S12" s="152" t="n"/>
      <c r="T12" s="152" t="n"/>
      <c r="U12" s="152" t="n"/>
      <c r="V12" s="152" t="n"/>
      <c r="W12" s="152" t="n"/>
      <c r="X12" s="152" t="n"/>
      <c r="Y12" s="152" t="n"/>
      <c r="Z12" s="152" t="n"/>
      <c r="AA12" s="152" t="n"/>
      <c r="AB12" s="152" t="n"/>
      <c r="AC12" s="152" t="n"/>
      <c r="AD12" s="152" t="n"/>
      <c r="AE12" s="152" t="n"/>
      <c r="AF12" s="152" t="n"/>
      <c r="AG12" s="152" t="n"/>
      <c r="AH12" s="152" t="n"/>
      <c r="AI12" s="152" t="n"/>
      <c r="AJ12" s="152" t="n"/>
      <c r="AK12" s="152" t="n"/>
      <c r="AL12" s="152" t="n"/>
      <c r="AM12" s="152" t="n"/>
      <c r="AN12" s="152" t="n"/>
      <c r="AO12" s="152" t="n"/>
      <c r="AP12" s="152" t="n"/>
      <c r="AQ12" s="152" t="n"/>
      <c r="AR12" s="152" t="n"/>
      <c r="AS12" s="152" t="n"/>
      <c r="AT12" s="152" t="n"/>
      <c r="AU12" s="152" t="n"/>
      <c r="AV12" s="152" t="n"/>
      <c r="AW12" s="152" t="n"/>
      <c r="AX12" s="152" t="n"/>
      <c r="AY12" s="152" t="n"/>
      <c r="AZ12" s="152" t="n"/>
      <c r="BA12" s="152" t="n"/>
      <c r="BB12" s="152" t="n"/>
      <c r="BC12" s="152" t="n"/>
      <c r="BD12" s="152" t="n"/>
      <c r="BE12" s="152" t="n"/>
      <c r="BF12" s="152" t="n"/>
      <c r="BG12" s="152" t="n"/>
      <c r="BH12" s="152" t="n"/>
      <c r="BI12" s="152" t="n"/>
      <c r="BJ12" s="152" t="n"/>
      <c r="BK12" s="152" t="n"/>
      <c r="BL12" s="152" t="n"/>
      <c r="BM12" s="152" t="n"/>
      <c r="BN12" s="152" t="n"/>
      <c r="BO12" s="152" t="n"/>
      <c r="BP12" s="152" t="n"/>
      <c r="BQ12" s="152" t="n"/>
      <c r="BR12" s="152" t="n"/>
      <c r="BS12" s="152" t="n"/>
      <c r="BT12" s="152" t="n"/>
      <c r="BU12" s="152" t="n"/>
      <c r="BV12" s="152" t="n"/>
      <c r="BW12" s="152" t="n"/>
      <c r="BX12" s="152" t="n"/>
      <c r="BY12" s="152" t="n"/>
      <c r="BZ12" s="152" t="n"/>
      <c r="CA12" s="152" t="n"/>
      <c r="CB12" s="152" t="n"/>
      <c r="CC12" s="152" t="n"/>
      <c r="CD12" s="152" t="n"/>
      <c r="CE12" s="152" t="n"/>
      <c r="CF12" s="152" t="n"/>
      <c r="CG12" s="152" t="n"/>
      <c r="CH12" s="152" t="n"/>
      <c r="CI12" s="152" t="n"/>
      <c r="CJ12" s="152" t="n"/>
      <c r="CK12" s="152" t="n"/>
      <c r="CL12" s="152" t="n"/>
      <c r="CM12" s="152" t="n"/>
      <c r="CN12" s="152" t="n"/>
      <c r="CO12" s="152" t="n"/>
      <c r="CP12" s="152" t="n"/>
      <c r="CQ12" s="157" t="n"/>
      <c r="CR12" s="152">
        <f t="array" ref="CR12">NPV(CQ10/12,CR9:EC9)</f>
        <v/>
      </c>
      <c r="CS12" s="152">
        <f>SUM(CR10:EC10)</f>
        <v/>
      </c>
      <c r="CT12" s="152" t="n"/>
      <c r="CU12" s="152" t="n"/>
      <c r="CV12" s="152" t="n"/>
      <c r="CW12" s="152" t="n"/>
      <c r="CX12" s="152" t="n"/>
      <c r="CY12" s="152" t="n"/>
      <c r="CZ12" s="152" t="n"/>
      <c r="DA12" s="152" t="n"/>
      <c r="DB12" s="152" t="n"/>
      <c r="DC12" s="158" t="n"/>
      <c r="DD12" s="152" t="n"/>
      <c r="DE12" s="152" t="n"/>
      <c r="DF12" s="152" t="n"/>
      <c r="DG12" s="152" t="n"/>
      <c r="DH12" s="152" t="n"/>
      <c r="DI12" s="152" t="n"/>
      <c r="DJ12" s="152" t="n"/>
      <c r="DK12" s="152" t="n"/>
      <c r="DL12" s="152" t="n"/>
      <c r="DM12" s="152" t="n"/>
      <c r="DN12" s="152" t="n"/>
      <c r="DO12" s="152" t="n"/>
      <c r="DP12" s="152" t="n"/>
      <c r="DQ12" s="152" t="n"/>
      <c r="DR12" s="152" t="n"/>
      <c r="DS12" s="152" t="n"/>
      <c r="DT12" s="152" t="n"/>
      <c r="DU12" s="152" t="n"/>
      <c r="DV12" s="152" t="n"/>
      <c r="DW12" s="152" t="n"/>
      <c r="DX12" s="152" t="n"/>
      <c r="DY12" s="152" t="n"/>
      <c r="DZ12" s="152" t="n"/>
      <c r="EA12" s="152" t="n"/>
      <c r="EB12" s="152" t="n"/>
      <c r="EC12" s="152" t="n"/>
      <c r="ED12" s="152" t="n"/>
      <c r="EE12" s="152" t="n"/>
      <c r="EF12" s="152" t="n"/>
      <c r="EG12" s="152" t="n"/>
      <c r="EH12" s="152" t="n"/>
      <c r="EI12" s="152" t="n"/>
      <c r="EJ12" s="152" t="n"/>
      <c r="EK12" s="152" t="n"/>
      <c r="EL12" s="152" t="n"/>
      <c r="EM12" s="152" t="n"/>
      <c r="EN12" s="152" t="n"/>
      <c r="EO12" s="152" t="n"/>
      <c r="EP12" s="152" t="n"/>
      <c r="EQ12" s="152" t="n"/>
      <c r="ER12" s="152" t="n"/>
      <c r="ES12" s="152" t="n"/>
      <c r="ET12" s="152" t="n"/>
      <c r="EU12" s="152" t="n"/>
      <c r="EV12" s="152" t="n"/>
      <c r="EW12" s="152" t="n"/>
      <c r="EX12" s="152" t="n"/>
      <c r="EY12" s="152" t="n"/>
      <c r="EZ12" s="152" t="n"/>
      <c r="FA12" s="152" t="n"/>
    </row>
    <row r="13" hidden="1" outlineLevel="1" collapsed="1">
      <c r="A13" s="89" t="n"/>
      <c r="B13" s="90" t="n"/>
      <c r="C13" s="90" t="n"/>
      <c r="D13" s="90" t="n"/>
      <c r="E13" s="90" t="n"/>
      <c r="F13" s="90" t="n"/>
      <c r="G13" s="90" t="n"/>
      <c r="H13" s="90" t="n"/>
      <c r="I13" s="90" t="n"/>
      <c r="J13" s="90" t="n"/>
      <c r="K13" s="90" t="n"/>
      <c r="L13" s="90" t="n"/>
      <c r="M13" s="90" t="n"/>
      <c r="N13" s="90" t="n"/>
      <c r="O13" s="90" t="n"/>
      <c r="P13" s="90" t="n"/>
      <c r="Q13" s="90" t="n"/>
      <c r="R13" s="90" t="n"/>
      <c r="S13" s="90" t="n"/>
      <c r="T13" s="90" t="n"/>
      <c r="U13" s="90" t="n"/>
      <c r="V13" s="90" t="n"/>
      <c r="W13" s="90" t="n"/>
      <c r="X13" s="90" t="n"/>
      <c r="Y13" s="90" t="n"/>
      <c r="Z13" s="90" t="n"/>
      <c r="AA13" s="90" t="n"/>
      <c r="AB13" s="90" t="n"/>
      <c r="AC13" s="90" t="n"/>
      <c r="AD13" s="90" t="n"/>
      <c r="AE13" s="90" t="n"/>
      <c r="AF13" s="90" t="n"/>
      <c r="AG13" s="90" t="n"/>
      <c r="AH13" s="90" t="n"/>
      <c r="AI13" s="90" t="n"/>
      <c r="AJ13" s="90" t="n"/>
      <c r="AK13" s="90" t="n"/>
      <c r="AL13" s="90" t="n"/>
      <c r="AM13" s="90" t="n"/>
      <c r="AN13" s="90" t="n"/>
      <c r="AO13" s="90" t="n"/>
      <c r="AP13" s="90" t="n"/>
      <c r="AQ13" s="90" t="n"/>
      <c r="AR13" s="90" t="n"/>
      <c r="AS13" s="90" t="n"/>
      <c r="AT13" s="90" t="n"/>
      <c r="AU13" s="90" t="n"/>
      <c r="AV13" s="90" t="n"/>
      <c r="AW13" s="90" t="n"/>
      <c r="AX13" s="90" t="n"/>
      <c r="AY13" s="90" t="n"/>
      <c r="AZ13" s="90" t="n"/>
      <c r="BA13" s="90" t="n"/>
      <c r="BB13" s="90" t="n"/>
      <c r="BC13" s="90" t="n"/>
      <c r="BD13" s="90" t="n"/>
      <c r="BE13" s="90" t="n"/>
      <c r="BF13" s="90" t="n"/>
      <c r="BG13" s="90" t="n"/>
      <c r="BH13" s="90" t="n"/>
      <c r="BI13" s="90" t="n"/>
      <c r="BJ13" s="90" t="n"/>
      <c r="BK13" s="90" t="n"/>
      <c r="BL13" s="90" t="n"/>
      <c r="BM13" s="90" t="n"/>
      <c r="BN13" s="90" t="n"/>
      <c r="BO13" s="90" t="n"/>
      <c r="BP13" s="90" t="n"/>
      <c r="BQ13" s="90" t="n"/>
      <c r="BR13" s="90" t="n"/>
      <c r="BS13" s="90" t="n"/>
      <c r="BT13" s="90" t="n"/>
      <c r="BU13" s="90" t="n"/>
      <c r="BV13" s="90" t="n"/>
      <c r="BW13" s="90" t="n"/>
      <c r="BX13" s="90" t="n"/>
      <c r="BY13" s="90" t="n"/>
      <c r="BZ13" s="90" t="n"/>
      <c r="CA13" s="90" t="n"/>
      <c r="CB13" s="90" t="n"/>
      <c r="CC13" s="90" t="n"/>
      <c r="CD13" s="90" t="n"/>
      <c r="CE13" s="90" t="n"/>
      <c r="CF13" s="90" t="n"/>
      <c r="CG13" s="90" t="n"/>
      <c r="CH13" s="90" t="n"/>
      <c r="CI13" s="90" t="n"/>
      <c r="CJ13" s="90" t="n"/>
      <c r="CK13" s="90" t="n"/>
      <c r="CL13" s="90" t="n"/>
      <c r="CM13" s="90" t="n"/>
      <c r="CN13" s="90" t="n"/>
      <c r="CO13" s="90" t="n"/>
      <c r="CP13" s="90" t="n"/>
      <c r="CQ13" s="162" t="n"/>
      <c r="CR13" s="90" t="n"/>
      <c r="CS13" s="90" t="n"/>
      <c r="CT13" s="90" t="n"/>
      <c r="CU13" s="90" t="n"/>
      <c r="CV13" s="90" t="n"/>
      <c r="CW13" s="90" t="n"/>
      <c r="CX13" s="90" t="n"/>
      <c r="CY13" s="90" t="n"/>
      <c r="CZ13" s="90" t="n"/>
      <c r="DA13" s="90" t="n"/>
      <c r="DB13" s="90" t="n"/>
      <c r="DC13" s="163" t="n"/>
      <c r="DD13" s="90" t="n"/>
      <c r="DE13" s="90" t="n"/>
      <c r="DF13" s="90" t="n"/>
      <c r="DG13" s="90" t="n"/>
      <c r="DH13" s="90" t="n"/>
      <c r="DI13" s="90" t="n"/>
      <c r="DJ13" s="90" t="n"/>
      <c r="DK13" s="90" t="n"/>
      <c r="DL13" s="90" t="n"/>
      <c r="DM13" s="90" t="n"/>
      <c r="DN13" s="90" t="n"/>
      <c r="DO13" s="90" t="n"/>
      <c r="DP13" s="90" t="n"/>
      <c r="DQ13" s="90" t="n"/>
      <c r="DR13" s="90" t="n"/>
      <c r="DS13" s="90" t="n"/>
      <c r="DT13" s="90" t="n"/>
      <c r="DU13" s="90" t="n"/>
      <c r="DV13" s="90" t="n"/>
      <c r="DW13" s="90" t="n"/>
      <c r="DX13" s="90" t="n"/>
      <c r="DY13" s="90" t="n"/>
      <c r="DZ13" s="90" t="n"/>
      <c r="EA13" s="90" t="n"/>
      <c r="EB13" s="90" t="n"/>
      <c r="EC13" s="90" t="n"/>
      <c r="ED13" s="90" t="n"/>
      <c r="EE13" s="90" t="n"/>
      <c r="EF13" s="90" t="n"/>
      <c r="EG13" s="90" t="n"/>
      <c r="EH13" s="90" t="n"/>
      <c r="EI13" s="90" t="n"/>
      <c r="EJ13" s="90" t="n"/>
      <c r="EK13" s="90" t="n"/>
      <c r="EL13" s="90" t="n"/>
      <c r="EM13" s="90" t="n"/>
      <c r="EN13" s="90" t="n"/>
      <c r="EO13" s="90" t="n"/>
      <c r="EP13" s="90" t="n"/>
      <c r="EQ13" s="90" t="n"/>
      <c r="ER13" s="90" t="n"/>
      <c r="ES13" s="90" t="n"/>
      <c r="ET13" s="90" t="n"/>
      <c r="EU13" s="90" t="n"/>
      <c r="EV13" s="90" t="n"/>
      <c r="EW13" s="90" t="n"/>
      <c r="EX13" s="90" t="n"/>
      <c r="EY13" s="90" t="n"/>
      <c r="EZ13" s="90" t="n"/>
      <c r="FA13" s="90" t="n"/>
    </row>
    <row r="14">
      <c r="A14" s="89" t="inlineStr">
        <is>
          <t>Gastos por Intereses Fondeador 2</t>
        </is>
      </c>
      <c r="CH14" s="90" t="n">
        <v>0</v>
      </c>
      <c r="CI14" s="90" t="n">
        <v>0</v>
      </c>
      <c r="CJ14" s="90" t="n">
        <v>0</v>
      </c>
      <c r="CK14" s="90" t="n">
        <v>0</v>
      </c>
      <c r="CL14" s="90" t="n">
        <v>0</v>
      </c>
      <c r="CM14" s="90" t="n">
        <v>0</v>
      </c>
      <c r="CN14" s="90" t="n">
        <v>0</v>
      </c>
      <c r="CO14" s="90" t="n">
        <v>0</v>
      </c>
      <c r="CP14" s="90" t="n">
        <v>0</v>
      </c>
      <c r="CQ14" s="162" t="n">
        <v>0</v>
      </c>
      <c r="CR14" s="90" t="n">
        <v>0</v>
      </c>
      <c r="CS14" s="90" t="n"/>
      <c r="CT14" s="90" t="n"/>
      <c r="CU14" s="90" t="n"/>
      <c r="CV14" s="90" t="n"/>
      <c r="CW14" s="90" t="n">
        <v>-350000</v>
      </c>
      <c r="CX14" s="90" t="n">
        <v>-612500</v>
      </c>
      <c r="CY14" s="90" t="n">
        <v>-875000</v>
      </c>
      <c r="CZ14" s="90" t="n">
        <v>-875000</v>
      </c>
      <c r="DA14" s="90" t="n">
        <v>-875000</v>
      </c>
      <c r="DB14" s="90" t="n">
        <v>-875000</v>
      </c>
      <c r="DC14" s="163" t="n">
        <v>-875000</v>
      </c>
      <c r="DD14" s="90" t="n">
        <v>-852573.9644366517</v>
      </c>
      <c r="DE14" s="90" t="n">
        <v>-829755.4732509447</v>
      </c>
      <c r="DF14" s="90" t="n">
        <v>-806537.658469488</v>
      </c>
      <c r="DG14" s="90" t="n">
        <v>-782913.5319293559</v>
      </c>
      <c r="DH14" s="90" t="n">
        <v>-758875.9831747714</v>
      </c>
      <c r="DI14" s="90" t="n">
        <v>-734417.7773169816</v>
      </c>
      <c r="DJ14" s="90" t="n">
        <v>-709531.5528566805</v>
      </c>
      <c r="DK14" s="90" t="n">
        <v>-684209.819468324</v>
      </c>
      <c r="DL14" s="90" t="n">
        <v>-658444.9557456714</v>
      </c>
      <c r="DM14" s="90" t="n">
        <v>-632229.2069078722</v>
      </c>
      <c r="DN14" s="90" t="n">
        <v>-605554.6824654117</v>
      </c>
      <c r="DO14" s="90" t="n">
        <v>-578413.3538452081</v>
      </c>
      <c r="DP14" s="90" t="n">
        <v>-550797.0519741509</v>
      </c>
      <c r="DQ14" s="90" t="n">
        <v>-522697.4648203502</v>
      </c>
      <c r="DR14" s="90" t="n">
        <v>-494106.134891358</v>
      </c>
      <c r="DS14" s="90" t="n">
        <v>-465014.4566886085</v>
      </c>
      <c r="DT14" s="90" t="n">
        <v>-435413.6741173107</v>
      </c>
      <c r="DU14" s="90" t="n">
        <v>-405294.8778510152</v>
      </c>
      <c r="DV14" s="90" t="n">
        <v>-374649.0026500596</v>
      </c>
      <c r="DW14" s="90" t="n">
        <v>-343466.8246330873</v>
      </c>
      <c r="DX14" s="90" t="n">
        <v>-311738.9585008179</v>
      </c>
      <c r="DY14" s="90" t="n">
        <v>-279455.8547112338</v>
      </c>
      <c r="DZ14" s="90" t="n">
        <v>-246607.7966053319</v>
      </c>
      <c r="EA14" s="90" t="n">
        <v>-213184.8974825768</v>
      </c>
      <c r="EB14" s="90" t="n">
        <v>-179177.0976251734</v>
      </c>
      <c r="EC14" s="90" t="n">
        <v>-144574.1612702655</v>
      </c>
      <c r="ED14" s="90" t="n">
        <v>-109365.6735291466</v>
      </c>
      <c r="EE14" s="90" t="n">
        <v>-73541.03725255796</v>
      </c>
      <c r="EF14" s="90" t="n">
        <v>-37089.4698411291</v>
      </c>
      <c r="EG14" s="90" t="n"/>
      <c r="EH14" s="90" t="n"/>
      <c r="EI14" s="90" t="n"/>
      <c r="EJ14" s="90" t="n"/>
      <c r="EK14" s="90" t="n"/>
      <c r="EL14" s="90" t="n"/>
      <c r="EM14" s="90" t="n"/>
      <c r="EN14" s="90" t="n"/>
      <c r="EO14" s="90" t="n"/>
      <c r="EP14" s="90" t="n"/>
      <c r="EQ14" s="90" t="n"/>
      <c r="ER14" s="90" t="n"/>
      <c r="ES14" s="90" t="n"/>
      <c r="ET14" s="90" t="n"/>
      <c r="EU14" s="90" t="n"/>
      <c r="EV14" s="90" t="n"/>
      <c r="EW14" s="90" t="n"/>
      <c r="EX14" s="90" t="n"/>
      <c r="EY14" s="90" t="n"/>
      <c r="EZ14" s="90" t="n"/>
      <c r="FA14" s="90" t="n"/>
    </row>
    <row r="15">
      <c r="A15" s="89" t="inlineStr">
        <is>
          <t>Gastos por Comisiones Fondeador 2</t>
        </is>
      </c>
      <c r="CH15" s="90" t="n">
        <v>0</v>
      </c>
      <c r="CI15" s="90" t="n">
        <v>0</v>
      </c>
      <c r="CJ15" s="90" t="n">
        <v>0</v>
      </c>
      <c r="CK15" s="90" t="n">
        <v>0</v>
      </c>
      <c r="CL15" s="90" t="n">
        <v>0</v>
      </c>
      <c r="CM15" s="90" t="n">
        <v>0</v>
      </c>
      <c r="CN15" s="90" t="n">
        <v>0</v>
      </c>
      <c r="CO15" s="90" t="n">
        <v>0</v>
      </c>
      <c r="CP15" s="90" t="n">
        <v>0</v>
      </c>
      <c r="CQ15" s="162" t="n">
        <v>0</v>
      </c>
      <c r="CR15" s="90" t="n">
        <v>0</v>
      </c>
      <c r="CS15" s="90" t="n"/>
      <c r="CT15" s="90" t="n"/>
      <c r="CU15" s="90" t="n"/>
      <c r="CV15" s="90" t="n"/>
      <c r="CW15" s="90" t="n">
        <v>-420833.3333333333</v>
      </c>
      <c r="CX15" s="90" t="n">
        <v>-320833.3333333333</v>
      </c>
      <c r="CY15" s="90" t="n">
        <v>-320833.3333333333</v>
      </c>
      <c r="CZ15" s="90" t="n">
        <v>-20833.33333333333</v>
      </c>
      <c r="DA15" s="90" t="n">
        <v>-20833.33333333333</v>
      </c>
      <c r="DB15" s="90" t="n">
        <v>-20833.33333333333</v>
      </c>
      <c r="DC15" s="163" t="n">
        <v>-20833.33333333333</v>
      </c>
      <c r="DD15" s="90" t="n">
        <v>-20833.33333333333</v>
      </c>
      <c r="DE15" s="90" t="n">
        <v>-20833.33333333333</v>
      </c>
      <c r="DF15" s="90" t="n">
        <v>-20833.33333333333</v>
      </c>
      <c r="DG15" s="90" t="n">
        <v>-20833.33333333333</v>
      </c>
      <c r="DH15" s="90" t="n">
        <v>-20833.33333333333</v>
      </c>
      <c r="DI15" s="90" t="n">
        <v>-20833.33333333333</v>
      </c>
      <c r="DJ15" s="90" t="n">
        <v>-20833.33333333333</v>
      </c>
      <c r="DK15" s="90" t="n">
        <v>-20833.33333333333</v>
      </c>
      <c r="DL15" s="90" t="n">
        <v>-20833.33333333333</v>
      </c>
      <c r="DM15" s="90" t="n">
        <v>-20833.33333333333</v>
      </c>
      <c r="DN15" s="90" t="n">
        <v>-20833.33333333333</v>
      </c>
      <c r="DO15" s="90" t="n">
        <v>-20833.33333333333</v>
      </c>
      <c r="DP15" s="90" t="n">
        <v>-20833.33333333333</v>
      </c>
      <c r="DQ15" s="90" t="n">
        <v>-20833.33333333333</v>
      </c>
      <c r="DR15" s="90" t="n">
        <v>-20833.33333333333</v>
      </c>
      <c r="DS15" s="90" t="n">
        <v>-20833.33333333333</v>
      </c>
      <c r="DT15" s="90" t="n">
        <v>-20833.33333333333</v>
      </c>
      <c r="DU15" s="90" t="n">
        <v>-20833.33333333333</v>
      </c>
      <c r="DV15" s="90" t="n">
        <v>-20833.33333333333</v>
      </c>
      <c r="DW15" s="90" t="n">
        <v>-20833.33333333333</v>
      </c>
      <c r="DX15" s="90" t="n">
        <v>-20833.33333333333</v>
      </c>
      <c r="DY15" s="90" t="n">
        <v>-20833.33333333333</v>
      </c>
      <c r="DZ15" s="90" t="n">
        <v>-20833.33333333333</v>
      </c>
      <c r="EA15" s="90" t="n">
        <v>-20833.33333333333</v>
      </c>
      <c r="EB15" s="90" t="n">
        <v>-20833.33333333333</v>
      </c>
      <c r="EC15" s="90" t="n">
        <v>-20833.33333333333</v>
      </c>
      <c r="ED15" s="90" t="n">
        <v>-20833.33333333333</v>
      </c>
      <c r="EE15" s="90" t="n">
        <v>-20833.33333333333</v>
      </c>
      <c r="EF15" s="90" t="n">
        <v>-20833.33333333333</v>
      </c>
      <c r="EG15" s="90" t="n"/>
      <c r="EH15" s="90" t="n"/>
      <c r="EI15" s="90" t="n"/>
      <c r="EJ15" s="90" t="n"/>
      <c r="EK15" s="90" t="n"/>
      <c r="EL15" s="90" t="n"/>
      <c r="EM15" s="90" t="n"/>
      <c r="EN15" s="90" t="n"/>
      <c r="EO15" s="90" t="n"/>
      <c r="EP15" s="90" t="n"/>
      <c r="EQ15" s="90" t="n"/>
      <c r="ER15" s="90" t="n"/>
      <c r="ES15" s="90" t="n"/>
      <c r="ET15" s="90" t="n"/>
      <c r="EU15" s="90" t="n"/>
      <c r="EV15" s="90" t="n"/>
      <c r="EW15" s="90" t="n"/>
      <c r="EX15" s="90" t="n"/>
      <c r="EY15" s="90" t="n"/>
      <c r="EZ15" s="90" t="n"/>
      <c r="FA15" s="90" t="n"/>
    </row>
    <row r="16">
      <c r="A16" s="89" t="inlineStr">
        <is>
          <t>Gastos por Intereses</t>
        </is>
      </c>
      <c r="CH16" s="90" t="n">
        <v>0</v>
      </c>
      <c r="CI16" s="90" t="n">
        <v>0</v>
      </c>
      <c r="CJ16" s="90" t="n">
        <v>0</v>
      </c>
      <c r="CK16" s="90" t="n">
        <v>0</v>
      </c>
      <c r="CL16" s="90" t="n">
        <v>0</v>
      </c>
      <c r="CM16" s="90" t="n">
        <v>0</v>
      </c>
      <c r="CN16" s="90" t="n">
        <v>0</v>
      </c>
      <c r="CO16" s="90" t="n">
        <v>0</v>
      </c>
      <c r="CP16" s="90" t="n">
        <v>0</v>
      </c>
      <c r="CQ16" s="162" t="n">
        <v>0</v>
      </c>
      <c r="CR16" s="90" t="n">
        <v>0</v>
      </c>
      <c r="CS16" s="90" t="n"/>
      <c r="CT16" s="90" t="n"/>
      <c r="CU16" s="90" t="n">
        <v>-350000</v>
      </c>
      <c r="CV16" s="90" t="n">
        <v>-612500</v>
      </c>
      <c r="CW16" s="90" t="n">
        <v>-875000</v>
      </c>
      <c r="CX16" s="90" t="n">
        <v>-875000</v>
      </c>
      <c r="CY16" s="90" t="n">
        <v>-875000</v>
      </c>
      <c r="CZ16" s="90" t="n">
        <v>-875000</v>
      </c>
      <c r="DA16" s="90" t="n">
        <v>-875000</v>
      </c>
      <c r="DB16" s="90" t="n">
        <v>-852573.9644366517</v>
      </c>
      <c r="DC16" s="163" t="n">
        <v>-829755.4732509447</v>
      </c>
      <c r="DD16" s="90" t="n">
        <v>-806537.658469488</v>
      </c>
      <c r="DE16" s="90" t="n">
        <v>-782913.5319293559</v>
      </c>
      <c r="DF16" s="90" t="n">
        <v>-758875.9831747714</v>
      </c>
      <c r="DG16" s="90" t="n">
        <v>-734417.7773169816</v>
      </c>
      <c r="DH16" s="90" t="n">
        <v>-709531.5528566805</v>
      </c>
      <c r="DI16" s="90" t="n">
        <v>-684209.819468324</v>
      </c>
      <c r="DJ16" s="90" t="n">
        <v>-658444.9557456714</v>
      </c>
      <c r="DK16" s="90" t="n">
        <v>-632229.2069078722</v>
      </c>
      <c r="DL16" s="90" t="n">
        <v>-605554.6824654117</v>
      </c>
      <c r="DM16" s="90" t="n">
        <v>-578413.3538452081</v>
      </c>
      <c r="DN16" s="90" t="n">
        <v>-550797.0519741509</v>
      </c>
      <c r="DO16" s="90" t="n">
        <v>-522697.4648203502</v>
      </c>
      <c r="DP16" s="90" t="n">
        <v>-494106.134891358</v>
      </c>
      <c r="DQ16" s="90" t="n">
        <v>-465014.4566886085</v>
      </c>
      <c r="DR16" s="90" t="n">
        <v>-435413.6741173107</v>
      </c>
      <c r="DS16" s="90" t="n">
        <v>-405294.8778510152</v>
      </c>
      <c r="DT16" s="90" t="n">
        <v>-374649.0026500596</v>
      </c>
      <c r="DU16" s="90" t="n">
        <v>-343466.8246330873</v>
      </c>
      <c r="DV16" s="90" t="n">
        <v>-311738.9585008179</v>
      </c>
      <c r="DW16" s="90" t="n">
        <v>-279455.8547112338</v>
      </c>
      <c r="DX16" s="90" t="n">
        <v>-246607.7966053319</v>
      </c>
      <c r="DY16" s="90" t="n">
        <v>-213184.8974825768</v>
      </c>
      <c r="DZ16" s="90" t="n">
        <v>-179177.0976251734</v>
      </c>
      <c r="EA16" s="90" t="n">
        <v>-144574.1612702655</v>
      </c>
      <c r="EB16" s="90" t="n">
        <v>-109365.6735291466</v>
      </c>
      <c r="EC16" s="90" t="n">
        <v>-73541.03725255796</v>
      </c>
      <c r="ED16" s="90" t="n">
        <v>-37089.4698411291</v>
      </c>
      <c r="EE16" s="90" t="n"/>
      <c r="EF16" s="90" t="n"/>
      <c r="EG16" s="90" t="n"/>
      <c r="EH16" s="90" t="n"/>
      <c r="EI16" s="90" t="n"/>
      <c r="EJ16" s="90" t="n"/>
      <c r="EK16" s="90" t="n"/>
      <c r="EL16" s="90" t="n"/>
      <c r="EM16" s="90" t="n"/>
      <c r="EN16" s="90" t="n"/>
      <c r="EO16" s="90" t="n"/>
      <c r="EP16" s="90" t="n"/>
      <c r="EQ16" s="90" t="n"/>
      <c r="ER16" s="90" t="n"/>
      <c r="ES16" s="90" t="n"/>
      <c r="ET16" s="90" t="n"/>
      <c r="EU16" s="90" t="n"/>
      <c r="EV16" s="90" t="n"/>
      <c r="EW16" s="90" t="n"/>
      <c r="EX16" s="90" t="n"/>
      <c r="EY16" s="90" t="n"/>
      <c r="EZ16" s="90" t="n"/>
      <c r="FA16" s="90" t="n"/>
    </row>
    <row r="17">
      <c r="A17" s="89" t="inlineStr">
        <is>
          <t>Gastos por Comisiones Syscap</t>
        </is>
      </c>
      <c r="CH17" s="90" t="n">
        <v>0</v>
      </c>
      <c r="CI17" s="90" t="n">
        <v>0</v>
      </c>
      <c r="CJ17" s="90" t="n">
        <v>0</v>
      </c>
      <c r="CK17" s="90" t="n">
        <v>0</v>
      </c>
      <c r="CL17" s="90" t="n">
        <v>0</v>
      </c>
      <c r="CM17" s="90" t="n">
        <v>0</v>
      </c>
      <c r="CN17" s="90" t="n">
        <v>0</v>
      </c>
      <c r="CO17" s="90" t="n">
        <v>0</v>
      </c>
      <c r="CP17" s="90" t="n">
        <v>0</v>
      </c>
      <c r="CQ17" s="162" t="n">
        <v>0</v>
      </c>
      <c r="CR17" s="90" t="n">
        <v>0</v>
      </c>
      <c r="CS17" s="90" t="n"/>
      <c r="CT17" s="90" t="n"/>
      <c r="CU17" s="90" t="n">
        <v>-420833.3333333333</v>
      </c>
      <c r="CV17" s="90" t="n">
        <v>-320833.3333333333</v>
      </c>
      <c r="CW17" s="90" t="n">
        <v>-320833.3333333333</v>
      </c>
      <c r="CX17" s="90" t="n">
        <v>-20833.33333333333</v>
      </c>
      <c r="CY17" s="90" t="n">
        <v>-20833.33333333333</v>
      </c>
      <c r="CZ17" s="90" t="n">
        <v>-20833.33333333333</v>
      </c>
      <c r="DA17" s="90" t="n">
        <v>-20833.33333333333</v>
      </c>
      <c r="DB17" s="90" t="n">
        <v>-20833.33333333333</v>
      </c>
      <c r="DC17" s="163" t="n">
        <v>-20833.33333333333</v>
      </c>
      <c r="DD17" s="90" t="n">
        <v>-20833.33333333333</v>
      </c>
      <c r="DE17" s="90" t="n">
        <v>-20833.33333333333</v>
      </c>
      <c r="DF17" s="90" t="n">
        <v>-20833.33333333333</v>
      </c>
      <c r="DG17" s="90" t="n">
        <v>-20833.33333333333</v>
      </c>
      <c r="DH17" s="90" t="n">
        <v>-20833.33333333333</v>
      </c>
      <c r="DI17" s="90" t="n">
        <v>-20833.33333333333</v>
      </c>
      <c r="DJ17" s="90" t="n">
        <v>-20833.33333333333</v>
      </c>
      <c r="DK17" s="90" t="n">
        <v>-20833.33333333333</v>
      </c>
      <c r="DL17" s="90" t="n">
        <v>-20833.33333333333</v>
      </c>
      <c r="DM17" s="90" t="n">
        <v>-20833.33333333333</v>
      </c>
      <c r="DN17" s="90" t="n">
        <v>-20833.33333333333</v>
      </c>
      <c r="DO17" s="90" t="n">
        <v>-20833.33333333333</v>
      </c>
      <c r="DP17" s="90" t="n">
        <v>-20833.33333333333</v>
      </c>
      <c r="DQ17" s="90" t="n">
        <v>-20833.33333333333</v>
      </c>
      <c r="DR17" s="90" t="n">
        <v>-20833.33333333333</v>
      </c>
      <c r="DS17" s="90" t="n">
        <v>-20833.33333333333</v>
      </c>
      <c r="DT17" s="90" t="n">
        <v>-20833.33333333333</v>
      </c>
      <c r="DU17" s="90" t="n">
        <v>-20833.33333333333</v>
      </c>
      <c r="DV17" s="90" t="n">
        <v>-20833.33333333333</v>
      </c>
      <c r="DW17" s="90" t="n">
        <v>-20833.33333333333</v>
      </c>
      <c r="DX17" s="90" t="n">
        <v>-20833.33333333333</v>
      </c>
      <c r="DY17" s="90" t="n">
        <v>-20833.33333333333</v>
      </c>
      <c r="DZ17" s="90" t="n">
        <v>-20833.33333333333</v>
      </c>
      <c r="EA17" s="90" t="n">
        <v>-20833.33333333333</v>
      </c>
      <c r="EB17" s="90" t="n">
        <v>-20833.33333333333</v>
      </c>
      <c r="EC17" s="90" t="n">
        <v>-20833.33333333333</v>
      </c>
      <c r="ED17" s="90" t="n">
        <v>-20833.33333333333</v>
      </c>
      <c r="EE17" s="90" t="n"/>
      <c r="EF17" s="90" t="n"/>
      <c r="EG17" s="90" t="n"/>
      <c r="EH17" s="90" t="n"/>
      <c r="EI17" s="90" t="n"/>
      <c r="EJ17" s="90" t="n"/>
      <c r="EK17" s="90" t="n"/>
      <c r="EL17" s="90" t="n"/>
      <c r="EM17" s="90" t="n"/>
      <c r="EN17" s="90" t="n"/>
      <c r="EO17" s="90" t="n"/>
      <c r="EP17" s="90" t="n"/>
      <c r="EQ17" s="90" t="n"/>
      <c r="ER17" s="90" t="n"/>
      <c r="ES17" s="90" t="n"/>
      <c r="ET17" s="90" t="n"/>
      <c r="EU17" s="90" t="n"/>
      <c r="EV17" s="90" t="n"/>
      <c r="EW17" s="90" t="n"/>
      <c r="EX17" s="90" t="n"/>
      <c r="EY17" s="90" t="n"/>
      <c r="EZ17" s="90" t="n"/>
      <c r="FA17" s="90" t="n"/>
    </row>
    <row r="18">
      <c r="A18" s="89" t="inlineStr">
        <is>
          <t>Comisiones Pagadas</t>
        </is>
      </c>
      <c r="CH18" s="90" t="n">
        <v>-500000</v>
      </c>
      <c r="CI18" s="90" t="n">
        <v>-500000</v>
      </c>
      <c r="CJ18" s="90" t="n">
        <v>-500000</v>
      </c>
      <c r="CK18" s="90" t="n">
        <v>-500000</v>
      </c>
      <c r="CL18" s="90" t="n">
        <v>-500000</v>
      </c>
      <c r="CM18" s="90" t="n">
        <v>-500000</v>
      </c>
      <c r="CN18" s="90" t="n">
        <v>-500000</v>
      </c>
      <c r="CO18" s="90" t="n">
        <v>-500000</v>
      </c>
      <c r="CP18" s="90" t="n">
        <v>-500000</v>
      </c>
      <c r="CQ18" s="162" t="n">
        <v>-500000</v>
      </c>
      <c r="CR18" s="90" t="n">
        <v>-500000</v>
      </c>
      <c r="CS18" s="90" t="n">
        <v>-500000</v>
      </c>
      <c r="CT18" s="90" t="n">
        <v>-500000</v>
      </c>
      <c r="CU18" s="90" t="n">
        <v>-500000</v>
      </c>
      <c r="CV18" s="90" t="n">
        <v>-500000</v>
      </c>
      <c r="CW18" s="90" t="n">
        <v>-500000</v>
      </c>
      <c r="CX18" s="90" t="n">
        <v>-500000</v>
      </c>
      <c r="CY18" s="90" t="n">
        <v>-500000</v>
      </c>
      <c r="CZ18" s="90" t="n">
        <v>-500000</v>
      </c>
      <c r="DA18" s="90" t="n">
        <v>-500000</v>
      </c>
      <c r="DB18" s="90" t="n">
        <v>-500000</v>
      </c>
      <c r="DC18" s="163" t="n">
        <v>-500000</v>
      </c>
      <c r="DD18" s="90" t="n">
        <v>-500000</v>
      </c>
      <c r="DE18" s="90" t="n">
        <v>-500000</v>
      </c>
      <c r="DF18" s="90" t="n">
        <v>-500000</v>
      </c>
      <c r="DG18" s="90" t="n">
        <v>-500000</v>
      </c>
      <c r="DH18" s="90" t="n">
        <v>-500000</v>
      </c>
      <c r="DI18" s="90" t="n">
        <v>-500000</v>
      </c>
      <c r="DJ18" s="90" t="n">
        <v>-500000</v>
      </c>
      <c r="DK18" s="90" t="n">
        <v>-500000</v>
      </c>
      <c r="DL18" s="90" t="n">
        <v>-500000</v>
      </c>
      <c r="DM18" s="90" t="n">
        <v>-500000</v>
      </c>
      <c r="DN18" s="90" t="n">
        <v>-500000</v>
      </c>
      <c r="DO18" s="90" t="n">
        <v>-500000</v>
      </c>
      <c r="DP18" s="90" t="n">
        <v>-500000</v>
      </c>
      <c r="DQ18" s="90" t="n">
        <v>-500000</v>
      </c>
      <c r="DR18" s="90" t="n">
        <v>-500000</v>
      </c>
      <c r="DS18" s="90" t="n">
        <v>-500000</v>
      </c>
      <c r="DT18" s="90" t="n">
        <v>-500000</v>
      </c>
      <c r="DU18" s="90" t="n">
        <v>-500000</v>
      </c>
      <c r="DV18" s="90" t="n">
        <v>-500000</v>
      </c>
      <c r="DW18" s="90" t="n">
        <v>-500000</v>
      </c>
      <c r="DX18" s="90" t="n">
        <v>-500000</v>
      </c>
      <c r="DY18" s="90" t="n">
        <v>-500000</v>
      </c>
      <c r="DZ18" s="90" t="n">
        <v>-500000</v>
      </c>
      <c r="EA18" s="90" t="n">
        <v>-500000</v>
      </c>
      <c r="EB18" s="90" t="n">
        <v>-500000</v>
      </c>
      <c r="EC18" s="90" t="n">
        <v>-500000</v>
      </c>
      <c r="ED18" s="90" t="n">
        <v>-500000</v>
      </c>
      <c r="EE18" s="90" t="n">
        <v>-500000</v>
      </c>
      <c r="EF18" s="90" t="n">
        <v>-500000</v>
      </c>
      <c r="EG18" s="90" t="n">
        <v>-500000</v>
      </c>
      <c r="EH18" s="90" t="n">
        <v>-500000</v>
      </c>
      <c r="EI18" s="90" t="n">
        <v>-500000</v>
      </c>
      <c r="EJ18" s="90" t="n">
        <v>-500000</v>
      </c>
      <c r="EK18" s="90" t="n">
        <v>-500000</v>
      </c>
      <c r="EL18" s="90" t="n">
        <v>-500000</v>
      </c>
      <c r="EM18" s="90" t="n">
        <v>-500000</v>
      </c>
      <c r="EN18" s="90" t="n">
        <v>-500000</v>
      </c>
      <c r="EO18" s="90" t="n">
        <v>-500000</v>
      </c>
      <c r="EP18" s="90" t="n">
        <v>-500000</v>
      </c>
      <c r="EQ18" s="90" t="n">
        <v>-500000</v>
      </c>
      <c r="ER18" s="90" t="n">
        <v>-500000</v>
      </c>
      <c r="ES18" s="90" t="n">
        <v>-500000</v>
      </c>
      <c r="ET18" s="90" t="n">
        <v>-500000</v>
      </c>
      <c r="EU18" s="90" t="n">
        <v>-500000</v>
      </c>
      <c r="EV18" s="90" t="n">
        <v>-500000</v>
      </c>
      <c r="EW18" s="90" t="n">
        <v>-500000</v>
      </c>
      <c r="EX18" s="90" t="n">
        <v>-500000</v>
      </c>
      <c r="EY18" s="90" t="n">
        <v>-500000</v>
      </c>
      <c r="EZ18" s="90" t="n">
        <v>-500000</v>
      </c>
      <c r="FA18" s="90" t="n">
        <v>-500000</v>
      </c>
    </row>
    <row r="19">
      <c r="A19" s="89" t="inlineStr">
        <is>
          <t>Total Gastos por Intereses</t>
        </is>
      </c>
      <c r="B19" s="89" t="n"/>
      <c r="C19" s="89" t="n"/>
      <c r="D19" s="89" t="n"/>
      <c r="E19" s="89" t="n"/>
      <c r="F19" s="89" t="n"/>
      <c r="G19" s="89" t="n"/>
      <c r="H19" s="89" t="n"/>
      <c r="I19" s="89" t="n"/>
      <c r="J19" s="89" t="n"/>
      <c r="K19" s="89" t="n"/>
      <c r="L19" s="89" t="n"/>
      <c r="M19" s="89" t="n"/>
      <c r="N19" s="89" t="n"/>
      <c r="O19" s="89" t="n"/>
      <c r="P19" s="89" t="n"/>
      <c r="Q19" s="89" t="n"/>
      <c r="R19" s="89" t="n"/>
      <c r="S19" s="89" t="n"/>
      <c r="T19" s="89" t="n"/>
      <c r="U19" s="89" t="n"/>
      <c r="V19" s="89" t="n"/>
      <c r="W19" s="89" t="n"/>
      <c r="X19" s="89" t="n"/>
      <c r="Y19" s="89" t="n"/>
      <c r="Z19" s="89" t="n"/>
      <c r="AA19" s="89" t="n"/>
      <c r="AB19" s="89" t="n"/>
      <c r="AC19" s="89" t="n"/>
      <c r="AD19" s="89" t="n"/>
      <c r="AE19" s="89" t="n"/>
      <c r="AF19" s="89" t="n"/>
      <c r="AG19" s="89" t="n"/>
      <c r="AH19" s="89" t="n"/>
      <c r="AI19" s="89" t="n"/>
      <c r="AJ19" s="89" t="n"/>
      <c r="AK19" s="89" t="n"/>
      <c r="AL19" s="89" t="n"/>
      <c r="AM19" s="89" t="n"/>
      <c r="AN19" s="89" t="n"/>
      <c r="AO19" s="89" t="n"/>
      <c r="AP19" s="89" t="n"/>
      <c r="AQ19" s="89" t="n"/>
      <c r="AR19" s="89" t="n"/>
      <c r="AS19" s="89" t="n"/>
      <c r="AT19" s="89" t="n"/>
      <c r="AU19" s="89" t="n"/>
      <c r="AV19" s="89" t="n"/>
      <c r="AW19" s="89" t="n"/>
      <c r="AX19" s="89" t="n"/>
      <c r="AY19" s="89" t="n"/>
      <c r="AZ19" s="89" t="n"/>
      <c r="BA19" s="89" t="n"/>
      <c r="BB19" s="89" t="n"/>
      <c r="BC19" s="89" t="n"/>
      <c r="BD19" s="89" t="n"/>
      <c r="BE19" s="89" t="n"/>
      <c r="BF19" s="89" t="n"/>
      <c r="BG19" s="89" t="n"/>
      <c r="BH19" s="89" t="n"/>
      <c r="BI19" s="89" t="n"/>
      <c r="BJ19" s="89" t="n"/>
      <c r="BK19" s="89" t="n"/>
      <c r="BL19" s="89" t="n"/>
      <c r="BM19" s="89" t="n"/>
      <c r="BN19" s="89" t="n"/>
      <c r="BO19" s="89" t="n"/>
      <c r="BP19" s="89" t="n"/>
      <c r="BQ19" s="89" t="n"/>
      <c r="BR19" s="89" t="n"/>
      <c r="BS19" s="89" t="n"/>
      <c r="BT19" s="89" t="n"/>
      <c r="BU19" s="89" t="n"/>
      <c r="BV19" s="89" t="n"/>
      <c r="BW19" s="89" t="n"/>
      <c r="BX19" s="89" t="n"/>
      <c r="BY19" s="89" t="n"/>
      <c r="BZ19" s="89" t="n"/>
      <c r="CA19" s="89" t="n"/>
      <c r="CB19" s="89" t="n"/>
      <c r="CC19" s="89" t="n"/>
      <c r="CD19" s="89" t="n"/>
      <c r="CE19" s="89" t="n"/>
      <c r="CF19" s="89" t="n"/>
      <c r="CG19" s="89" t="n"/>
      <c r="CH19" s="152">
        <f>SUM(CH16:CH18)</f>
        <v/>
      </c>
      <c r="CI19" s="152">
        <f>SUM(CI16:CI18)</f>
        <v/>
      </c>
      <c r="CJ19" s="152">
        <f>SUM(CJ16:CJ18)</f>
        <v/>
      </c>
      <c r="CK19" s="152">
        <f>SUM(CK16:CK18)</f>
        <v/>
      </c>
      <c r="CL19" s="152">
        <f>SUM(CL16:CL18)</f>
        <v/>
      </c>
      <c r="CM19" s="152">
        <f>SUM(CM16:CM18)</f>
        <v/>
      </c>
      <c r="CN19" s="152">
        <f>SUM(CN16:CN18)</f>
        <v/>
      </c>
      <c r="CO19" s="152">
        <f>SUM(CO16:CO18)</f>
        <v/>
      </c>
      <c r="CP19" s="152">
        <f>SUM(CP16:CP18)</f>
        <v/>
      </c>
      <c r="CQ19" s="157">
        <f>SUM(CQ16:CQ18)</f>
        <v/>
      </c>
      <c r="CR19" s="152">
        <f>SUM(CR16:CR18)</f>
        <v/>
      </c>
      <c r="CS19" s="152">
        <f>SUM(CS16:CS18)</f>
        <v/>
      </c>
      <c r="CT19" s="152">
        <f>SUM(CT16:CT18)</f>
        <v/>
      </c>
      <c r="CU19" s="152">
        <f>SUM(CU16:CU18)</f>
        <v/>
      </c>
      <c r="CV19" s="152">
        <f>SUM(CV16:CV18)</f>
        <v/>
      </c>
      <c r="CW19" s="152">
        <f>SUM(CW16:CW18)</f>
        <v/>
      </c>
      <c r="CX19" s="152">
        <f>SUM(CX16:CX18)</f>
        <v/>
      </c>
      <c r="CY19" s="152">
        <f>SUM(CY16:CY18)</f>
        <v/>
      </c>
      <c r="CZ19" s="152">
        <f>SUM(CZ16:CZ18)</f>
        <v/>
      </c>
      <c r="DA19" s="152">
        <f>SUM(DA16:DA18)</f>
        <v/>
      </c>
      <c r="DB19" s="152">
        <f>SUM(DB16:DB18)</f>
        <v/>
      </c>
      <c r="DC19" s="158">
        <f>SUM(DC16:DC18)</f>
        <v/>
      </c>
      <c r="DD19" s="152">
        <f>SUM(DD16:DD18)</f>
        <v/>
      </c>
      <c r="DE19" s="152">
        <f>SUM(DE16:DE18)</f>
        <v/>
      </c>
      <c r="DF19" s="152">
        <f>SUM(DF16:DF18)</f>
        <v/>
      </c>
      <c r="DG19" s="152">
        <f>SUM(DG16:DG18)</f>
        <v/>
      </c>
      <c r="DH19" s="152">
        <f>SUM(DH16:DH18)</f>
        <v/>
      </c>
      <c r="DI19" s="152">
        <f>SUM(DI16:DI18)</f>
        <v/>
      </c>
      <c r="DJ19" s="152">
        <f>SUM(DJ16:DJ18)</f>
        <v/>
      </c>
      <c r="DK19" s="152">
        <f>SUM(DK16:DK18)</f>
        <v/>
      </c>
      <c r="DL19" s="152">
        <f>SUM(DL16:DL18)</f>
        <v/>
      </c>
      <c r="DM19" s="152">
        <f>SUM(DM16:DM18)</f>
        <v/>
      </c>
      <c r="DN19" s="152">
        <f>SUM(DN16:DN18)</f>
        <v/>
      </c>
      <c r="DO19" s="152">
        <f>SUM(DO16:DO18)</f>
        <v/>
      </c>
      <c r="DP19" s="152">
        <f>SUM(DP16:DP18)</f>
        <v/>
      </c>
      <c r="DQ19" s="152">
        <f>SUM(DQ16:DQ18)</f>
        <v/>
      </c>
      <c r="DR19" s="152">
        <f>SUM(DR16:DR18)</f>
        <v/>
      </c>
      <c r="DS19" s="152">
        <f>SUM(DS16:DS18)</f>
        <v/>
      </c>
      <c r="DT19" s="152">
        <f>SUM(DT16:DT18)</f>
        <v/>
      </c>
      <c r="DU19" s="152">
        <f>SUM(DU16:DU18)</f>
        <v/>
      </c>
      <c r="DV19" s="152">
        <f>SUM(DV16:DV18)</f>
        <v/>
      </c>
      <c r="DW19" s="152">
        <f>SUM(DW16:DW18)</f>
        <v/>
      </c>
      <c r="DX19" s="152">
        <f>SUM(DX16:DX18)</f>
        <v/>
      </c>
      <c r="DY19" s="152">
        <f>SUM(DY16:DY18)</f>
        <v/>
      </c>
      <c r="DZ19" s="152">
        <f>SUM(DZ16:DZ18)</f>
        <v/>
      </c>
      <c r="EA19" s="152">
        <f>SUM(EA16:EA18)</f>
        <v/>
      </c>
      <c r="EB19" s="152">
        <f>SUM(EB16:EB18)</f>
        <v/>
      </c>
      <c r="EC19" s="152">
        <f>SUM(EC16:EC18)</f>
        <v/>
      </c>
      <c r="ED19" s="152">
        <f>SUM(ED16:ED18)</f>
        <v/>
      </c>
      <c r="EE19" s="152">
        <f>SUM(EE16:EE18)</f>
        <v/>
      </c>
      <c r="EF19" s="152">
        <f>SUM(EF16:EF18)</f>
        <v/>
      </c>
      <c r="EG19" s="152">
        <f>SUM(EG16:EG18)</f>
        <v/>
      </c>
      <c r="EH19" s="152">
        <f>SUM(EH16:EH18)</f>
        <v/>
      </c>
      <c r="EI19" s="152">
        <f>SUM(EI16:EI18)</f>
        <v/>
      </c>
      <c r="EJ19" s="152">
        <f>SUM(EJ16:EJ18)</f>
        <v/>
      </c>
      <c r="EK19" s="152">
        <f>SUM(EK16:EK18)</f>
        <v/>
      </c>
      <c r="EL19" s="152">
        <f>SUM(EL16:EL18)</f>
        <v/>
      </c>
      <c r="EM19" s="152">
        <f>SUM(EM16:EM18)</f>
        <v/>
      </c>
      <c r="EN19" s="152">
        <f>SUM(EN16:EN18)</f>
        <v/>
      </c>
      <c r="EO19" s="152">
        <f>SUM(EO16:EO18)</f>
        <v/>
      </c>
      <c r="EP19" s="152">
        <f>SUM(EP16:EP18)</f>
        <v/>
      </c>
      <c r="EQ19" s="152">
        <f>SUM(EQ16:EQ18)</f>
        <v/>
      </c>
      <c r="ER19" s="152">
        <f>SUM(ER16:ER18)</f>
        <v/>
      </c>
      <c r="ES19" s="152">
        <f>SUM(ES16:ES18)</f>
        <v/>
      </c>
      <c r="ET19" s="152">
        <f>SUM(ET16:ET18)</f>
        <v/>
      </c>
      <c r="EU19" s="152">
        <f>SUM(EU16:EU18)</f>
        <v/>
      </c>
      <c r="EV19" s="152">
        <f>SUM(EV16:EV18)</f>
        <v/>
      </c>
      <c r="EW19" s="152">
        <f>SUM(EW16:EW18)</f>
        <v/>
      </c>
      <c r="EX19" s="152">
        <f>SUM(EX16:EX18)</f>
        <v/>
      </c>
      <c r="EY19" s="152">
        <f>SUM(EY16:EY18)</f>
        <v/>
      </c>
      <c r="EZ19" s="152">
        <f>SUM(EZ16:EZ18)</f>
        <v/>
      </c>
      <c r="FA19" s="152">
        <f>SUM(FA16:FA18)</f>
        <v/>
      </c>
    </row>
    <row r="20">
      <c r="A20" s="89" t="n"/>
      <c r="CH20" s="90" t="n"/>
      <c r="CI20" s="90" t="n"/>
      <c r="CJ20" s="90" t="n"/>
      <c r="CK20" s="90" t="n"/>
      <c r="CL20" s="90" t="n"/>
      <c r="CM20" s="90" t="n"/>
      <c r="CN20" s="90" t="n"/>
      <c r="CO20" s="90" t="n"/>
      <c r="CP20" s="90" t="n"/>
      <c r="CQ20" s="162" t="n"/>
      <c r="CR20" s="90" t="n"/>
      <c r="CS20" s="90" t="n"/>
      <c r="CT20" s="90" t="n"/>
      <c r="CU20" s="90" t="n"/>
      <c r="CV20" s="90" t="n"/>
      <c r="CW20" s="90" t="n"/>
      <c r="CX20" s="90" t="n"/>
      <c r="CY20" s="90" t="n"/>
      <c r="CZ20" s="90" t="n"/>
      <c r="DA20" s="90" t="n"/>
      <c r="DB20" s="90" t="n"/>
      <c r="DC20" s="163" t="n"/>
      <c r="DD20" s="90" t="n"/>
      <c r="DE20" s="90" t="n"/>
      <c r="DF20" s="90" t="n"/>
      <c r="DG20" s="90" t="n"/>
      <c r="DH20" s="90" t="n"/>
      <c r="DI20" s="90" t="n"/>
      <c r="DJ20" s="90" t="n"/>
      <c r="DK20" s="90" t="n"/>
      <c r="DL20" s="90" t="n"/>
      <c r="DM20" s="90" t="n"/>
      <c r="DN20" s="90" t="n"/>
      <c r="DO20" s="90" t="n"/>
      <c r="DP20" s="90" t="n"/>
      <c r="DQ20" s="90" t="n"/>
      <c r="DR20" s="90" t="n"/>
      <c r="DS20" s="90" t="n"/>
      <c r="DT20" s="90" t="n"/>
      <c r="DU20" s="90" t="n"/>
      <c r="DV20" s="90" t="n"/>
      <c r="DW20" s="90" t="n"/>
      <c r="DX20" s="90" t="n"/>
      <c r="DY20" s="90" t="n"/>
      <c r="DZ20" s="90" t="n"/>
      <c r="EA20" s="90" t="n"/>
      <c r="EB20" s="90" t="n"/>
      <c r="EC20" s="90" t="n"/>
      <c r="ED20" s="90" t="n"/>
      <c r="EE20" s="90" t="n"/>
      <c r="EF20" s="90" t="n"/>
      <c r="EG20" s="90" t="n"/>
      <c r="EH20" s="90" t="n"/>
      <c r="EI20" s="90" t="n"/>
      <c r="EJ20" s="90" t="n"/>
      <c r="EK20" s="90" t="n"/>
      <c r="EL20" s="90" t="n"/>
      <c r="EM20" s="90" t="n"/>
      <c r="EN20" s="90" t="n"/>
      <c r="EO20" s="90" t="n"/>
      <c r="EP20" s="90" t="n"/>
      <c r="EQ20" s="90" t="n"/>
      <c r="ER20" s="90" t="n"/>
      <c r="ES20" s="90" t="n"/>
      <c r="ET20" s="90" t="n"/>
      <c r="EU20" s="90" t="n"/>
      <c r="EV20" s="90" t="n"/>
      <c r="EW20" s="90" t="n"/>
      <c r="EX20" s="90" t="n"/>
      <c r="EY20" s="90" t="n"/>
      <c r="EZ20" s="90" t="n"/>
      <c r="FA20" s="90" t="n"/>
    </row>
    <row r="21" ht="15.75" customHeight="1">
      <c r="A21" s="89" t="inlineStr">
        <is>
          <t>Margen Financiero</t>
        </is>
      </c>
      <c r="CH21" s="90">
        <f>CH2+CH7+CH19</f>
        <v/>
      </c>
      <c r="CI21" s="90">
        <f>CI2+CI7+CI19</f>
        <v/>
      </c>
      <c r="CJ21" s="90">
        <f>CJ2+CJ7+CJ19</f>
        <v/>
      </c>
      <c r="CK21" s="90">
        <f>CK2+CK7+CK19</f>
        <v/>
      </c>
      <c r="CL21" s="90">
        <f>CL2+CL7+CL19</f>
        <v/>
      </c>
      <c r="CM21" s="90">
        <f>CM2+CM7+CM19</f>
        <v/>
      </c>
      <c r="CN21" s="90">
        <f>CN2+CN7+CN19</f>
        <v/>
      </c>
      <c r="CO21" s="90">
        <f>CO2+CO7+CO19</f>
        <v/>
      </c>
      <c r="CP21" s="90">
        <f>CP2+CP7+CP19</f>
        <v/>
      </c>
      <c r="CQ21" s="162">
        <f>CQ2+CQ7+CQ19</f>
        <v/>
      </c>
      <c r="CR21" s="90">
        <f>CR2+CR7+CR19</f>
        <v/>
      </c>
      <c r="CS21" s="90">
        <f>CS2+CS7+CS19</f>
        <v/>
      </c>
      <c r="CT21" s="90">
        <f>CT2+CT7+CT19</f>
        <v/>
      </c>
      <c r="CU21" s="90">
        <f>CU2+CU7+CU19</f>
        <v/>
      </c>
      <c r="CV21" s="90">
        <f>CV2+CV7+CV19</f>
        <v/>
      </c>
      <c r="CW21" s="90">
        <f>CW2+CW7+CW19</f>
        <v/>
      </c>
      <c r="CX21" s="90">
        <f>CX2+CX7+CX19</f>
        <v/>
      </c>
      <c r="CY21" s="90">
        <f>CY2+CY7+CY19</f>
        <v/>
      </c>
      <c r="CZ21" s="90">
        <f>CZ2+CZ7+CZ19</f>
        <v/>
      </c>
      <c r="DA21" s="90">
        <f>DA2+DA7+DA19</f>
        <v/>
      </c>
      <c r="DB21" s="90">
        <f>DB2+DB7+DB19</f>
        <v/>
      </c>
      <c r="DC21" s="163">
        <f>DC2+DC7+DC19</f>
        <v/>
      </c>
      <c r="DD21" s="90">
        <f>DD2+DD7+DD19</f>
        <v/>
      </c>
      <c r="DE21" s="90">
        <f>DE2+DE7+DE19</f>
        <v/>
      </c>
      <c r="DF21" s="90">
        <f>DF2+DF7+DF19</f>
        <v/>
      </c>
      <c r="DG21" s="90">
        <f>DG2+DG7+DG19</f>
        <v/>
      </c>
      <c r="DH21" s="90">
        <f>DH2+DH7+DH19</f>
        <v/>
      </c>
      <c r="DI21" s="90">
        <f>DI2+DI7+DI19</f>
        <v/>
      </c>
      <c r="DJ21" s="90">
        <f>DJ2+DJ7+DJ19</f>
        <v/>
      </c>
      <c r="DK21" s="90">
        <f>DK2+DK7+DK19</f>
        <v/>
      </c>
      <c r="DL21" s="90">
        <f>DL2+DL7+DL19</f>
        <v/>
      </c>
      <c r="DM21" s="90">
        <f>DM2+DM7+DM19</f>
        <v/>
      </c>
      <c r="DN21" s="90">
        <f>DN2+DN7+DN19</f>
        <v/>
      </c>
      <c r="DO21" s="90">
        <f>DO2+DO7+DO19</f>
        <v/>
      </c>
      <c r="DP21" s="90">
        <f>DP2+DP7+DP19</f>
        <v/>
      </c>
      <c r="DQ21" s="90">
        <f>DQ2+DQ7+DQ19</f>
        <v/>
      </c>
      <c r="DR21" s="90">
        <f>DR2+DR7+DR19</f>
        <v/>
      </c>
      <c r="DS21" s="90">
        <f>DS2+DS7+DS19</f>
        <v/>
      </c>
      <c r="DT21" s="90">
        <f>DT2+DT7+DT19</f>
        <v/>
      </c>
      <c r="DU21" s="90">
        <f>DU2+DU7+DU19</f>
        <v/>
      </c>
      <c r="DV21" s="90">
        <f>DV2+DV7+DV19</f>
        <v/>
      </c>
      <c r="DW21" s="90">
        <f>DW2+DW7+DW19</f>
        <v/>
      </c>
      <c r="DX21" s="90">
        <f>DX2+DX7+DX19</f>
        <v/>
      </c>
      <c r="DY21" s="90">
        <f>DY2+DY7+DY19</f>
        <v/>
      </c>
      <c r="DZ21" s="90">
        <f>DZ2+DZ7+DZ19</f>
        <v/>
      </c>
      <c r="EA21" s="90">
        <f>EA2+EA7+EA19</f>
        <v/>
      </c>
      <c r="EB21" s="90">
        <f>EB2+EB7+EB19</f>
        <v/>
      </c>
      <c r="EC21" s="90">
        <f>EC2+EC7+EC19</f>
        <v/>
      </c>
      <c r="ED21" s="90">
        <f>ED2+ED7+ED19</f>
        <v/>
      </c>
      <c r="EE21" s="90">
        <f>EE2+EE7+EE19</f>
        <v/>
      </c>
      <c r="EF21" s="90">
        <f>EF2+EF7+EF19</f>
        <v/>
      </c>
      <c r="EG21" s="90">
        <f>EG2+EG7+EG19</f>
        <v/>
      </c>
      <c r="EH21" s="90">
        <f>EH2+EH7+EH19</f>
        <v/>
      </c>
      <c r="EI21" s="90">
        <f>EI2+EI7+EI19</f>
        <v/>
      </c>
      <c r="EJ21" s="90">
        <f>EJ2+EJ7+EJ19</f>
        <v/>
      </c>
      <c r="EK21" s="90">
        <f>EK2+EK7+EK19</f>
        <v/>
      </c>
      <c r="EL21" s="90">
        <f>EL2+EL7+EL19</f>
        <v/>
      </c>
      <c r="EM21" s="90">
        <f>EM2+EM7+EM19</f>
        <v/>
      </c>
      <c r="EN21" s="90">
        <f>EN2+EN7+EN19</f>
        <v/>
      </c>
      <c r="EO21" s="90">
        <f>EO2+EO7+EO19</f>
        <v/>
      </c>
      <c r="EP21" s="90">
        <f>EP2+EP7+EP19</f>
        <v/>
      </c>
      <c r="EQ21" s="90">
        <f>EQ2+EQ7+EQ19</f>
        <v/>
      </c>
      <c r="ER21" s="90">
        <f>ER2+ER7+ER19</f>
        <v/>
      </c>
      <c r="ES21" s="90">
        <f>ES2+ES7+ES19</f>
        <v/>
      </c>
      <c r="ET21" s="90">
        <f>ET2+ET7+ET19</f>
        <v/>
      </c>
      <c r="EU21" s="90">
        <f>EU2+EU7+EU19</f>
        <v/>
      </c>
      <c r="EV21" s="90">
        <f>EV2+EV7+EV19</f>
        <v/>
      </c>
      <c r="EW21" s="90">
        <f>EW2+EW7+EW19</f>
        <v/>
      </c>
      <c r="EX21" s="90">
        <f>EX2+EX7+EX19</f>
        <v/>
      </c>
      <c r="EY21" s="90">
        <f>EY2+EY7+EY19</f>
        <v/>
      </c>
      <c r="EZ21" s="90">
        <f>EZ2+EZ7+EZ19</f>
        <v/>
      </c>
      <c r="FA21" s="90">
        <f>FA2+FA7+FA19</f>
        <v/>
      </c>
    </row>
    <row r="22" ht="15.75" customHeight="1">
      <c r="A22" s="89" t="n"/>
      <c r="CH22" s="166">
        <f>CH21/(CH2+CH7)</f>
        <v/>
      </c>
      <c r="CI22" s="166">
        <f>CI21/(CI2+CI7)</f>
        <v/>
      </c>
      <c r="CJ22" s="166">
        <f>CJ21/(CJ2+CJ7)</f>
        <v/>
      </c>
      <c r="CK22" s="166">
        <f>CK21/(CK2+CK7)</f>
        <v/>
      </c>
      <c r="CL22" s="166">
        <f>CL21/(CL2+CL7)</f>
        <v/>
      </c>
      <c r="CM22" s="166">
        <f>CM21/(CM2+CM7)</f>
        <v/>
      </c>
      <c r="CN22" s="166">
        <f>CN21/(CN2+CN7)</f>
        <v/>
      </c>
      <c r="CO22" s="166">
        <f>CO21/(CO2+CO7)</f>
        <v/>
      </c>
      <c r="CP22" s="166">
        <f>CP21/(CP2+CP7)</f>
        <v/>
      </c>
      <c r="CQ22" s="167">
        <f>CQ21/(CQ2+CQ7)</f>
        <v/>
      </c>
      <c r="CR22" s="166">
        <f>CR21/(CR2+CR7)</f>
        <v/>
      </c>
      <c r="CS22" s="166">
        <f>CS21/(CS2+CS7)</f>
        <v/>
      </c>
      <c r="CT22" s="166">
        <f>CT21/(CT2+CT7)</f>
        <v/>
      </c>
      <c r="CU22" s="166">
        <f>CU21/(CU2+CU7)</f>
        <v/>
      </c>
      <c r="CV22" s="166">
        <f>CV21/(CV2+CV7)</f>
        <v/>
      </c>
      <c r="CW22" s="166">
        <f>CW21/(CW2+CW7)</f>
        <v/>
      </c>
      <c r="CX22" s="166">
        <f>CX21/(CX2+CX7)</f>
        <v/>
      </c>
      <c r="CY22" s="166">
        <f>CY21/(CY2+CY7)</f>
        <v/>
      </c>
      <c r="CZ22" s="166">
        <f>CZ21/(CZ2+CZ7)</f>
        <v/>
      </c>
      <c r="DA22" s="166">
        <f>DA21/(DA2+DA7)</f>
        <v/>
      </c>
      <c r="DB22" s="166">
        <f>DB21/(DB2+DB7)</f>
        <v/>
      </c>
      <c r="DC22" s="168">
        <f>DC21/(DC2+DC7)</f>
        <v/>
      </c>
      <c r="DD22" s="166">
        <f>DD21/(DD2+DD7)</f>
        <v/>
      </c>
      <c r="DE22" s="166">
        <f>DE21/(DE2+DE7)</f>
        <v/>
      </c>
      <c r="DF22" s="166">
        <f>DF21/(DF2+DF7)</f>
        <v/>
      </c>
      <c r="DG22" s="166">
        <f>DG21/(DG2+DG7)</f>
        <v/>
      </c>
      <c r="DH22" s="166">
        <f>DH21/(DH2+DH7)</f>
        <v/>
      </c>
      <c r="DI22" s="166">
        <f>DI21/(DI2+DI7)</f>
        <v/>
      </c>
      <c r="DJ22" s="166">
        <f>DJ21/(DJ2+DJ7)</f>
        <v/>
      </c>
      <c r="DK22" s="166">
        <f>DK21/(DK2+DK7)</f>
        <v/>
      </c>
      <c r="DL22" s="166">
        <f>DL21/(DL2+DL7)</f>
        <v/>
      </c>
      <c r="DM22" s="166">
        <f>DM21/(DM2+DM7)</f>
        <v/>
      </c>
      <c r="DN22" s="166">
        <f>DN21/(DN2+DN7)</f>
        <v/>
      </c>
      <c r="DO22" s="166">
        <f>DO21/(DO2+DO7)</f>
        <v/>
      </c>
      <c r="DP22" s="166">
        <f>DP21/(DP2+DP7)</f>
        <v/>
      </c>
      <c r="DQ22" s="166">
        <f>DQ21/(DQ2+DQ7)</f>
        <v/>
      </c>
      <c r="DR22" s="166">
        <f>DR21/(DR2+DR7)</f>
        <v/>
      </c>
      <c r="DS22" s="166">
        <f>DS21/(DS2+DS7)</f>
        <v/>
      </c>
      <c r="DT22" s="166">
        <f>DT21/(DT2+DT7)</f>
        <v/>
      </c>
      <c r="DU22" s="166">
        <f>DU21/(DU2+DU7)</f>
        <v/>
      </c>
      <c r="DV22" s="166">
        <f>DV21/(DV2+DV7)</f>
        <v/>
      </c>
      <c r="DW22" s="166">
        <f>DW21/(DW2+DW7)</f>
        <v/>
      </c>
      <c r="DX22" s="166">
        <f>DX21/(DX2+DX7)</f>
        <v/>
      </c>
      <c r="DY22" s="166">
        <f>DY21/(DY2+DY7)</f>
        <v/>
      </c>
      <c r="DZ22" s="166">
        <f>DZ21/(DZ2+DZ7)</f>
        <v/>
      </c>
      <c r="EA22" s="166">
        <f>EA21/(EA2+EA7)</f>
        <v/>
      </c>
      <c r="EB22" s="166">
        <f>EB21/(EB2+EB7)</f>
        <v/>
      </c>
      <c r="EC22" s="166">
        <f>EC21/(EC2+EC7)</f>
        <v/>
      </c>
      <c r="ED22" s="166">
        <f>ED21/(ED2+ED7)</f>
        <v/>
      </c>
      <c r="EE22" s="166">
        <f>EE21/(EE2+EE7)</f>
        <v/>
      </c>
      <c r="EF22" s="166">
        <f>EF21/(EF2+EF7)</f>
        <v/>
      </c>
      <c r="EG22" s="166">
        <f>EG21/(EG2+EG7)</f>
        <v/>
      </c>
      <c r="EH22" s="166">
        <f>EH21/(EH2+EH7)</f>
        <v/>
      </c>
      <c r="EI22" s="166">
        <f>EI21/(EI2+EI7)</f>
        <v/>
      </c>
      <c r="EJ22" s="166">
        <f>EJ21/(EJ2+EJ7)</f>
        <v/>
      </c>
      <c r="EK22" s="166">
        <f>EK21/(EK2+EK7)</f>
        <v/>
      </c>
      <c r="EL22" s="166">
        <f>EL21/(EL2+EL7)</f>
        <v/>
      </c>
      <c r="EM22" s="166">
        <f>EM21/(EM2+EM7)</f>
        <v/>
      </c>
      <c r="EN22" s="166">
        <f>EN21/(EN2+EN7)</f>
        <v/>
      </c>
      <c r="EO22" s="166">
        <f>EO21/(EO2+EO7)</f>
        <v/>
      </c>
      <c r="EP22" s="166">
        <f>EP21/(EP2+EP7)</f>
        <v/>
      </c>
      <c r="EQ22" s="166">
        <f>EQ21/(EQ2+EQ7)</f>
        <v/>
      </c>
      <c r="ER22" s="166">
        <f>ER21/(ER2+ER7)</f>
        <v/>
      </c>
      <c r="ES22" s="166">
        <f>ES21/(ES2+ES7)</f>
        <v/>
      </c>
      <c r="ET22" s="166">
        <f>ET21/(ET2+ET7)</f>
        <v/>
      </c>
      <c r="EU22" s="166">
        <f>EU21/(EU2+EU7)</f>
        <v/>
      </c>
      <c r="EV22" s="166">
        <f>EV21/(EV2+EV7)</f>
        <v/>
      </c>
      <c r="EW22" s="166">
        <f>EW21/(EW2+EW7)</f>
        <v/>
      </c>
      <c r="EX22" s="166">
        <f>EX21/(EX2+EX7)</f>
        <v/>
      </c>
      <c r="EY22" s="166">
        <f>EY21/(EY2+EY7)</f>
        <v/>
      </c>
      <c r="EZ22" s="166">
        <f>EZ21/(EZ2+EZ7)</f>
        <v/>
      </c>
      <c r="FA22" s="166">
        <f>FA21/(FA2+FA7)</f>
        <v/>
      </c>
    </row>
    <row r="23" ht="15.75" customHeight="1">
      <c r="A23" s="89" t="n"/>
      <c r="CH23" s="90" t="n"/>
      <c r="CI23" s="90" t="n"/>
      <c r="CJ23" s="90" t="n"/>
      <c r="CK23" s="90" t="n"/>
      <c r="CL23" s="90" t="n"/>
      <c r="CM23" s="90" t="n"/>
      <c r="CN23" s="90" t="n"/>
      <c r="CO23" s="90" t="n"/>
      <c r="CP23" s="90" t="n"/>
      <c r="CQ23" s="162" t="n"/>
      <c r="CR23" s="90" t="n"/>
      <c r="CS23" s="90" t="n"/>
      <c r="CT23" s="90" t="n"/>
      <c r="CU23" s="90" t="n"/>
      <c r="CV23" s="90" t="n"/>
      <c r="CW23" s="90" t="n"/>
      <c r="CX23" s="90" t="n"/>
      <c r="CY23" s="90" t="n"/>
      <c r="CZ23" s="90" t="n"/>
      <c r="DA23" s="90" t="n"/>
      <c r="DB23" s="90" t="n"/>
      <c r="DC23" s="163" t="n"/>
      <c r="DD23" s="90" t="n"/>
      <c r="DE23" s="90" t="n"/>
      <c r="DF23" s="90" t="n"/>
      <c r="DG23" s="90" t="n"/>
      <c r="DH23" s="90" t="n"/>
      <c r="DI23" s="90" t="n"/>
      <c r="DJ23" s="90" t="n"/>
      <c r="DK23" s="90" t="n"/>
      <c r="DL23" s="90" t="n"/>
      <c r="DM23" s="90" t="n"/>
      <c r="DN23" s="90" t="n"/>
      <c r="DO23" s="90" t="n"/>
      <c r="DP23" s="90" t="n"/>
      <c r="DQ23" s="90" t="n"/>
      <c r="DR23" s="90" t="n"/>
      <c r="DS23" s="90" t="n"/>
      <c r="DT23" s="90" t="n"/>
      <c r="DU23" s="90" t="n"/>
      <c r="DV23" s="90" t="n"/>
      <c r="DW23" s="90" t="n"/>
      <c r="DX23" s="90" t="n"/>
      <c r="DY23" s="90" t="n"/>
      <c r="DZ23" s="90" t="n"/>
      <c r="EA23" s="90" t="n"/>
      <c r="EB23" s="90" t="n"/>
      <c r="EC23" s="90" t="n"/>
      <c r="ED23" s="90" t="n"/>
      <c r="EE23" s="90" t="n"/>
      <c r="EF23" s="90" t="n"/>
      <c r="EG23" s="90" t="n"/>
      <c r="EH23" s="90" t="n"/>
      <c r="EI23" s="90" t="n"/>
      <c r="EJ23" s="90" t="n"/>
      <c r="EK23" s="90" t="n"/>
      <c r="EL23" s="90" t="n"/>
      <c r="EM23" s="90" t="n"/>
      <c r="EN23" s="90" t="n"/>
      <c r="EO23" s="90" t="n"/>
      <c r="EP23" s="90" t="n"/>
      <c r="EQ23" s="90" t="n"/>
      <c r="ER23" s="90" t="n"/>
      <c r="ES23" s="90" t="n"/>
      <c r="ET23" s="90" t="n"/>
      <c r="EU23" s="90" t="n"/>
      <c r="EV23" s="90" t="n"/>
      <c r="EW23" s="90" t="n"/>
      <c r="EX23" s="90" t="n"/>
      <c r="EY23" s="90" t="n"/>
      <c r="EZ23" s="90" t="n"/>
      <c r="FA23" s="90" t="n"/>
    </row>
    <row r="24" ht="15.75" customHeight="1">
      <c r="A24" s="71" t="inlineStr">
        <is>
          <t>Beneficios directos a corto plazo</t>
        </is>
      </c>
      <c r="CH24" s="90">
        <f>CI24*(1-Supuestos!$B$6/12)</f>
        <v/>
      </c>
      <c r="CI24" s="90">
        <f>CJ24*(1-Supuestos!$B$6/12)</f>
        <v/>
      </c>
      <c r="CJ24" s="90">
        <f>CK24*(1-Supuestos!$B$6/12)</f>
        <v/>
      </c>
      <c r="CK24" s="90">
        <f>CL24*(1-Supuestos!$B$6/12)</f>
        <v/>
      </c>
      <c r="CL24" s="90">
        <f>CM24*(1-Supuestos!$B$6/12)</f>
        <v/>
      </c>
      <c r="CM24" s="90">
        <f>CN24*(1-Supuestos!$B$6/12)</f>
        <v/>
      </c>
      <c r="CN24" s="90">
        <f>CO24*(1-Supuestos!$B$6/12)</f>
        <v/>
      </c>
      <c r="CO24" s="90" t="n">
        <v>-586840</v>
      </c>
      <c r="CP24" s="90">
        <f>CO24*(1+Supuestos!$B$6/12)</f>
        <v/>
      </c>
      <c r="CQ24" s="162">
        <f>CP24*(1+Supuestos!$B$6/12)</f>
        <v/>
      </c>
      <c r="CR24" s="90">
        <f>CQ24*(1+Supuestos!$B$6/12)</f>
        <v/>
      </c>
      <c r="CS24" s="90">
        <f>CR24*(1+Supuestos!$B$6/12)</f>
        <v/>
      </c>
      <c r="CT24" s="90">
        <f>CS24*(1+Supuestos!$B$6/12)</f>
        <v/>
      </c>
      <c r="CU24" s="90">
        <f>CT24*(1+Supuestos!$B$6/12)</f>
        <v/>
      </c>
      <c r="CV24" s="90">
        <f>CU24*(1+Supuestos!$B$6/12)</f>
        <v/>
      </c>
      <c r="CW24" s="90">
        <f>CV24*(1+Supuestos!$B$6/12)</f>
        <v/>
      </c>
      <c r="CX24" s="90">
        <f>CW24*(1+Supuestos!$B$6/12)</f>
        <v/>
      </c>
      <c r="CY24" s="90">
        <f>CX24*(1+Supuestos!$B$6/12)</f>
        <v/>
      </c>
      <c r="CZ24" s="90">
        <f>CY24*(1+Supuestos!$B$6/12)</f>
        <v/>
      </c>
      <c r="DA24" s="90">
        <f>CZ24*(1+Supuestos!$B$6/12)</f>
        <v/>
      </c>
      <c r="DB24" s="90">
        <f>DA24*(1+Supuestos!$B$6/12)</f>
        <v/>
      </c>
      <c r="DC24" s="163">
        <f>DB24*(1+Supuestos!$B$6/12)</f>
        <v/>
      </c>
      <c r="DD24" s="90">
        <f>DC24*(1+Supuestos!$B$6/12)</f>
        <v/>
      </c>
      <c r="DE24" s="90">
        <f>DD24*(1+Supuestos!$B$6/12)</f>
        <v/>
      </c>
      <c r="DF24" s="90">
        <f>DE24*(1+Supuestos!$B$6/12)</f>
        <v/>
      </c>
      <c r="DG24" s="90">
        <f>DF24*(1+Supuestos!$B$6/12)</f>
        <v/>
      </c>
      <c r="DH24" s="90">
        <f>DG24*(1+Supuestos!$B$6/12)</f>
        <v/>
      </c>
      <c r="DI24" s="90">
        <f>DH24*(1+Supuestos!$B$6/12)</f>
        <v/>
      </c>
      <c r="DJ24" s="90">
        <f>DI24*(1+Supuestos!$B$6/12)</f>
        <v/>
      </c>
      <c r="DK24" s="90">
        <f>DJ24*(1+Supuestos!$B$6/12)</f>
        <v/>
      </c>
      <c r="DL24" s="90">
        <f>DK24*(1+Supuestos!$B$6/12)</f>
        <v/>
      </c>
      <c r="DM24" s="90">
        <f>DL24*(1+Supuestos!$B$6/12)</f>
        <v/>
      </c>
      <c r="DN24" s="90">
        <f>DM24*(1+Supuestos!$B$6/12)</f>
        <v/>
      </c>
      <c r="DO24" s="90">
        <f>DN24*(1+Supuestos!$B$6/12)</f>
        <v/>
      </c>
      <c r="DP24" s="90">
        <f>DO24*(1+Supuestos!$B$6/12)</f>
        <v/>
      </c>
      <c r="DQ24" s="90">
        <f>DP24*(1+Supuestos!$B$6/12)</f>
        <v/>
      </c>
      <c r="DR24" s="90">
        <f>DQ24*(1+Supuestos!$B$6/12)</f>
        <v/>
      </c>
      <c r="DS24" s="90">
        <f>DR24*(1+Supuestos!$B$6/12)</f>
        <v/>
      </c>
      <c r="DT24" s="90">
        <f>DS24*(1+Supuestos!$B$6/12)</f>
        <v/>
      </c>
      <c r="DU24" s="90">
        <f>DT24*(1+Supuestos!$B$6/12)</f>
        <v/>
      </c>
      <c r="DV24" s="90">
        <f>DU24*(1+Supuestos!$B$6/12)</f>
        <v/>
      </c>
      <c r="DW24" s="90">
        <f>DV24*(1+Supuestos!$B$6/12)</f>
        <v/>
      </c>
      <c r="DX24" s="90">
        <f>DW24*(1+Supuestos!$B$6/12)</f>
        <v/>
      </c>
      <c r="DY24" s="90">
        <f>DX24*(1+Supuestos!$B$6/12)</f>
        <v/>
      </c>
      <c r="DZ24" s="90">
        <f>DY24*(1+Supuestos!$B$6/12)</f>
        <v/>
      </c>
      <c r="EA24" s="90">
        <f>DZ24*(1+Supuestos!$B$6/12)</f>
        <v/>
      </c>
      <c r="EB24" s="90">
        <f>EA24*(1+Supuestos!$B$6/12)</f>
        <v/>
      </c>
      <c r="EC24" s="90">
        <f>EB24*(1+Supuestos!$B$6/12)</f>
        <v/>
      </c>
      <c r="ED24" s="90">
        <f>EC24*(1+Supuestos!$B$6/12)</f>
        <v/>
      </c>
      <c r="EE24" s="90">
        <f>ED24*(1+Supuestos!$B$6/12)</f>
        <v/>
      </c>
      <c r="EF24" s="90">
        <f>EE24*(1+Supuestos!$B$6/12)</f>
        <v/>
      </c>
      <c r="EG24" s="90">
        <f>EF24*(1+Supuestos!$B$6/12)</f>
        <v/>
      </c>
      <c r="EH24" s="90">
        <f>EG24*(1+Supuestos!$B$6/12)</f>
        <v/>
      </c>
      <c r="EI24" s="90">
        <f>EH24*(1+Supuestos!$B$6/12)</f>
        <v/>
      </c>
      <c r="EJ24" s="90">
        <f>EI24*(1+Supuestos!$B$6/12)</f>
        <v/>
      </c>
      <c r="EK24" s="90">
        <f>EJ24*(1+Supuestos!$B$6/12)</f>
        <v/>
      </c>
      <c r="EL24" s="90">
        <f>EK24*(1+Supuestos!$B$6/12)</f>
        <v/>
      </c>
      <c r="EM24" s="90">
        <f>EL24*(1+Supuestos!$B$6/12)</f>
        <v/>
      </c>
      <c r="EN24" s="90">
        <f>EM24*(1+Supuestos!$B$6/12)</f>
        <v/>
      </c>
      <c r="EO24" s="90">
        <f>EN24*(1+Supuestos!$B$6/12)</f>
        <v/>
      </c>
      <c r="EP24" s="90">
        <f>EO24*(1+Supuestos!$B$6/12)</f>
        <v/>
      </c>
      <c r="EQ24" s="90">
        <f>EP24*(1+Supuestos!$B$6/12)</f>
        <v/>
      </c>
      <c r="ER24" s="90">
        <f>EQ24*(1+Supuestos!$B$6/12)</f>
        <v/>
      </c>
      <c r="ES24" s="90">
        <f>ER24*(1+Supuestos!$B$6/12)</f>
        <v/>
      </c>
      <c r="ET24" s="90">
        <f>ES24*(1+Supuestos!$B$6/12)</f>
        <v/>
      </c>
      <c r="EU24" s="90">
        <f>ET24*(1+Supuestos!$B$6/12)</f>
        <v/>
      </c>
      <c r="EV24" s="90">
        <f>EU24*(1+Supuestos!$B$6/12)</f>
        <v/>
      </c>
      <c r="EW24" s="90">
        <f>EV24*(1+Supuestos!$B$6/12)</f>
        <v/>
      </c>
      <c r="EX24" s="90">
        <f>EW24*(1+Supuestos!$B$6/12)</f>
        <v/>
      </c>
      <c r="EY24" s="90">
        <f>EX24*(1+Supuestos!$B$6/12)</f>
        <v/>
      </c>
      <c r="EZ24" s="90">
        <f>EY24*(1+Supuestos!$B$6/12)</f>
        <v/>
      </c>
      <c r="FA24" s="90">
        <f>EZ24*(1+Supuestos!$B$6/12)</f>
        <v/>
      </c>
    </row>
    <row r="25" ht="15.75" customHeight="1">
      <c r="A25" s="71" t="inlineStr">
        <is>
          <t>Honorarios</t>
        </is>
      </c>
      <c r="CH25" s="90">
        <f>CI25*(1-Supuestos!$B$6/12)</f>
        <v/>
      </c>
      <c r="CI25" s="90">
        <f>CJ25*(1-Supuestos!$B$6/12)</f>
        <v/>
      </c>
      <c r="CJ25" s="90">
        <f>CK25*(1-Supuestos!$B$6/12)</f>
        <v/>
      </c>
      <c r="CK25" s="90">
        <f>CL25*(1-Supuestos!$B$6/12)</f>
        <v/>
      </c>
      <c r="CL25" s="90">
        <f>CM25*(1-Supuestos!$B$6/12)</f>
        <v/>
      </c>
      <c r="CM25" s="90">
        <f>CN25*(1-Supuestos!$B$6/12)</f>
        <v/>
      </c>
      <c r="CN25" s="90">
        <f>CO25*(1-Supuestos!$B$6/12)</f>
        <v/>
      </c>
      <c r="CO25" s="90" t="n">
        <v>-380959</v>
      </c>
      <c r="CP25" s="90">
        <f>CO25*(1+Supuestos!$B$6/12)</f>
        <v/>
      </c>
      <c r="CQ25" s="162">
        <f>CP25*(1+Supuestos!$B$6/12)</f>
        <v/>
      </c>
      <c r="CR25" s="90">
        <f>CQ25*(1+Supuestos!$B$6/12)</f>
        <v/>
      </c>
      <c r="CS25" s="90">
        <f>CR25*(1+Supuestos!$B$6/12)</f>
        <v/>
      </c>
      <c r="CT25" s="90">
        <f>CS25*(1+Supuestos!$B$6/12)</f>
        <v/>
      </c>
      <c r="CU25" s="90">
        <f>CT25*(1+Supuestos!$B$6/12)</f>
        <v/>
      </c>
      <c r="CV25" s="90">
        <f>CU25*(1+Supuestos!$B$6/12)</f>
        <v/>
      </c>
      <c r="CW25" s="90">
        <f>CV25*(1+Supuestos!$B$6/12)</f>
        <v/>
      </c>
      <c r="CX25" s="90">
        <f>CW25*(1+Supuestos!$B$6/12)</f>
        <v/>
      </c>
      <c r="CY25" s="90">
        <f>CX25*(1+Supuestos!$B$6/12)</f>
        <v/>
      </c>
      <c r="CZ25" s="90">
        <f>CY25*(1+Supuestos!$B$6/12)</f>
        <v/>
      </c>
      <c r="DA25" s="90">
        <f>CZ25*(1+Supuestos!$B$6/12)</f>
        <v/>
      </c>
      <c r="DB25" s="90">
        <f>DA25*(1+Supuestos!$B$6/12)</f>
        <v/>
      </c>
      <c r="DC25" s="163">
        <f>DB25*(1+Supuestos!$B$6/12)</f>
        <v/>
      </c>
      <c r="DD25" s="90">
        <f>DC25*(1+Supuestos!$B$6/12)</f>
        <v/>
      </c>
      <c r="DE25" s="90">
        <f>DD25*(1+Supuestos!$B$6/12)</f>
        <v/>
      </c>
      <c r="DF25" s="90">
        <f>DE25*(1+Supuestos!$B$6/12)</f>
        <v/>
      </c>
      <c r="DG25" s="90">
        <f>DF25*(1+Supuestos!$B$6/12)</f>
        <v/>
      </c>
      <c r="DH25" s="90">
        <f>DG25*(1+Supuestos!$B$6/12)</f>
        <v/>
      </c>
      <c r="DI25" s="90">
        <f>DH25*(1+Supuestos!$B$6/12)</f>
        <v/>
      </c>
      <c r="DJ25" s="90">
        <f>DI25*(1+Supuestos!$B$6/12)</f>
        <v/>
      </c>
      <c r="DK25" s="90">
        <f>DJ25*(1+Supuestos!$B$6/12)</f>
        <v/>
      </c>
      <c r="DL25" s="90">
        <f>DK25*(1+Supuestos!$B$6/12)</f>
        <v/>
      </c>
      <c r="DM25" s="90">
        <f>DL25*(1+Supuestos!$B$6/12)</f>
        <v/>
      </c>
      <c r="DN25" s="90">
        <f>DM25*(1+Supuestos!$B$6/12)</f>
        <v/>
      </c>
      <c r="DO25" s="90">
        <f>DN25*(1+Supuestos!$B$6/12)</f>
        <v/>
      </c>
      <c r="DP25" s="90">
        <f>DO25*(1+Supuestos!$B$6/12)</f>
        <v/>
      </c>
      <c r="DQ25" s="90">
        <f>DP25*(1+Supuestos!$B$6/12)</f>
        <v/>
      </c>
      <c r="DR25" s="90">
        <f>DQ25*(1+Supuestos!$B$6/12)</f>
        <v/>
      </c>
      <c r="DS25" s="90">
        <f>DR25*(1+Supuestos!$B$6/12)</f>
        <v/>
      </c>
      <c r="DT25" s="90">
        <f>DS25*(1+Supuestos!$B$6/12)</f>
        <v/>
      </c>
      <c r="DU25" s="90">
        <f>DT25*(1+Supuestos!$B$6/12)</f>
        <v/>
      </c>
      <c r="DV25" s="90">
        <f>DU25*(1+Supuestos!$B$6/12)</f>
        <v/>
      </c>
      <c r="DW25" s="90">
        <f>DV25*(1+Supuestos!$B$6/12)</f>
        <v/>
      </c>
      <c r="DX25" s="90">
        <f>DW25*(1+Supuestos!$B$6/12)</f>
        <v/>
      </c>
      <c r="DY25" s="90">
        <f>DX25*(1+Supuestos!$B$6/12)</f>
        <v/>
      </c>
      <c r="DZ25" s="90">
        <f>DY25*(1+Supuestos!$B$6/12)</f>
        <v/>
      </c>
      <c r="EA25" s="90">
        <f>DZ25*(1+Supuestos!$B$6/12)</f>
        <v/>
      </c>
      <c r="EB25" s="90">
        <f>EA25*(1+Supuestos!$B$6/12)</f>
        <v/>
      </c>
      <c r="EC25" s="90">
        <f>EB25*(1+Supuestos!$B$6/12)</f>
        <v/>
      </c>
      <c r="ED25" s="90">
        <f>EC25*(1+Supuestos!$B$6/12)</f>
        <v/>
      </c>
      <c r="EE25" s="90">
        <f>ED25*(1+Supuestos!$B$6/12)</f>
        <v/>
      </c>
      <c r="EF25" s="90">
        <f>EE25*(1+Supuestos!$B$6/12)</f>
        <v/>
      </c>
      <c r="EG25" s="90">
        <f>EF25*(1+Supuestos!$B$6/12)</f>
        <v/>
      </c>
      <c r="EH25" s="90">
        <f>EG25*(1+Supuestos!$B$6/12)</f>
        <v/>
      </c>
      <c r="EI25" s="90">
        <f>EH25*(1+Supuestos!$B$6/12)</f>
        <v/>
      </c>
      <c r="EJ25" s="90">
        <f>EI25*(1+Supuestos!$B$6/12)</f>
        <v/>
      </c>
      <c r="EK25" s="90">
        <f>EJ25*(1+Supuestos!$B$6/12)</f>
        <v/>
      </c>
      <c r="EL25" s="90">
        <f>EK25*(1+Supuestos!$B$6/12)</f>
        <v/>
      </c>
      <c r="EM25" s="90">
        <f>EL25*(1+Supuestos!$B$6/12)</f>
        <v/>
      </c>
      <c r="EN25" s="90">
        <f>EM25*(1+Supuestos!$B$6/12)</f>
        <v/>
      </c>
      <c r="EO25" s="90">
        <f>EN25*(1+Supuestos!$B$6/12)</f>
        <v/>
      </c>
      <c r="EP25" s="90">
        <f>EO25*(1+Supuestos!$B$6/12)</f>
        <v/>
      </c>
      <c r="EQ25" s="90">
        <f>EP25*(1+Supuestos!$B$6/12)</f>
        <v/>
      </c>
      <c r="ER25" s="90">
        <f>EQ25*(1+Supuestos!$B$6/12)</f>
        <v/>
      </c>
      <c r="ES25" s="90">
        <f>ER25*(1+Supuestos!$B$6/12)</f>
        <v/>
      </c>
      <c r="ET25" s="90">
        <f>ES25*(1+Supuestos!$B$6/12)</f>
        <v/>
      </c>
      <c r="EU25" s="90">
        <f>ET25*(1+Supuestos!$B$6/12)</f>
        <v/>
      </c>
      <c r="EV25" s="90">
        <f>EU25*(1+Supuestos!$B$6/12)</f>
        <v/>
      </c>
      <c r="EW25" s="90">
        <f>EV25*(1+Supuestos!$B$6/12)</f>
        <v/>
      </c>
      <c r="EX25" s="90">
        <f>EW25*(1+Supuestos!$B$6/12)</f>
        <v/>
      </c>
      <c r="EY25" s="90">
        <f>EX25*(1+Supuestos!$B$6/12)</f>
        <v/>
      </c>
      <c r="EZ25" s="90">
        <f>EY25*(1+Supuestos!$B$6/12)</f>
        <v/>
      </c>
      <c r="FA25" s="90">
        <f>EZ25*(1+Supuestos!$B$6/12)</f>
        <v/>
      </c>
    </row>
    <row r="26" ht="15.75" customHeight="1">
      <c r="A26" s="71" t="inlineStr">
        <is>
          <t>Impuestos y derechos diversos</t>
        </is>
      </c>
      <c r="CH26" s="90">
        <f>CI26*(1-Supuestos!$B$6/12)</f>
        <v/>
      </c>
      <c r="CI26" s="90">
        <f>CJ26*(1-Supuestos!$B$6/12)</f>
        <v/>
      </c>
      <c r="CJ26" s="90">
        <f>CK26*(1-Supuestos!$B$6/12)</f>
        <v/>
      </c>
      <c r="CK26" s="90">
        <f>CL26*(1-Supuestos!$B$6/12)</f>
        <v/>
      </c>
      <c r="CL26" s="90">
        <f>CM26*(1-Supuestos!$B$6/12)</f>
        <v/>
      </c>
      <c r="CM26" s="90">
        <f>CN26*(1-Supuestos!$B$6/12)</f>
        <v/>
      </c>
      <c r="CN26" s="90">
        <f>CO26*(1-Supuestos!$B$6/12)</f>
        <v/>
      </c>
      <c r="CO26" s="90" t="n">
        <v>-189775</v>
      </c>
      <c r="CP26" s="90">
        <f>CO26*(1+Supuestos!$B$6/12)</f>
        <v/>
      </c>
      <c r="CQ26" s="162">
        <f>CP26*(1+Supuestos!$B$6/12)</f>
        <v/>
      </c>
      <c r="CR26" s="90">
        <f>CQ26*(1+Supuestos!$B$6/12)</f>
        <v/>
      </c>
      <c r="CS26" s="90">
        <f>CR26*(1+Supuestos!$B$6/12)</f>
        <v/>
      </c>
      <c r="CT26" s="90">
        <f>CS26*(1+Supuestos!$B$6/12)</f>
        <v/>
      </c>
      <c r="CU26" s="90">
        <f>CT26*(1+Supuestos!$B$6/12)</f>
        <v/>
      </c>
      <c r="CV26" s="90">
        <f>CU26*(1+Supuestos!$B$6/12)</f>
        <v/>
      </c>
      <c r="CW26" s="90">
        <f>CV26*(1+Supuestos!$B$6/12)</f>
        <v/>
      </c>
      <c r="CX26" s="90">
        <f>CW26*(1+Supuestos!$B$6/12)</f>
        <v/>
      </c>
      <c r="CY26" s="90">
        <f>CX26*(1+Supuestos!$B$6/12)</f>
        <v/>
      </c>
      <c r="CZ26" s="90">
        <f>CY26*(1+Supuestos!$B$6/12)</f>
        <v/>
      </c>
      <c r="DA26" s="90">
        <f>CZ26*(1+Supuestos!$B$6/12)</f>
        <v/>
      </c>
      <c r="DB26" s="90">
        <f>DA26*(1+Supuestos!$B$6/12)</f>
        <v/>
      </c>
      <c r="DC26" s="163">
        <f>DB26*(1+Supuestos!$B$6/12)</f>
        <v/>
      </c>
      <c r="DD26" s="90">
        <f>DC26*(1+Supuestos!$B$6/12)</f>
        <v/>
      </c>
      <c r="DE26" s="90">
        <f>DD26*(1+Supuestos!$B$6/12)</f>
        <v/>
      </c>
      <c r="DF26" s="90">
        <f>DE26*(1+Supuestos!$B$6/12)</f>
        <v/>
      </c>
      <c r="DG26" s="90">
        <f>DF26*(1+Supuestos!$B$6/12)</f>
        <v/>
      </c>
      <c r="DH26" s="90">
        <f>DG26*(1+Supuestos!$B$6/12)</f>
        <v/>
      </c>
      <c r="DI26" s="90">
        <f>DH26*(1+Supuestos!$B$6/12)</f>
        <v/>
      </c>
      <c r="DJ26" s="90">
        <f>DI26*(1+Supuestos!$B$6/12)</f>
        <v/>
      </c>
      <c r="DK26" s="90">
        <f>DJ26*(1+Supuestos!$B$6/12)</f>
        <v/>
      </c>
      <c r="DL26" s="90">
        <f>DK26*(1+Supuestos!$B$6/12)</f>
        <v/>
      </c>
      <c r="DM26" s="90">
        <f>DL26*(1+Supuestos!$B$6/12)</f>
        <v/>
      </c>
      <c r="DN26" s="90">
        <f>DM26*(1+Supuestos!$B$6/12)</f>
        <v/>
      </c>
      <c r="DO26" s="90">
        <f>DN26*(1+Supuestos!$B$6/12)</f>
        <v/>
      </c>
      <c r="DP26" s="90">
        <f>DO26*(1+Supuestos!$B$6/12)</f>
        <v/>
      </c>
      <c r="DQ26" s="90">
        <f>DP26*(1+Supuestos!$B$6/12)</f>
        <v/>
      </c>
      <c r="DR26" s="90">
        <f>DQ26*(1+Supuestos!$B$6/12)</f>
        <v/>
      </c>
      <c r="DS26" s="90">
        <f>DR26*(1+Supuestos!$B$6/12)</f>
        <v/>
      </c>
      <c r="DT26" s="90">
        <f>DS26*(1+Supuestos!$B$6/12)</f>
        <v/>
      </c>
      <c r="DU26" s="90">
        <f>DT26*(1+Supuestos!$B$6/12)</f>
        <v/>
      </c>
      <c r="DV26" s="90">
        <f>DU26*(1+Supuestos!$B$6/12)</f>
        <v/>
      </c>
      <c r="DW26" s="90">
        <f>DV26*(1+Supuestos!$B$6/12)</f>
        <v/>
      </c>
      <c r="DX26" s="90">
        <f>DW26*(1+Supuestos!$B$6/12)</f>
        <v/>
      </c>
      <c r="DY26" s="90">
        <f>DX26*(1+Supuestos!$B$6/12)</f>
        <v/>
      </c>
      <c r="DZ26" s="90">
        <f>DY26*(1+Supuestos!$B$6/12)</f>
        <v/>
      </c>
      <c r="EA26" s="90">
        <f>DZ26*(1+Supuestos!$B$6/12)</f>
        <v/>
      </c>
      <c r="EB26" s="90">
        <f>EA26*(1+Supuestos!$B$6/12)</f>
        <v/>
      </c>
      <c r="EC26" s="90">
        <f>EB26*(1+Supuestos!$B$6/12)</f>
        <v/>
      </c>
      <c r="ED26" s="90">
        <f>EC26*(1+Supuestos!$B$6/12)</f>
        <v/>
      </c>
      <c r="EE26" s="90">
        <f>ED26*(1+Supuestos!$B$6/12)</f>
        <v/>
      </c>
      <c r="EF26" s="90">
        <f>EE26*(1+Supuestos!$B$6/12)</f>
        <v/>
      </c>
      <c r="EG26" s="90">
        <f>EF26*(1+Supuestos!$B$6/12)</f>
        <v/>
      </c>
      <c r="EH26" s="90">
        <f>EG26*(1+Supuestos!$B$6/12)</f>
        <v/>
      </c>
      <c r="EI26" s="90">
        <f>EH26*(1+Supuestos!$B$6/12)</f>
        <v/>
      </c>
      <c r="EJ26" s="90">
        <f>EI26*(1+Supuestos!$B$6/12)</f>
        <v/>
      </c>
      <c r="EK26" s="90">
        <f>EJ26*(1+Supuestos!$B$6/12)</f>
        <v/>
      </c>
      <c r="EL26" s="90">
        <f>EK26*(1+Supuestos!$B$6/12)</f>
        <v/>
      </c>
      <c r="EM26" s="90">
        <f>EL26*(1+Supuestos!$B$6/12)</f>
        <v/>
      </c>
      <c r="EN26" s="90">
        <f>EM26*(1+Supuestos!$B$6/12)</f>
        <v/>
      </c>
      <c r="EO26" s="90">
        <f>EN26*(1+Supuestos!$B$6/12)</f>
        <v/>
      </c>
      <c r="EP26" s="90">
        <f>EO26*(1+Supuestos!$B$6/12)</f>
        <v/>
      </c>
      <c r="EQ26" s="90">
        <f>EP26*(1+Supuestos!$B$6/12)</f>
        <v/>
      </c>
      <c r="ER26" s="90">
        <f>EQ26*(1+Supuestos!$B$6/12)</f>
        <v/>
      </c>
      <c r="ES26" s="90">
        <f>ER26*(1+Supuestos!$B$6/12)</f>
        <v/>
      </c>
      <c r="ET26" s="90">
        <f>ES26*(1+Supuestos!$B$6/12)</f>
        <v/>
      </c>
      <c r="EU26" s="90">
        <f>ET26*(1+Supuestos!$B$6/12)</f>
        <v/>
      </c>
      <c r="EV26" s="90">
        <f>EU26*(1+Supuestos!$B$6/12)</f>
        <v/>
      </c>
      <c r="EW26" s="90">
        <f>EV26*(1+Supuestos!$B$6/12)</f>
        <v/>
      </c>
      <c r="EX26" s="90">
        <f>EW26*(1+Supuestos!$B$6/12)</f>
        <v/>
      </c>
      <c r="EY26" s="90">
        <f>EX26*(1+Supuestos!$B$6/12)</f>
        <v/>
      </c>
      <c r="EZ26" s="90">
        <f>EY26*(1+Supuestos!$B$6/12)</f>
        <v/>
      </c>
      <c r="FA26" s="90">
        <f>EZ26*(1+Supuestos!$B$6/12)</f>
        <v/>
      </c>
    </row>
    <row r="27" ht="15.75" customHeight="1">
      <c r="A27" s="71" t="inlineStr">
        <is>
          <t>Gastos en tecnología</t>
        </is>
      </c>
      <c r="CH27" s="90">
        <f>CI27*(1-Supuestos!$B$6/12)</f>
        <v/>
      </c>
      <c r="CI27" s="90">
        <f>CJ27*(1-Supuestos!$B$6/12)</f>
        <v/>
      </c>
      <c r="CJ27" s="90">
        <f>CK27*(1-Supuestos!$B$6/12)</f>
        <v/>
      </c>
      <c r="CK27" s="90">
        <f>CL27*(1-Supuestos!$B$6/12)</f>
        <v/>
      </c>
      <c r="CL27" s="90">
        <f>CM27*(1-Supuestos!$B$6/12)</f>
        <v/>
      </c>
      <c r="CM27" s="90">
        <f>CN27*(1-Supuestos!$B$6/12)</f>
        <v/>
      </c>
      <c r="CN27" s="90">
        <f>CO27*(1-Supuestos!$B$6/12)</f>
        <v/>
      </c>
      <c r="CO27" s="90" t="n">
        <v>-87795</v>
      </c>
      <c r="CP27" s="90">
        <f>CO27*(1+Supuestos!$B$6/12)</f>
        <v/>
      </c>
      <c r="CQ27" s="162">
        <f>CP27*(1+Supuestos!$B$6/12)</f>
        <v/>
      </c>
      <c r="CR27" s="90">
        <f>CQ27*(1+Supuestos!$B$6/12)</f>
        <v/>
      </c>
      <c r="CS27" s="90">
        <f>CR27*(1+Supuestos!$B$6/12)</f>
        <v/>
      </c>
      <c r="CT27" s="90">
        <f>CS27*(1+Supuestos!$B$6/12)</f>
        <v/>
      </c>
      <c r="CU27" s="90">
        <f>CT27*(1+Supuestos!$B$6/12)</f>
        <v/>
      </c>
      <c r="CV27" s="90">
        <f>CU27*(1+Supuestos!$B$6/12)</f>
        <v/>
      </c>
      <c r="CW27" s="90">
        <f>CV27*(1+Supuestos!$B$6/12)</f>
        <v/>
      </c>
      <c r="CX27" s="90">
        <f>CW27*(1+Supuestos!$B$6/12)</f>
        <v/>
      </c>
      <c r="CY27" s="90">
        <f>CX27*(1+Supuestos!$B$6/12)</f>
        <v/>
      </c>
      <c r="CZ27" s="90">
        <f>CY27*(1+Supuestos!$B$6/12)</f>
        <v/>
      </c>
      <c r="DA27" s="90">
        <f>CZ27*(1+Supuestos!$B$6/12)</f>
        <v/>
      </c>
      <c r="DB27" s="90">
        <f>DA27*(1+Supuestos!$B$6/12)</f>
        <v/>
      </c>
      <c r="DC27" s="163">
        <f>DB27*(1+Supuestos!$B$6/12)</f>
        <v/>
      </c>
      <c r="DD27" s="90">
        <f>DC27*(1+Supuestos!$B$6/12)</f>
        <v/>
      </c>
      <c r="DE27" s="90">
        <f>DD27*(1+Supuestos!$B$6/12)</f>
        <v/>
      </c>
      <c r="DF27" s="90">
        <f>DE27*(1+Supuestos!$B$6/12)</f>
        <v/>
      </c>
      <c r="DG27" s="90">
        <f>DF27*(1+Supuestos!$B$6/12)</f>
        <v/>
      </c>
      <c r="DH27" s="90">
        <f>DG27*(1+Supuestos!$B$6/12)</f>
        <v/>
      </c>
      <c r="DI27" s="90">
        <f>DH27*(1+Supuestos!$B$6/12)</f>
        <v/>
      </c>
      <c r="DJ27" s="90">
        <f>DI27*(1+Supuestos!$B$6/12)</f>
        <v/>
      </c>
      <c r="DK27" s="90">
        <f>DJ27*(1+Supuestos!$B$6/12)</f>
        <v/>
      </c>
      <c r="DL27" s="90">
        <f>DK27*(1+Supuestos!$B$6/12)</f>
        <v/>
      </c>
      <c r="DM27" s="90">
        <f>DL27*(1+Supuestos!$B$6/12)</f>
        <v/>
      </c>
      <c r="DN27" s="90">
        <f>DM27*(1+Supuestos!$B$6/12)</f>
        <v/>
      </c>
      <c r="DO27" s="90">
        <f>DN27*(1+Supuestos!$B$6/12)</f>
        <v/>
      </c>
      <c r="DP27" s="90">
        <f>DO27*(1+Supuestos!$B$6/12)</f>
        <v/>
      </c>
      <c r="DQ27" s="90">
        <f>DP27*(1+Supuestos!$B$6/12)</f>
        <v/>
      </c>
      <c r="DR27" s="90">
        <f>DQ27*(1+Supuestos!$B$6/12)</f>
        <v/>
      </c>
      <c r="DS27" s="90">
        <f>DR27*(1+Supuestos!$B$6/12)</f>
        <v/>
      </c>
      <c r="DT27" s="90">
        <f>DS27*(1+Supuestos!$B$6/12)</f>
        <v/>
      </c>
      <c r="DU27" s="90">
        <f>DT27*(1+Supuestos!$B$6/12)</f>
        <v/>
      </c>
      <c r="DV27" s="90">
        <f>DU27*(1+Supuestos!$B$6/12)</f>
        <v/>
      </c>
      <c r="DW27" s="90">
        <f>DV27*(1+Supuestos!$B$6/12)</f>
        <v/>
      </c>
      <c r="DX27" s="90">
        <f>DW27*(1+Supuestos!$B$6/12)</f>
        <v/>
      </c>
      <c r="DY27" s="90">
        <f>DX27*(1+Supuestos!$B$6/12)</f>
        <v/>
      </c>
      <c r="DZ27" s="90">
        <f>DY27*(1+Supuestos!$B$6/12)</f>
        <v/>
      </c>
      <c r="EA27" s="90">
        <f>DZ27*(1+Supuestos!$B$6/12)</f>
        <v/>
      </c>
      <c r="EB27" s="90">
        <f>EA27*(1+Supuestos!$B$6/12)</f>
        <v/>
      </c>
      <c r="EC27" s="90">
        <f>EB27*(1+Supuestos!$B$6/12)</f>
        <v/>
      </c>
      <c r="ED27" s="90">
        <f>EC27*(1+Supuestos!$B$6/12)</f>
        <v/>
      </c>
      <c r="EE27" s="90">
        <f>ED27*(1+Supuestos!$B$6/12)</f>
        <v/>
      </c>
      <c r="EF27" s="90">
        <f>EE27*(1+Supuestos!$B$6/12)</f>
        <v/>
      </c>
      <c r="EG27" s="90">
        <f>EF27*(1+Supuestos!$B$6/12)</f>
        <v/>
      </c>
      <c r="EH27" s="90">
        <f>EG27*(1+Supuestos!$B$6/12)</f>
        <v/>
      </c>
      <c r="EI27" s="90">
        <f>EH27*(1+Supuestos!$B$6/12)</f>
        <v/>
      </c>
      <c r="EJ27" s="90">
        <f>EI27*(1+Supuestos!$B$6/12)</f>
        <v/>
      </c>
      <c r="EK27" s="90">
        <f>EJ27*(1+Supuestos!$B$6/12)</f>
        <v/>
      </c>
      <c r="EL27" s="90">
        <f>EK27*(1+Supuestos!$B$6/12)</f>
        <v/>
      </c>
      <c r="EM27" s="90">
        <f>EL27*(1+Supuestos!$B$6/12)</f>
        <v/>
      </c>
      <c r="EN27" s="90">
        <f>EM27*(1+Supuestos!$B$6/12)</f>
        <v/>
      </c>
      <c r="EO27" s="90">
        <f>EN27*(1+Supuestos!$B$6/12)</f>
        <v/>
      </c>
      <c r="EP27" s="90">
        <f>EO27*(1+Supuestos!$B$6/12)</f>
        <v/>
      </c>
      <c r="EQ27" s="90">
        <f>EP27*(1+Supuestos!$B$6/12)</f>
        <v/>
      </c>
      <c r="ER27" s="90">
        <f>EQ27*(1+Supuestos!$B$6/12)</f>
        <v/>
      </c>
      <c r="ES27" s="90">
        <f>ER27*(1+Supuestos!$B$6/12)</f>
        <v/>
      </c>
      <c r="ET27" s="90">
        <f>ES27*(1+Supuestos!$B$6/12)</f>
        <v/>
      </c>
      <c r="EU27" s="90">
        <f>ET27*(1+Supuestos!$B$6/12)</f>
        <v/>
      </c>
      <c r="EV27" s="90">
        <f>EU27*(1+Supuestos!$B$6/12)</f>
        <v/>
      </c>
      <c r="EW27" s="90">
        <f>EV27*(1+Supuestos!$B$6/12)</f>
        <v/>
      </c>
      <c r="EX27" s="90">
        <f>EW27*(1+Supuestos!$B$6/12)</f>
        <v/>
      </c>
      <c r="EY27" s="90">
        <f>EX27*(1+Supuestos!$B$6/12)</f>
        <v/>
      </c>
      <c r="EZ27" s="90">
        <f>EY27*(1+Supuestos!$B$6/12)</f>
        <v/>
      </c>
      <c r="FA27" s="90">
        <f>EZ27*(1+Supuestos!$B$6/12)</f>
        <v/>
      </c>
    </row>
    <row r="28" ht="15.75" customHeight="1">
      <c r="A28" s="71" t="inlineStr">
        <is>
          <t>Otros gastos</t>
        </is>
      </c>
      <c r="CH28" s="90">
        <f>CI28*(1-Supuestos!$B$6/12)</f>
        <v/>
      </c>
      <c r="CI28" s="90">
        <f>CJ28*(1-Supuestos!$B$6/12)</f>
        <v/>
      </c>
      <c r="CJ28" s="90">
        <f>CK28*(1-Supuestos!$B$6/12)</f>
        <v/>
      </c>
      <c r="CK28" s="90">
        <f>CL28*(1-Supuestos!$B$6/12)</f>
        <v/>
      </c>
      <c r="CL28" s="90">
        <f>CM28*(1-Supuestos!$B$6/12)</f>
        <v/>
      </c>
      <c r="CM28" s="90">
        <f>CN28*(1-Supuestos!$B$6/12)</f>
        <v/>
      </c>
      <c r="CN28" s="90">
        <f>CO28*(1-Supuestos!$B$6/12)</f>
        <v/>
      </c>
      <c r="CO28" s="90" t="n">
        <v>-103633</v>
      </c>
      <c r="CP28" s="90">
        <f>CO28*(1+Supuestos!$B$6/12)</f>
        <v/>
      </c>
      <c r="CQ28" s="162">
        <f>CP28*(1+Supuestos!$B$6/12)</f>
        <v/>
      </c>
      <c r="CR28" s="90">
        <f>CQ28*(1+Supuestos!$B$6/12)</f>
        <v/>
      </c>
      <c r="CS28" s="90">
        <f>CR28*(1+Supuestos!$B$6/12)</f>
        <v/>
      </c>
      <c r="CT28" s="90">
        <f>CS28*(1+Supuestos!$B$6/12)</f>
        <v/>
      </c>
      <c r="CU28" s="90">
        <f>CT28*(1+Supuestos!$B$6/12)</f>
        <v/>
      </c>
      <c r="CV28" s="90">
        <f>CU28*(1+Supuestos!$B$6/12)</f>
        <v/>
      </c>
      <c r="CW28" s="90">
        <f>CV28*(1+Supuestos!$B$6/12)</f>
        <v/>
      </c>
      <c r="CX28" s="90">
        <f>CW28*(1+Supuestos!$B$6/12)</f>
        <v/>
      </c>
      <c r="CY28" s="90">
        <f>CX28*(1+Supuestos!$B$6/12)</f>
        <v/>
      </c>
      <c r="CZ28" s="90">
        <f>CY28*(1+Supuestos!$B$6/12)</f>
        <v/>
      </c>
      <c r="DA28" s="90">
        <f>CZ28*(1+Supuestos!$B$6/12)</f>
        <v/>
      </c>
      <c r="DB28" s="90">
        <f>DA28*(1+Supuestos!$B$6/12)</f>
        <v/>
      </c>
      <c r="DC28" s="163">
        <f>DB28*(1+Supuestos!$B$6/12)</f>
        <v/>
      </c>
      <c r="DD28" s="90">
        <f>DC28*(1+Supuestos!$B$6/12)</f>
        <v/>
      </c>
      <c r="DE28" s="90">
        <f>DD28*(1+Supuestos!$B$6/12)</f>
        <v/>
      </c>
      <c r="DF28" s="90">
        <f>DE28*(1+Supuestos!$B$6/12)</f>
        <v/>
      </c>
      <c r="DG28" s="90">
        <f>DF28*(1+Supuestos!$B$6/12)</f>
        <v/>
      </c>
      <c r="DH28" s="90">
        <f>DG28*(1+Supuestos!$B$6/12)</f>
        <v/>
      </c>
      <c r="DI28" s="90">
        <f>DH28*(1+Supuestos!$B$6/12)</f>
        <v/>
      </c>
      <c r="DJ28" s="90">
        <f>DI28*(1+Supuestos!$B$6/12)</f>
        <v/>
      </c>
      <c r="DK28" s="90">
        <f>DJ28*(1+Supuestos!$B$6/12)</f>
        <v/>
      </c>
      <c r="DL28" s="90">
        <f>DK28*(1+Supuestos!$B$6/12)</f>
        <v/>
      </c>
      <c r="DM28" s="90">
        <f>DL28*(1+Supuestos!$B$6/12)</f>
        <v/>
      </c>
      <c r="DN28" s="90">
        <f>DM28*(1+Supuestos!$B$6/12)</f>
        <v/>
      </c>
      <c r="DO28" s="90">
        <f>DN28*(1+Supuestos!$B$6/12)</f>
        <v/>
      </c>
      <c r="DP28" s="90">
        <f>DO28*(1+Supuestos!$B$6/12)</f>
        <v/>
      </c>
      <c r="DQ28" s="90">
        <f>DP28*(1+Supuestos!$B$6/12)</f>
        <v/>
      </c>
      <c r="DR28" s="90">
        <f>DQ28*(1+Supuestos!$B$6/12)</f>
        <v/>
      </c>
      <c r="DS28" s="90">
        <f>DR28*(1+Supuestos!$B$6/12)</f>
        <v/>
      </c>
      <c r="DT28" s="90">
        <f>DS28*(1+Supuestos!$B$6/12)</f>
        <v/>
      </c>
      <c r="DU28" s="90">
        <f>DT28*(1+Supuestos!$B$6/12)</f>
        <v/>
      </c>
      <c r="DV28" s="90">
        <f>DU28*(1+Supuestos!$B$6/12)</f>
        <v/>
      </c>
      <c r="DW28" s="90">
        <f>DV28*(1+Supuestos!$B$6/12)</f>
        <v/>
      </c>
      <c r="DX28" s="90">
        <f>DW28*(1+Supuestos!$B$6/12)</f>
        <v/>
      </c>
      <c r="DY28" s="90">
        <f>DX28*(1+Supuestos!$B$6/12)</f>
        <v/>
      </c>
      <c r="DZ28" s="90">
        <f>DY28*(1+Supuestos!$B$6/12)</f>
        <v/>
      </c>
      <c r="EA28" s="90">
        <f>DZ28*(1+Supuestos!$B$6/12)</f>
        <v/>
      </c>
      <c r="EB28" s="90">
        <f>EA28*(1+Supuestos!$B$6/12)</f>
        <v/>
      </c>
      <c r="EC28" s="90">
        <f>EB28*(1+Supuestos!$B$6/12)</f>
        <v/>
      </c>
      <c r="ED28" s="90">
        <f>EC28*(1+Supuestos!$B$6/12)</f>
        <v/>
      </c>
      <c r="EE28" s="90">
        <f>ED28*(1+Supuestos!$B$6/12)</f>
        <v/>
      </c>
      <c r="EF28" s="90">
        <f>EE28*(1+Supuestos!$B$6/12)</f>
        <v/>
      </c>
      <c r="EG28" s="90">
        <f>EF28*(1+Supuestos!$B$6/12)</f>
        <v/>
      </c>
      <c r="EH28" s="90">
        <f>EG28*(1+Supuestos!$B$6/12)</f>
        <v/>
      </c>
      <c r="EI28" s="90">
        <f>EH28*(1+Supuestos!$B$6/12)</f>
        <v/>
      </c>
      <c r="EJ28" s="90">
        <f>EI28*(1+Supuestos!$B$6/12)</f>
        <v/>
      </c>
      <c r="EK28" s="90">
        <f>EJ28*(1+Supuestos!$B$6/12)</f>
        <v/>
      </c>
      <c r="EL28" s="90">
        <f>EK28*(1+Supuestos!$B$6/12)</f>
        <v/>
      </c>
      <c r="EM28" s="90">
        <f>EL28*(1+Supuestos!$B$6/12)</f>
        <v/>
      </c>
      <c r="EN28" s="90">
        <f>EM28*(1+Supuestos!$B$6/12)</f>
        <v/>
      </c>
      <c r="EO28" s="90">
        <f>EN28*(1+Supuestos!$B$6/12)</f>
        <v/>
      </c>
      <c r="EP28" s="90">
        <f>EO28*(1+Supuestos!$B$6/12)</f>
        <v/>
      </c>
      <c r="EQ28" s="90">
        <f>EP28*(1+Supuestos!$B$6/12)</f>
        <v/>
      </c>
      <c r="ER28" s="90">
        <f>EQ28*(1+Supuestos!$B$6/12)</f>
        <v/>
      </c>
      <c r="ES28" s="90">
        <f>ER28*(1+Supuestos!$B$6/12)</f>
        <v/>
      </c>
      <c r="ET28" s="90">
        <f>ES28*(1+Supuestos!$B$6/12)</f>
        <v/>
      </c>
      <c r="EU28" s="90">
        <f>ET28*(1+Supuestos!$B$6/12)</f>
        <v/>
      </c>
      <c r="EV28" s="90">
        <f>EU28*(1+Supuestos!$B$6/12)</f>
        <v/>
      </c>
      <c r="EW28" s="90">
        <f>EV28*(1+Supuestos!$B$6/12)</f>
        <v/>
      </c>
      <c r="EX28" s="90">
        <f>EW28*(1+Supuestos!$B$6/12)</f>
        <v/>
      </c>
      <c r="EY28" s="90">
        <f>EX28*(1+Supuestos!$B$6/12)</f>
        <v/>
      </c>
      <c r="EZ28" s="90">
        <f>EY28*(1+Supuestos!$B$6/12)</f>
        <v/>
      </c>
      <c r="FA28" s="90">
        <f>EZ28*(1+Supuestos!$B$6/12)</f>
        <v/>
      </c>
    </row>
    <row r="29" ht="15.75" customHeight="1">
      <c r="A29" s="89" t="inlineStr">
        <is>
          <t>Total Gastos</t>
        </is>
      </c>
      <c r="B29" s="89" t="n"/>
      <c r="C29" s="89" t="n"/>
      <c r="D29" s="89" t="n"/>
      <c r="E29" s="89" t="n"/>
      <c r="F29" s="89" t="n"/>
      <c r="G29" s="89" t="n"/>
      <c r="H29" s="89" t="n"/>
      <c r="I29" s="89" t="n"/>
      <c r="J29" s="89" t="n"/>
      <c r="K29" s="89" t="n"/>
      <c r="L29" s="89" t="n"/>
      <c r="M29" s="89" t="n"/>
      <c r="N29" s="89" t="n"/>
      <c r="O29" s="89" t="n"/>
      <c r="P29" s="89" t="n"/>
      <c r="Q29" s="89" t="n"/>
      <c r="R29" s="89" t="n"/>
      <c r="S29" s="89" t="n"/>
      <c r="T29" s="89" t="n"/>
      <c r="U29" s="89" t="n"/>
      <c r="V29" s="89" t="n"/>
      <c r="W29" s="89" t="n"/>
      <c r="X29" s="89" t="n"/>
      <c r="Y29" s="89" t="n"/>
      <c r="Z29" s="89" t="n"/>
      <c r="AA29" s="89" t="n"/>
      <c r="AB29" s="89" t="n"/>
      <c r="AC29" s="89" t="n"/>
      <c r="AD29" s="89" t="n"/>
      <c r="AE29" s="89" t="n"/>
      <c r="AF29" s="89" t="n"/>
      <c r="AG29" s="89" t="n"/>
      <c r="AH29" s="89" t="n"/>
      <c r="AI29" s="89" t="n"/>
      <c r="AJ29" s="89" t="n"/>
      <c r="AK29" s="89" t="n"/>
      <c r="AL29" s="89" t="n"/>
      <c r="AM29" s="89" t="n"/>
      <c r="AN29" s="89" t="n"/>
      <c r="AO29" s="89" t="n"/>
      <c r="AP29" s="89" t="n"/>
      <c r="AQ29" s="89" t="n"/>
      <c r="AR29" s="89" t="n"/>
      <c r="AS29" s="89" t="n"/>
      <c r="AT29" s="89" t="n"/>
      <c r="AU29" s="89" t="n"/>
      <c r="AV29" s="89" t="n"/>
      <c r="AW29" s="89" t="n"/>
      <c r="AX29" s="89" t="n"/>
      <c r="AY29" s="89" t="n"/>
      <c r="AZ29" s="89" t="n"/>
      <c r="BA29" s="89" t="n"/>
      <c r="BB29" s="89" t="n"/>
      <c r="BC29" s="89" t="n"/>
      <c r="BD29" s="89" t="n"/>
      <c r="BE29" s="89" t="n"/>
      <c r="BF29" s="89" t="n"/>
      <c r="BG29" s="89" t="n"/>
      <c r="BH29" s="89" t="n"/>
      <c r="BI29" s="89" t="n"/>
      <c r="BJ29" s="89" t="n"/>
      <c r="BK29" s="89" t="n"/>
      <c r="BL29" s="89" t="n"/>
      <c r="BM29" s="89" t="n"/>
      <c r="BN29" s="89" t="n"/>
      <c r="BO29" s="89" t="n"/>
      <c r="BP29" s="89" t="n"/>
      <c r="BQ29" s="89" t="n"/>
      <c r="BR29" s="89" t="n"/>
      <c r="BS29" s="89" t="n"/>
      <c r="BT29" s="89" t="n"/>
      <c r="BU29" s="89" t="n"/>
      <c r="BV29" s="89" t="n"/>
      <c r="BW29" s="89" t="n"/>
      <c r="BX29" s="89" t="n"/>
      <c r="BY29" s="89" t="n"/>
      <c r="BZ29" s="89" t="n"/>
      <c r="CA29" s="89" t="n"/>
      <c r="CB29" s="89" t="n"/>
      <c r="CC29" s="89" t="n"/>
      <c r="CD29" s="89" t="n"/>
      <c r="CE29" s="89" t="n"/>
      <c r="CF29" s="89" t="n"/>
      <c r="CG29" s="89" t="n"/>
      <c r="CH29" s="152">
        <f>SUM(CH24:CH28)</f>
        <v/>
      </c>
      <c r="CI29" s="152">
        <f>SUM(CI24:CI28)</f>
        <v/>
      </c>
      <c r="CJ29" s="152">
        <f>SUM(CJ24:CJ28)</f>
        <v/>
      </c>
      <c r="CK29" s="152">
        <f>SUM(CK24:CK28)</f>
        <v/>
      </c>
      <c r="CL29" s="152">
        <f>SUM(CL24:CL28)</f>
        <v/>
      </c>
      <c r="CM29" s="152">
        <f>SUM(CM24:CM28)</f>
        <v/>
      </c>
      <c r="CN29" s="152">
        <f>SUM(CN24:CN28)</f>
        <v/>
      </c>
      <c r="CO29" s="152">
        <f>SUM(CO24:CO28)</f>
        <v/>
      </c>
      <c r="CP29" s="152">
        <f>SUM(CP24:CP28)</f>
        <v/>
      </c>
      <c r="CQ29" s="157">
        <f>SUM(CQ24:CQ28)</f>
        <v/>
      </c>
      <c r="CR29" s="152">
        <f>SUM(CR24:CR28)</f>
        <v/>
      </c>
      <c r="CS29" s="152">
        <f>SUM(CS24:CS28)</f>
        <v/>
      </c>
      <c r="CT29" s="152">
        <f>SUM(CT24:CT28)</f>
        <v/>
      </c>
      <c r="CU29" s="152">
        <f>SUM(CU24:CU28)</f>
        <v/>
      </c>
      <c r="CV29" s="152">
        <f>SUM(CV24:CV28)</f>
        <v/>
      </c>
      <c r="CW29" s="152">
        <f>SUM(CW24:CW28)</f>
        <v/>
      </c>
      <c r="CX29" s="152">
        <f>SUM(CX24:CX28)</f>
        <v/>
      </c>
      <c r="CY29" s="152">
        <f>SUM(CY24:CY28)</f>
        <v/>
      </c>
      <c r="CZ29" s="152">
        <f>SUM(CZ24:CZ28)</f>
        <v/>
      </c>
      <c r="DA29" s="152">
        <f>SUM(DA24:DA28)</f>
        <v/>
      </c>
      <c r="DB29" s="152">
        <f>SUM(DB24:DB28)</f>
        <v/>
      </c>
      <c r="DC29" s="158">
        <f>SUM(DC24:DC28)</f>
        <v/>
      </c>
      <c r="DD29" s="152">
        <f>SUM(DD24:DD28)</f>
        <v/>
      </c>
      <c r="DE29" s="152">
        <f>SUM(DE24:DE28)</f>
        <v/>
      </c>
      <c r="DF29" s="152">
        <f>SUM(DF24:DF28)</f>
        <v/>
      </c>
      <c r="DG29" s="152">
        <f>SUM(DG24:DG28)</f>
        <v/>
      </c>
      <c r="DH29" s="152">
        <f>SUM(DH24:DH28)</f>
        <v/>
      </c>
      <c r="DI29" s="152">
        <f>SUM(DI24:DI28)</f>
        <v/>
      </c>
      <c r="DJ29" s="152">
        <f>SUM(DJ24:DJ28)</f>
        <v/>
      </c>
      <c r="DK29" s="152">
        <f>SUM(DK24:DK28)</f>
        <v/>
      </c>
      <c r="DL29" s="152">
        <f>SUM(DL24:DL28)</f>
        <v/>
      </c>
      <c r="DM29" s="152">
        <f>SUM(DM24:DM28)</f>
        <v/>
      </c>
      <c r="DN29" s="152">
        <f>SUM(DN24:DN28)</f>
        <v/>
      </c>
      <c r="DO29" s="152">
        <f>SUM(DO24:DO28)</f>
        <v/>
      </c>
      <c r="DP29" s="152">
        <f>SUM(DP24:DP28)</f>
        <v/>
      </c>
      <c r="DQ29" s="152">
        <f>SUM(DQ24:DQ28)</f>
        <v/>
      </c>
      <c r="DR29" s="152">
        <f>SUM(DR24:DR28)</f>
        <v/>
      </c>
      <c r="DS29" s="152">
        <f>SUM(DS24:DS28)</f>
        <v/>
      </c>
      <c r="DT29" s="152">
        <f>SUM(DT24:DT28)</f>
        <v/>
      </c>
      <c r="DU29" s="152">
        <f>SUM(DU24:DU28)</f>
        <v/>
      </c>
      <c r="DV29" s="152">
        <f>SUM(DV24:DV28)</f>
        <v/>
      </c>
      <c r="DW29" s="152">
        <f>SUM(DW24:DW28)</f>
        <v/>
      </c>
      <c r="DX29" s="152">
        <f>SUM(DX24:DX28)</f>
        <v/>
      </c>
      <c r="DY29" s="152">
        <f>SUM(DY24:DY28)</f>
        <v/>
      </c>
      <c r="DZ29" s="152">
        <f>SUM(DZ24:DZ28)</f>
        <v/>
      </c>
      <c r="EA29" s="152">
        <f>SUM(EA24:EA28)</f>
        <v/>
      </c>
      <c r="EB29" s="152">
        <f>SUM(EB24:EB28)</f>
        <v/>
      </c>
      <c r="EC29" s="152">
        <f>SUM(EC24:EC28)</f>
        <v/>
      </c>
      <c r="ED29" s="152">
        <f>SUM(ED24:ED28)</f>
        <v/>
      </c>
      <c r="EE29" s="152">
        <f>SUM(EE24:EE28)</f>
        <v/>
      </c>
      <c r="EF29" s="152">
        <f>SUM(EF24:EF28)</f>
        <v/>
      </c>
      <c r="EG29" s="152">
        <f>SUM(EG24:EG28)</f>
        <v/>
      </c>
      <c r="EH29" s="152">
        <f>SUM(EH24:EH28)</f>
        <v/>
      </c>
      <c r="EI29" s="152">
        <f>SUM(EI24:EI28)</f>
        <v/>
      </c>
      <c r="EJ29" s="152">
        <f>SUM(EJ24:EJ28)</f>
        <v/>
      </c>
      <c r="EK29" s="152">
        <f>SUM(EK24:EK28)</f>
        <v/>
      </c>
      <c r="EL29" s="152">
        <f>SUM(EL24:EL28)</f>
        <v/>
      </c>
      <c r="EM29" s="152">
        <f>SUM(EM24:EM28)</f>
        <v/>
      </c>
      <c r="EN29" s="152">
        <f>SUM(EN24:EN28)</f>
        <v/>
      </c>
      <c r="EO29" s="152">
        <f>SUM(EO24:EO28)</f>
        <v/>
      </c>
      <c r="EP29" s="152">
        <f>SUM(EP24:EP28)</f>
        <v/>
      </c>
      <c r="EQ29" s="152">
        <f>SUM(EQ24:EQ28)</f>
        <v/>
      </c>
      <c r="ER29" s="152">
        <f>SUM(ER24:ER28)</f>
        <v/>
      </c>
      <c r="ES29" s="152">
        <f>SUM(ES24:ES28)</f>
        <v/>
      </c>
      <c r="ET29" s="152">
        <f>SUM(ET24:ET28)</f>
        <v/>
      </c>
      <c r="EU29" s="152">
        <f>SUM(EU24:EU28)</f>
        <v/>
      </c>
      <c r="EV29" s="152">
        <f>SUM(EV24:EV28)</f>
        <v/>
      </c>
      <c r="EW29" s="152">
        <f>SUM(EW24:EW28)</f>
        <v/>
      </c>
      <c r="EX29" s="152">
        <f>SUM(EX24:EX28)</f>
        <v/>
      </c>
      <c r="EY29" s="152">
        <f>SUM(EY24:EY28)</f>
        <v/>
      </c>
      <c r="EZ29" s="152">
        <f>SUM(EZ24:EZ28)</f>
        <v/>
      </c>
      <c r="FA29" s="152">
        <f>SUM(FA24:FA28)</f>
        <v/>
      </c>
    </row>
    <row r="30" ht="15.75" customHeight="1">
      <c r="A30" s="89" t="n"/>
      <c r="CH30" s="90" t="n"/>
      <c r="CI30" s="90" t="n"/>
      <c r="CJ30" s="90" t="n"/>
      <c r="CK30" s="90" t="n"/>
      <c r="CL30" s="90" t="n"/>
      <c r="CM30" s="90" t="n"/>
      <c r="CN30" s="90" t="n"/>
      <c r="CO30" s="90" t="n"/>
      <c r="CP30" s="90" t="n"/>
      <c r="CQ30" s="162" t="n"/>
      <c r="CR30" s="90" t="n"/>
      <c r="CS30" s="90" t="n"/>
      <c r="CT30" s="90" t="n"/>
      <c r="CU30" s="90" t="n"/>
      <c r="CV30" s="90" t="n"/>
      <c r="CW30" s="90" t="n"/>
      <c r="CX30" s="90" t="n"/>
      <c r="CY30" s="90" t="n"/>
      <c r="CZ30" s="90" t="n"/>
      <c r="DA30" s="90" t="n"/>
      <c r="DB30" s="90" t="n"/>
      <c r="DC30" s="163" t="n"/>
      <c r="DD30" s="90" t="n"/>
      <c r="DE30" s="90" t="n"/>
      <c r="DF30" s="90" t="n"/>
      <c r="DG30" s="90" t="n"/>
      <c r="DH30" s="90" t="n"/>
      <c r="DI30" s="90" t="n"/>
      <c r="DJ30" s="90" t="n"/>
      <c r="DK30" s="90" t="n"/>
      <c r="DL30" s="90" t="n"/>
      <c r="DM30" s="90" t="n"/>
      <c r="DN30" s="90" t="n"/>
      <c r="DO30" s="90" t="n"/>
      <c r="DP30" s="90" t="n"/>
      <c r="DQ30" s="90" t="n"/>
      <c r="DR30" s="90" t="n"/>
      <c r="DS30" s="90" t="n"/>
      <c r="DT30" s="90" t="n"/>
      <c r="DU30" s="90" t="n"/>
      <c r="DV30" s="90" t="n"/>
      <c r="DW30" s="90" t="n"/>
      <c r="DX30" s="90" t="n"/>
      <c r="DY30" s="90" t="n"/>
      <c r="DZ30" s="90" t="n"/>
      <c r="EA30" s="90" t="n"/>
      <c r="EB30" s="90" t="n"/>
      <c r="EC30" s="90" t="n"/>
      <c r="ED30" s="90" t="n"/>
      <c r="EE30" s="90" t="n"/>
      <c r="EF30" s="90" t="n"/>
      <c r="EG30" s="90" t="n"/>
      <c r="EH30" s="90" t="n"/>
      <c r="EI30" s="90" t="n"/>
      <c r="EJ30" s="90" t="n"/>
      <c r="EK30" s="90" t="n"/>
      <c r="EL30" s="90" t="n"/>
      <c r="EM30" s="90" t="n"/>
      <c r="EN30" s="90" t="n"/>
      <c r="EO30" s="90" t="n"/>
      <c r="EP30" s="90" t="n"/>
      <c r="EQ30" s="90" t="n"/>
      <c r="ER30" s="90" t="n"/>
      <c r="ES30" s="90" t="n"/>
      <c r="ET30" s="90" t="n"/>
      <c r="EU30" s="90" t="n"/>
      <c r="EV30" s="90" t="n"/>
      <c r="EW30" s="90" t="n"/>
      <c r="EX30" s="90" t="n"/>
      <c r="EY30" s="90" t="n"/>
      <c r="EZ30" s="90" t="n"/>
      <c r="FA30" s="90" t="n"/>
    </row>
    <row r="31" ht="15.75" customHeight="1">
      <c r="A31" s="89" t="inlineStr">
        <is>
          <t>Margen Neto</t>
        </is>
      </c>
      <c r="CH31" s="90">
        <f>CH29+CH21</f>
        <v/>
      </c>
      <c r="CI31" s="90">
        <f>CI29+CI21</f>
        <v/>
      </c>
      <c r="CJ31" s="90">
        <f>CJ29+CJ21</f>
        <v/>
      </c>
      <c r="CK31" s="90">
        <f>CK29+CK21</f>
        <v/>
      </c>
      <c r="CL31" s="90">
        <f>CL29+CL21</f>
        <v/>
      </c>
      <c r="CM31" s="90">
        <f>CM29+CM21</f>
        <v/>
      </c>
      <c r="CN31" s="90">
        <f>CN29+CN21</f>
        <v/>
      </c>
      <c r="CO31" s="90">
        <f>CO29+CO21</f>
        <v/>
      </c>
      <c r="CP31" s="90">
        <f>CP29+CP21</f>
        <v/>
      </c>
      <c r="CQ31" s="162">
        <f>CQ29+CQ21</f>
        <v/>
      </c>
      <c r="CR31" s="90">
        <f>CR29+CR21</f>
        <v/>
      </c>
      <c r="CS31" s="90">
        <f>CS29+CS21</f>
        <v/>
      </c>
      <c r="CT31" s="90">
        <f>CT29+CT21</f>
        <v/>
      </c>
      <c r="CU31" s="90">
        <f>CU29+CU21</f>
        <v/>
      </c>
      <c r="CV31" s="90">
        <f>CV29+CV21</f>
        <v/>
      </c>
      <c r="CW31" s="90">
        <f>CW29+CW21</f>
        <v/>
      </c>
      <c r="CX31" s="90">
        <f>CX29+CX21</f>
        <v/>
      </c>
      <c r="CY31" s="90">
        <f>CY29+CY21</f>
        <v/>
      </c>
      <c r="CZ31" s="90">
        <f>CZ29+CZ21</f>
        <v/>
      </c>
      <c r="DA31" s="90">
        <f>DA29+DA21</f>
        <v/>
      </c>
      <c r="DB31" s="90">
        <f>DB29+DB21</f>
        <v/>
      </c>
      <c r="DC31" s="163">
        <f>DC29+DC21</f>
        <v/>
      </c>
      <c r="DD31" s="90">
        <f>DD29+DD21</f>
        <v/>
      </c>
      <c r="DE31" s="90">
        <f>DE29+DE21</f>
        <v/>
      </c>
      <c r="DF31" s="90">
        <f>DF29+DF21</f>
        <v/>
      </c>
      <c r="DG31" s="90">
        <f>DG29+DG21</f>
        <v/>
      </c>
      <c r="DH31" s="90">
        <f>DH29+DH21</f>
        <v/>
      </c>
      <c r="DI31" s="90">
        <f>DI29+DI21</f>
        <v/>
      </c>
      <c r="DJ31" s="90">
        <f>DJ29+DJ21</f>
        <v/>
      </c>
      <c r="DK31" s="90">
        <f>DK29+DK21</f>
        <v/>
      </c>
      <c r="DL31" s="90">
        <f>DL29+DL21</f>
        <v/>
      </c>
      <c r="DM31" s="90">
        <f>DM29+DM21</f>
        <v/>
      </c>
      <c r="DN31" s="90">
        <f>DN29+DN21</f>
        <v/>
      </c>
      <c r="DO31" s="90">
        <f>DO29+DO21</f>
        <v/>
      </c>
      <c r="DP31" s="90">
        <f>DP29+DP21</f>
        <v/>
      </c>
      <c r="DQ31" s="90">
        <f>DQ29+DQ21</f>
        <v/>
      </c>
      <c r="DR31" s="90">
        <f>DR29+DR21</f>
        <v/>
      </c>
      <c r="DS31" s="90">
        <f>DS29+DS21</f>
        <v/>
      </c>
      <c r="DT31" s="90">
        <f>DT29+DT21</f>
        <v/>
      </c>
      <c r="DU31" s="90">
        <f>DU29+DU21</f>
        <v/>
      </c>
      <c r="DV31" s="90">
        <f>DV29+DV21</f>
        <v/>
      </c>
      <c r="DW31" s="90">
        <f>DW29+DW21</f>
        <v/>
      </c>
      <c r="DX31" s="90">
        <f>DX29+DX21</f>
        <v/>
      </c>
      <c r="DY31" s="90">
        <f>DY29+DY21</f>
        <v/>
      </c>
      <c r="DZ31" s="90">
        <f>DZ29+DZ21</f>
        <v/>
      </c>
      <c r="EA31" s="90">
        <f>EA29+EA21</f>
        <v/>
      </c>
      <c r="EB31" s="90">
        <f>EB29+EB21</f>
        <v/>
      </c>
      <c r="EC31" s="90">
        <f>EC29+EC21</f>
        <v/>
      </c>
      <c r="ED31" s="90">
        <f>ED29+ED21</f>
        <v/>
      </c>
      <c r="EE31" s="90">
        <f>EE29+EE21</f>
        <v/>
      </c>
      <c r="EF31" s="90">
        <f>EF29+EF21</f>
        <v/>
      </c>
      <c r="EG31" s="90">
        <f>EG29+EG21</f>
        <v/>
      </c>
      <c r="EH31" s="90">
        <f>EH29+EH21</f>
        <v/>
      </c>
      <c r="EI31" s="90">
        <f>EI29+EI21</f>
        <v/>
      </c>
      <c r="EJ31" s="90">
        <f>EJ29+EJ21</f>
        <v/>
      </c>
      <c r="EK31" s="90">
        <f>EK29+EK21</f>
        <v/>
      </c>
      <c r="EL31" s="90">
        <f>EL29+EL21</f>
        <v/>
      </c>
      <c r="EM31" s="90">
        <f>EM29+EM21</f>
        <v/>
      </c>
      <c r="EN31" s="90">
        <f>EN29+EN21</f>
        <v/>
      </c>
      <c r="EO31" s="90">
        <f>EO29+EO21</f>
        <v/>
      </c>
      <c r="EP31" s="90">
        <f>EP29+EP21</f>
        <v/>
      </c>
      <c r="EQ31" s="90">
        <f>EQ29+EQ21</f>
        <v/>
      </c>
      <c r="ER31" s="90">
        <f>ER29+ER21</f>
        <v/>
      </c>
      <c r="ES31" s="90">
        <f>ES29+ES21</f>
        <v/>
      </c>
      <c r="ET31" s="90">
        <f>ET29+ET21</f>
        <v/>
      </c>
      <c r="EU31" s="90">
        <f>EU29+EU21</f>
        <v/>
      </c>
      <c r="EV31" s="90">
        <f>EV29+EV21</f>
        <v/>
      </c>
      <c r="EW31" s="90">
        <f>EW29+EW21</f>
        <v/>
      </c>
      <c r="EX31" s="90">
        <f>EX29+EX21</f>
        <v/>
      </c>
      <c r="EY31" s="90">
        <f>EY29+EY21</f>
        <v/>
      </c>
      <c r="EZ31" s="90">
        <f>EZ29+EZ21</f>
        <v/>
      </c>
      <c r="FA31" s="90">
        <f>FA29+FA21</f>
        <v/>
      </c>
    </row>
    <row r="32" ht="15.75" customHeight="1">
      <c r="A32" s="89" t="n"/>
      <c r="CH32" s="90" t="n"/>
      <c r="CI32" s="90" t="n"/>
      <c r="CJ32" s="90" t="n"/>
      <c r="CK32" s="90" t="n"/>
      <c r="CL32" s="90" t="n"/>
      <c r="CM32" s="90" t="n"/>
      <c r="CN32" s="90" t="n"/>
      <c r="CO32" s="90" t="n"/>
      <c r="CP32" s="90" t="n"/>
      <c r="CQ32" s="162" t="n"/>
      <c r="CR32" s="90" t="n"/>
      <c r="CS32" s="90" t="n"/>
      <c r="CT32" s="90" t="n"/>
      <c r="CU32" s="90" t="n"/>
      <c r="CV32" s="90" t="n"/>
      <c r="CW32" s="90" t="n"/>
      <c r="CX32" s="90" t="n"/>
      <c r="CY32" s="90" t="n"/>
      <c r="CZ32" s="90" t="n"/>
      <c r="DA32" s="90" t="n"/>
      <c r="DB32" s="90" t="n"/>
      <c r="DC32" s="163" t="n"/>
      <c r="DD32" s="90" t="n"/>
      <c r="DE32" s="90" t="n"/>
      <c r="DF32" s="90" t="n"/>
      <c r="DG32" s="90" t="n"/>
      <c r="DH32" s="90" t="n"/>
      <c r="DI32" s="90" t="n"/>
      <c r="DJ32" s="90" t="n"/>
      <c r="DK32" s="90" t="n"/>
      <c r="DL32" s="90" t="n"/>
      <c r="DM32" s="90" t="n"/>
      <c r="DN32" s="90" t="n"/>
      <c r="DO32" s="90" t="n"/>
      <c r="DP32" s="90" t="n"/>
      <c r="DQ32" s="90" t="n"/>
      <c r="DR32" s="90" t="n"/>
      <c r="DS32" s="90" t="n"/>
      <c r="DT32" s="90" t="n"/>
      <c r="DU32" s="90" t="n"/>
      <c r="DV32" s="90" t="n"/>
      <c r="DW32" s="90" t="n"/>
      <c r="DX32" s="90" t="n"/>
      <c r="DY32" s="90" t="n"/>
      <c r="DZ32" s="90" t="n"/>
      <c r="EA32" s="90" t="n"/>
      <c r="EB32" s="90" t="n"/>
      <c r="EC32" s="90" t="n"/>
      <c r="ED32" s="90" t="n"/>
      <c r="EE32" s="90" t="n"/>
      <c r="EF32" s="90" t="n"/>
      <c r="EG32" s="90" t="n"/>
      <c r="EH32" s="90" t="n"/>
      <c r="EI32" s="90" t="n"/>
      <c r="EJ32" s="90" t="n"/>
      <c r="EK32" s="90" t="n"/>
      <c r="EL32" s="90" t="n"/>
      <c r="EM32" s="90" t="n"/>
      <c r="EN32" s="90" t="n"/>
      <c r="EO32" s="90" t="n"/>
      <c r="EP32" s="90" t="n"/>
      <c r="EQ32" s="90" t="n"/>
      <c r="ER32" s="90" t="n"/>
      <c r="ES32" s="90" t="n"/>
      <c r="ET32" s="90" t="n"/>
      <c r="EU32" s="90" t="n"/>
      <c r="EV32" s="90" t="n"/>
      <c r="EW32" s="90" t="n"/>
      <c r="EX32" s="90" t="n"/>
      <c r="EY32" s="90" t="n"/>
      <c r="EZ32" s="90" t="n"/>
      <c r="FA32" s="90" t="n"/>
    </row>
    <row r="33" ht="15.75" customHeight="1">
      <c r="A33" s="89" t="n"/>
      <c r="CH33" s="90" t="n"/>
      <c r="CI33" s="90" t="n"/>
      <c r="CJ33" s="90" t="n"/>
      <c r="CK33" s="90" t="n"/>
      <c r="CL33" s="90" t="n"/>
      <c r="CM33" s="90" t="n"/>
      <c r="CN33" s="90" t="n"/>
      <c r="CO33" s="90" t="n"/>
      <c r="CP33" s="90" t="n"/>
      <c r="CQ33" s="162" t="n"/>
      <c r="CR33" s="90" t="n"/>
      <c r="CS33" s="90" t="n"/>
      <c r="CT33" s="90" t="n"/>
      <c r="CU33" s="90" t="n"/>
      <c r="CV33" s="90" t="n"/>
      <c r="CW33" s="90" t="n"/>
      <c r="CX33" s="90" t="n"/>
      <c r="CY33" s="90" t="n"/>
      <c r="CZ33" s="90" t="n"/>
      <c r="DA33" s="90" t="n"/>
      <c r="DB33" s="90" t="n"/>
      <c r="DC33" s="163" t="n"/>
      <c r="DD33" s="90" t="n"/>
      <c r="DE33" s="90" t="n"/>
      <c r="DF33" s="90" t="n"/>
      <c r="DG33" s="90" t="n"/>
      <c r="DH33" s="90" t="n"/>
      <c r="DI33" s="90" t="n"/>
      <c r="DJ33" s="90" t="n"/>
      <c r="DK33" s="90" t="n"/>
      <c r="DL33" s="90" t="n"/>
      <c r="DM33" s="90" t="n"/>
      <c r="DN33" s="90" t="n"/>
      <c r="DO33" s="90" t="n"/>
      <c r="DP33" s="90" t="n"/>
      <c r="DQ33" s="90" t="n"/>
      <c r="DR33" s="90" t="n"/>
      <c r="DS33" s="90" t="n"/>
      <c r="DT33" s="90" t="n"/>
      <c r="DU33" s="90" t="n"/>
      <c r="DV33" s="90" t="n"/>
      <c r="DW33" s="90" t="n"/>
      <c r="DX33" s="90" t="n"/>
      <c r="DY33" s="90" t="n"/>
      <c r="DZ33" s="90" t="n"/>
      <c r="EA33" s="90" t="n"/>
      <c r="EB33" s="90" t="n"/>
      <c r="EC33" s="90" t="n"/>
      <c r="ED33" s="90" t="n"/>
      <c r="EE33" s="90" t="n"/>
      <c r="EF33" s="90" t="n"/>
      <c r="EG33" s="90" t="n"/>
      <c r="EH33" s="90" t="n"/>
      <c r="EI33" s="90" t="n"/>
      <c r="EJ33" s="90" t="n"/>
      <c r="EK33" s="90" t="n"/>
      <c r="EL33" s="90" t="n"/>
      <c r="EM33" s="90" t="n"/>
      <c r="EN33" s="90" t="n"/>
      <c r="EO33" s="90" t="n"/>
      <c r="EP33" s="90" t="n"/>
      <c r="EQ33" s="90" t="n"/>
      <c r="ER33" s="90" t="n"/>
      <c r="ES33" s="90" t="n"/>
      <c r="ET33" s="90" t="n"/>
      <c r="EU33" s="90" t="n"/>
      <c r="EV33" s="90" t="n"/>
      <c r="EW33" s="90" t="n"/>
      <c r="EX33" s="90" t="n"/>
      <c r="EY33" s="90" t="n"/>
      <c r="EZ33" s="90" t="n"/>
      <c r="FA33" s="90" t="n"/>
    </row>
    <row r="34" ht="15.75" customHeight="1">
      <c r="A34" s="169" t="inlineStr">
        <is>
          <t>CUENTAS BAJO ADMINISTRACIÓN</t>
        </is>
      </c>
      <c r="B34" s="170" t="n"/>
      <c r="C34" s="170" t="n"/>
      <c r="D34" s="170" t="n"/>
      <c r="E34" s="170" t="n"/>
      <c r="F34" s="170" t="n"/>
      <c r="G34" s="170" t="n"/>
      <c r="H34" s="170" t="n"/>
      <c r="I34" s="170" t="n"/>
      <c r="J34" s="170" t="n"/>
      <c r="K34" s="170" t="n"/>
      <c r="L34" s="170" t="n"/>
      <c r="M34" s="170" t="n"/>
      <c r="N34" s="170" t="n"/>
      <c r="O34" s="170" t="n"/>
      <c r="P34" s="170" t="n"/>
      <c r="Q34" s="170" t="n"/>
      <c r="R34" s="170" t="n"/>
      <c r="S34" s="170" t="n"/>
      <c r="T34" s="170" t="n"/>
      <c r="U34" s="170" t="n"/>
      <c r="V34" s="170" t="n"/>
      <c r="W34" s="170" t="n"/>
      <c r="X34" s="170" t="n"/>
      <c r="Y34" s="170" t="n"/>
      <c r="Z34" s="170" t="n"/>
      <c r="AA34" s="170" t="n"/>
      <c r="AB34" s="170" t="n"/>
      <c r="AC34" s="170" t="n"/>
      <c r="AD34" s="170" t="n"/>
      <c r="AE34" s="170" t="n"/>
      <c r="AF34" s="170" t="n"/>
      <c r="AG34" s="170" t="n"/>
      <c r="AH34" s="170" t="n"/>
      <c r="AI34" s="170" t="n"/>
      <c r="AJ34" s="170" t="n"/>
      <c r="AK34" s="170" t="n"/>
      <c r="AL34" s="170" t="n"/>
      <c r="AM34" s="170" t="n"/>
      <c r="AN34" s="170" t="n"/>
      <c r="AO34" s="170" t="n"/>
      <c r="AP34" s="170" t="n"/>
      <c r="AQ34" s="170" t="n"/>
      <c r="AR34" s="170" t="n"/>
      <c r="AS34" s="170" t="n"/>
      <c r="AT34" s="170" t="n"/>
      <c r="AU34" s="170" t="n"/>
      <c r="AV34" s="170" t="n"/>
      <c r="AW34" s="170" t="n"/>
      <c r="AX34" s="170" t="n"/>
      <c r="AY34" s="170" t="n"/>
      <c r="AZ34" s="170" t="n"/>
      <c r="BA34" s="170" t="n"/>
      <c r="BB34" s="170" t="n"/>
      <c r="BC34" s="170" t="n"/>
      <c r="BD34" s="170" t="n"/>
      <c r="BE34" s="170" t="n"/>
      <c r="BF34" s="170" t="n"/>
      <c r="BG34" s="170" t="n"/>
      <c r="BH34" s="170" t="n"/>
      <c r="BI34" s="170" t="n"/>
      <c r="BJ34" s="170" t="n"/>
      <c r="BK34" s="170" t="n"/>
      <c r="BL34" s="170" t="n"/>
      <c r="BM34" s="170" t="n"/>
      <c r="BN34" s="170" t="n"/>
      <c r="BO34" s="170" t="n"/>
      <c r="BP34" s="170" t="n"/>
      <c r="BQ34" s="170" t="n"/>
      <c r="BR34" s="170" t="n"/>
      <c r="BS34" s="170" t="n"/>
      <c r="BT34" s="170" t="n"/>
      <c r="BU34" s="170" t="n"/>
      <c r="BV34" s="170" t="n"/>
      <c r="BW34" s="170" t="n"/>
      <c r="BX34" s="170" t="n"/>
      <c r="BY34" s="170" t="n"/>
      <c r="BZ34" s="170" t="n"/>
      <c r="CA34" s="170" t="n"/>
      <c r="CB34" s="170" t="n"/>
      <c r="CC34" s="170" t="n"/>
      <c r="CD34" s="170" t="n"/>
      <c r="CE34" s="170" t="n"/>
      <c r="CF34" s="170" t="n"/>
      <c r="CG34" s="170" t="n"/>
      <c r="CH34" s="170" t="n"/>
      <c r="CI34" s="170" t="n"/>
      <c r="CJ34" s="170" t="n"/>
      <c r="CK34" s="170" t="n"/>
      <c r="CL34" s="170" t="n"/>
      <c r="CM34" s="170" t="n"/>
      <c r="CN34" s="170" t="n"/>
      <c r="CO34" s="170" t="n"/>
      <c r="CP34" s="170" t="n"/>
      <c r="CQ34" s="159" t="n"/>
      <c r="CR34" s="170" t="n"/>
      <c r="CS34" s="170" t="n"/>
      <c r="CT34" s="170" t="n"/>
      <c r="CU34" s="170" t="n"/>
      <c r="CV34" s="170" t="n"/>
      <c r="CW34" s="170" t="n"/>
      <c r="CX34" s="170" t="n"/>
      <c r="CY34" s="170" t="n"/>
      <c r="CZ34" s="170" t="n"/>
      <c r="DA34" s="170" t="n"/>
      <c r="DB34" s="170" t="n"/>
      <c r="DC34" s="160" t="n"/>
      <c r="DD34" s="170" t="n"/>
      <c r="DE34" s="170" t="n"/>
      <c r="DF34" s="170" t="n"/>
      <c r="DG34" s="170" t="n"/>
      <c r="DH34" s="170" t="n"/>
      <c r="DI34" s="170" t="n"/>
      <c r="DJ34" s="170" t="n"/>
      <c r="DK34" s="170" t="n"/>
      <c r="DL34" s="170" t="n"/>
      <c r="DM34" s="170" t="n"/>
      <c r="DN34" s="170" t="n"/>
      <c r="DO34" s="170" t="n"/>
      <c r="DP34" s="170" t="n"/>
      <c r="DQ34" s="170" t="n"/>
      <c r="DR34" s="170" t="n"/>
      <c r="DS34" s="170" t="n"/>
      <c r="DT34" s="170" t="n"/>
      <c r="DU34" s="170" t="n"/>
      <c r="DV34" s="170" t="n"/>
      <c r="DW34" s="170" t="n"/>
      <c r="DX34" s="170" t="n"/>
      <c r="DY34" s="170" t="n"/>
      <c r="DZ34" s="170" t="n"/>
      <c r="EA34" s="170" t="n"/>
      <c r="EB34" s="170" t="n"/>
      <c r="EC34" s="170" t="n"/>
      <c r="ED34" s="170" t="n"/>
      <c r="EE34" s="170" t="n"/>
      <c r="EF34" s="170" t="n"/>
      <c r="EG34" s="170" t="n"/>
      <c r="EH34" s="170" t="n"/>
      <c r="EI34" s="170" t="n"/>
      <c r="EJ34" s="170" t="n"/>
      <c r="EK34" s="170" t="n"/>
      <c r="EL34" s="170" t="n"/>
      <c r="EM34" s="170" t="n"/>
      <c r="EN34" s="170" t="n"/>
      <c r="EO34" s="170" t="n"/>
      <c r="EP34" s="170" t="n"/>
      <c r="EQ34" s="170" t="n"/>
      <c r="ER34" s="170" t="n"/>
      <c r="ES34" s="170" t="n"/>
      <c r="ET34" s="170" t="n"/>
      <c r="EU34" s="170" t="n"/>
      <c r="EV34" s="170" t="n"/>
      <c r="EW34" s="170" t="n"/>
      <c r="EX34" s="170" t="n"/>
      <c r="EY34" s="170" t="n"/>
      <c r="EZ34" s="170" t="n"/>
      <c r="FA34" s="170" t="n"/>
    </row>
    <row r="35" ht="15.75" customHeight="1">
      <c r="A35" s="89" t="n"/>
      <c r="CQ35" s="159" t="n"/>
      <c r="DC35" s="160" t="n"/>
    </row>
    <row r="36" ht="15.75" customHeight="1">
      <c r="A36" s="89" t="inlineStr">
        <is>
          <t>Saldo Vigente Portafolio AUM</t>
        </is>
      </c>
      <c r="B36" s="90">
        <f>#REF!</f>
        <v/>
      </c>
      <c r="C36" s="90">
        <f>#REF!</f>
        <v/>
      </c>
      <c r="D36" s="90">
        <f>#REF!</f>
        <v/>
      </c>
      <c r="E36" s="90">
        <f>#REF!</f>
        <v/>
      </c>
      <c r="F36" s="90">
        <f>#REF!</f>
        <v/>
      </c>
      <c r="G36" s="90">
        <f>#REF!</f>
        <v/>
      </c>
      <c r="H36" s="90">
        <f>#REF!</f>
        <v/>
      </c>
      <c r="I36" s="90">
        <f>#REF!</f>
        <v/>
      </c>
      <c r="J36" s="90">
        <f>#REF!</f>
        <v/>
      </c>
      <c r="K36" s="90">
        <f>#REF!</f>
        <v/>
      </c>
      <c r="L36" s="90">
        <f>#REF!</f>
        <v/>
      </c>
      <c r="M36" s="90">
        <f>#REF!</f>
        <v/>
      </c>
      <c r="N36" s="90">
        <f>#REF!</f>
        <v/>
      </c>
      <c r="O36" s="90">
        <f>#REF!</f>
        <v/>
      </c>
      <c r="P36" s="90">
        <f>#REF!</f>
        <v/>
      </c>
      <c r="Q36" s="90">
        <f>#REF!</f>
        <v/>
      </c>
      <c r="R36" s="90">
        <f>#REF!</f>
        <v/>
      </c>
      <c r="S36" s="90">
        <f>#REF!</f>
        <v/>
      </c>
      <c r="T36" s="90">
        <f>#REF!</f>
        <v/>
      </c>
      <c r="U36" s="90">
        <f>#REF!</f>
        <v/>
      </c>
      <c r="V36" s="90">
        <f>#REF!</f>
        <v/>
      </c>
      <c r="W36" s="90">
        <f>#REF!</f>
        <v/>
      </c>
      <c r="X36" s="90">
        <f>#REF!</f>
        <v/>
      </c>
      <c r="Y36" s="90">
        <f>#REF!</f>
        <v/>
      </c>
      <c r="Z36" s="90">
        <f>#REF!</f>
        <v/>
      </c>
      <c r="AA36" s="90">
        <f>#REF!</f>
        <v/>
      </c>
      <c r="AB36" s="90">
        <f>#REF!</f>
        <v/>
      </c>
      <c r="AC36" s="90">
        <f>#REF!</f>
        <v/>
      </c>
      <c r="AD36" s="90">
        <f>#REF!</f>
        <v/>
      </c>
      <c r="AE36" s="90">
        <f>#REF!</f>
        <v/>
      </c>
      <c r="AF36" s="90">
        <f>#REF!</f>
        <v/>
      </c>
      <c r="AG36" s="90">
        <f>#REF!</f>
        <v/>
      </c>
      <c r="AH36" s="90">
        <f>#REF!</f>
        <v/>
      </c>
      <c r="AI36" s="90">
        <f>#REF!</f>
        <v/>
      </c>
      <c r="AJ36" s="90">
        <f>#REF!</f>
        <v/>
      </c>
      <c r="AK36" s="90">
        <f>#REF!</f>
        <v/>
      </c>
      <c r="AL36" s="90">
        <f>#REF!</f>
        <v/>
      </c>
      <c r="AM36" s="90">
        <f>#REF!</f>
        <v/>
      </c>
      <c r="AN36" s="90">
        <f>#REF!</f>
        <v/>
      </c>
      <c r="AO36" s="90">
        <f>#REF!</f>
        <v/>
      </c>
      <c r="AP36" s="90">
        <f>#REF!</f>
        <v/>
      </c>
      <c r="AQ36" s="90">
        <f>#REF!</f>
        <v/>
      </c>
      <c r="AR36" s="90">
        <f>#REF!</f>
        <v/>
      </c>
      <c r="AS36" s="90">
        <f>#REF!</f>
        <v/>
      </c>
      <c r="AT36" s="90">
        <f>#REF!</f>
        <v/>
      </c>
      <c r="AU36" s="90">
        <f>#REF!</f>
        <v/>
      </c>
      <c r="AV36" s="90">
        <f>#REF!</f>
        <v/>
      </c>
      <c r="AW36" s="90">
        <f>#REF!</f>
        <v/>
      </c>
      <c r="AX36" s="90">
        <f>#REF!</f>
        <v/>
      </c>
      <c r="AY36" s="90">
        <f>#REF!</f>
        <v/>
      </c>
      <c r="AZ36" s="90">
        <f>#REF!</f>
        <v/>
      </c>
      <c r="BA36" s="90">
        <f>#REF!</f>
        <v/>
      </c>
      <c r="BB36" s="90">
        <f>#REF!</f>
        <v/>
      </c>
      <c r="BC36" s="90">
        <f>#REF!</f>
        <v/>
      </c>
      <c r="BD36" s="90">
        <f>#REF!</f>
        <v/>
      </c>
      <c r="BE36" s="90">
        <f>#REF!</f>
        <v/>
      </c>
      <c r="BF36" s="90">
        <f>#REF!</f>
        <v/>
      </c>
      <c r="BG36" s="90">
        <f>#REF!</f>
        <v/>
      </c>
      <c r="BH36" s="90">
        <f>#REF!</f>
        <v/>
      </c>
      <c r="BI36" s="90">
        <f>#REF!</f>
        <v/>
      </c>
      <c r="BJ36" s="90">
        <f>#REF!</f>
        <v/>
      </c>
      <c r="BK36" s="90">
        <f>#REF!</f>
        <v/>
      </c>
      <c r="BL36" s="90">
        <f>#REF!</f>
        <v/>
      </c>
      <c r="BM36" s="90">
        <f>#REF!</f>
        <v/>
      </c>
      <c r="BN36" s="90">
        <f>#REF!</f>
        <v/>
      </c>
      <c r="BO36" s="90">
        <f>#REF!</f>
        <v/>
      </c>
      <c r="BP36" s="90">
        <f>#REF!</f>
        <v/>
      </c>
      <c r="BQ36" s="90">
        <f>#REF!</f>
        <v/>
      </c>
      <c r="BR36" s="90">
        <f>#REF!</f>
        <v/>
      </c>
      <c r="BS36" s="90">
        <f>#REF!</f>
        <v/>
      </c>
      <c r="BT36" s="90">
        <f>#REF!</f>
        <v/>
      </c>
      <c r="BU36" s="90">
        <f>#REF!</f>
        <v/>
      </c>
      <c r="BV36" s="90">
        <f>#REF!</f>
        <v/>
      </c>
      <c r="BW36" s="90">
        <f>#REF!</f>
        <v/>
      </c>
      <c r="BX36" s="90">
        <f>#REF!</f>
        <v/>
      </c>
      <c r="BY36" s="90">
        <f>#REF!</f>
        <v/>
      </c>
      <c r="BZ36" s="90">
        <f>#REF!</f>
        <v/>
      </c>
      <c r="CA36" s="90">
        <f>#REF!</f>
        <v/>
      </c>
      <c r="CB36" s="90">
        <f>#REF!</f>
        <v/>
      </c>
      <c r="CC36" s="90">
        <f>#REF!</f>
        <v/>
      </c>
      <c r="CD36" s="90">
        <f>#REF!</f>
        <v/>
      </c>
      <c r="CE36" s="90">
        <f>#REF!</f>
        <v/>
      </c>
      <c r="CF36" s="90">
        <f>#REF!</f>
        <v/>
      </c>
      <c r="CG36" s="90">
        <f>#REF!</f>
        <v/>
      </c>
      <c r="CH36" s="90" t="n">
        <v>121289545.9675856</v>
      </c>
      <c r="CI36" s="90" t="n">
        <v>119278450.2904527</v>
      </c>
      <c r="CJ36" s="90" t="n">
        <v>116379796.1132312</v>
      </c>
      <c r="CK36" s="90" t="n">
        <v>119198812.326102</v>
      </c>
      <c r="CL36" s="90" t="n">
        <v>122282584.9323081</v>
      </c>
      <c r="CM36" s="90" t="n">
        <v>121738471.7417363</v>
      </c>
      <c r="CN36" s="90" t="n">
        <v>122618929.5723603</v>
      </c>
      <c r="CO36" s="90" t="n">
        <v>126276755.2832114</v>
      </c>
      <c r="CP36" s="90" t="n">
        <v>129525397.0735807</v>
      </c>
      <c r="CQ36" s="162" t="n">
        <v>125887809.6649001</v>
      </c>
      <c r="CR36" s="90" t="n">
        <v>121407537.8801882</v>
      </c>
      <c r="CS36" s="90" t="n">
        <v>117075361.553974</v>
      </c>
      <c r="CT36" s="90" t="n">
        <v>112885223.7847435</v>
      </c>
      <c r="CU36" s="90" t="n">
        <v>108816564.0350492</v>
      </c>
      <c r="CV36" s="90" t="n">
        <v>104745768.0738269</v>
      </c>
      <c r="CW36" s="90" t="n">
        <v>100645701.7134893</v>
      </c>
      <c r="CX36" s="90" t="n">
        <v>96712501.80271974</v>
      </c>
      <c r="CY36" s="90" t="n">
        <v>93016041.6277411</v>
      </c>
      <c r="CZ36" s="90" t="n">
        <v>89323687.27832243</v>
      </c>
      <c r="DA36" s="90" t="n">
        <v>85641530.05412468</v>
      </c>
      <c r="DB36" s="90" t="n">
        <v>81927311.28834908</v>
      </c>
      <c r="DC36" s="163" t="n">
        <v>78500898.82698961</v>
      </c>
      <c r="DD36" s="90" t="n">
        <v>75096359.55852613</v>
      </c>
      <c r="DE36" s="90" t="n">
        <v>71682210.19512501</v>
      </c>
      <c r="DF36" s="90" t="n">
        <v>68303400.26883501</v>
      </c>
      <c r="DG36" s="90" t="n">
        <v>65037590.63732943</v>
      </c>
      <c r="DH36" s="90" t="n">
        <v>61785767.83898975</v>
      </c>
      <c r="DI36" s="90" t="n">
        <v>58589880.26815418</v>
      </c>
      <c r="DJ36" s="90" t="n">
        <v>55369689.41752788</v>
      </c>
      <c r="DK36" s="90" t="n">
        <v>52321435.01060597</v>
      </c>
      <c r="DL36" s="90" t="n">
        <v>49353679.73388822</v>
      </c>
      <c r="DM36" s="90" t="n">
        <v>46515261.83180357</v>
      </c>
      <c r="DN36" s="90" t="n">
        <v>43806826.23060831</v>
      </c>
      <c r="DO36" s="90" t="n">
        <v>41369391.42061614</v>
      </c>
      <c r="DP36" s="90" t="n">
        <v>39137339.83148936</v>
      </c>
      <c r="DQ36" s="90" t="n">
        <v>36986755.6721226</v>
      </c>
      <c r="DR36" s="90" t="n">
        <v>34888324.09405694</v>
      </c>
      <c r="DS36" s="90" t="n">
        <v>32771123.68893616</v>
      </c>
      <c r="DT36" s="90" t="n">
        <v>30742455.83197779</v>
      </c>
      <c r="DU36" s="90" t="n">
        <v>28768686.46547864</v>
      </c>
      <c r="DV36" s="90" t="n">
        <v>26951350.01734022</v>
      </c>
      <c r="DW36" s="90" t="n">
        <v>25267029.62027994</v>
      </c>
      <c r="DX36" s="90" t="n">
        <v>23609290.15795163</v>
      </c>
      <c r="DY36" s="90" t="n">
        <v>22008642.89518947</v>
      </c>
      <c r="DZ36" s="90" t="n">
        <v>20460161.44958864</v>
      </c>
      <c r="EA36" s="90" t="n">
        <v>18927535.35991141</v>
      </c>
      <c r="EB36" s="90" t="n">
        <v>17400883.07676994</v>
      </c>
      <c r="EC36" s="90" t="n">
        <v>15898429.57654927</v>
      </c>
      <c r="ED36" s="90" t="n">
        <v>14396630.8156285</v>
      </c>
      <c r="EE36" s="90" t="n">
        <v>12933729.16517958</v>
      </c>
      <c r="EF36" s="90" t="n">
        <v>11463164.32764019</v>
      </c>
      <c r="EG36" s="90" t="n">
        <v>10044013.87556619</v>
      </c>
      <c r="EH36" s="90" t="n">
        <v>8755569.994712476</v>
      </c>
      <c r="EI36" s="90" t="n">
        <v>7517231.0803299</v>
      </c>
      <c r="EJ36" s="90" t="n">
        <v>6313688.359429856</v>
      </c>
      <c r="EK36" s="90" t="n">
        <v>5246644.423330232</v>
      </c>
      <c r="EL36" s="90" t="n">
        <v>4373268.022265417</v>
      </c>
      <c r="EM36" s="90" t="n">
        <v>3569192.067964891</v>
      </c>
      <c r="EN36" s="90" t="n">
        <v>2874475.859861389</v>
      </c>
      <c r="EO36" s="90" t="n">
        <v>2250600.285213559</v>
      </c>
      <c r="EP36" s="90" t="n">
        <v>1778920.03044622</v>
      </c>
      <c r="EQ36" s="90" t="n">
        <v>1358716.412832034</v>
      </c>
      <c r="ER36" s="90" t="n">
        <v>1039519.815358095</v>
      </c>
      <c r="ES36" s="90" t="n">
        <v>751406.5315782558</v>
      </c>
      <c r="ET36" s="90" t="n">
        <v>504727.712321447</v>
      </c>
      <c r="EU36" s="90" t="n">
        <v>301520.0450126621</v>
      </c>
      <c r="EV36" s="90" t="n">
        <v>165584.7187992417</v>
      </c>
      <c r="EW36" s="90" t="n">
        <v>46854.22282539714</v>
      </c>
      <c r="EX36" s="90" t="n">
        <v>9475.015721070984</v>
      </c>
      <c r="EY36" s="90" t="n">
        <v>0</v>
      </c>
      <c r="EZ36" s="90" t="n">
        <v>0</v>
      </c>
      <c r="FA36" s="90" t="n">
        <v>0</v>
      </c>
    </row>
    <row r="37" ht="15.75" customHeight="1">
      <c r="A37" s="89" t="inlineStr">
        <is>
          <t>Saldo Vencido Portafolio AUM</t>
        </is>
      </c>
      <c r="B37" s="90">
        <f>#REF!</f>
        <v/>
      </c>
      <c r="C37" s="90">
        <f>#REF!</f>
        <v/>
      </c>
      <c r="D37" s="90">
        <f>#REF!</f>
        <v/>
      </c>
      <c r="E37" s="90">
        <f>#REF!</f>
        <v/>
      </c>
      <c r="F37" s="90">
        <f>#REF!</f>
        <v/>
      </c>
      <c r="G37" s="90">
        <f>#REF!</f>
        <v/>
      </c>
      <c r="H37" s="90">
        <f>#REF!</f>
        <v/>
      </c>
      <c r="I37" s="90">
        <f>#REF!</f>
        <v/>
      </c>
      <c r="J37" s="90">
        <f>#REF!</f>
        <v/>
      </c>
      <c r="K37" s="90">
        <f>#REF!</f>
        <v/>
      </c>
      <c r="L37" s="90">
        <f>#REF!</f>
        <v/>
      </c>
      <c r="M37" s="90">
        <f>#REF!</f>
        <v/>
      </c>
      <c r="N37" s="90">
        <f>#REF!</f>
        <v/>
      </c>
      <c r="O37" s="90">
        <f>#REF!</f>
        <v/>
      </c>
      <c r="P37" s="90">
        <f>#REF!</f>
        <v/>
      </c>
      <c r="Q37" s="90">
        <f>#REF!</f>
        <v/>
      </c>
      <c r="R37" s="90">
        <f>#REF!</f>
        <v/>
      </c>
      <c r="S37" s="90">
        <f>#REF!</f>
        <v/>
      </c>
      <c r="T37" s="90">
        <f>#REF!</f>
        <v/>
      </c>
      <c r="U37" s="90">
        <f>#REF!</f>
        <v/>
      </c>
      <c r="V37" s="90">
        <f>#REF!</f>
        <v/>
      </c>
      <c r="W37" s="90">
        <f>#REF!</f>
        <v/>
      </c>
      <c r="X37" s="90">
        <f>#REF!</f>
        <v/>
      </c>
      <c r="Y37" s="90">
        <f>#REF!</f>
        <v/>
      </c>
      <c r="Z37" s="90">
        <f>#REF!</f>
        <v/>
      </c>
      <c r="AA37" s="90">
        <f>#REF!</f>
        <v/>
      </c>
      <c r="AB37" s="90">
        <f>#REF!</f>
        <v/>
      </c>
      <c r="AC37" s="90">
        <f>#REF!</f>
        <v/>
      </c>
      <c r="AD37" s="90">
        <f>#REF!</f>
        <v/>
      </c>
      <c r="AE37" s="90">
        <f>#REF!</f>
        <v/>
      </c>
      <c r="AF37" s="90">
        <f>#REF!</f>
        <v/>
      </c>
      <c r="AG37" s="90">
        <f>#REF!</f>
        <v/>
      </c>
      <c r="AH37" s="90">
        <f>#REF!</f>
        <v/>
      </c>
      <c r="AI37" s="90">
        <f>#REF!</f>
        <v/>
      </c>
      <c r="AJ37" s="90">
        <f>#REF!</f>
        <v/>
      </c>
      <c r="AK37" s="90">
        <f>#REF!</f>
        <v/>
      </c>
      <c r="AL37" s="90">
        <f>#REF!</f>
        <v/>
      </c>
      <c r="AM37" s="90">
        <f>#REF!</f>
        <v/>
      </c>
      <c r="AN37" s="90">
        <f>#REF!</f>
        <v/>
      </c>
      <c r="AO37" s="90">
        <f>#REF!</f>
        <v/>
      </c>
      <c r="AP37" s="90">
        <f>#REF!</f>
        <v/>
      </c>
      <c r="AQ37" s="90">
        <f>#REF!</f>
        <v/>
      </c>
      <c r="AR37" s="90">
        <f>#REF!</f>
        <v/>
      </c>
      <c r="AS37" s="90">
        <f>#REF!</f>
        <v/>
      </c>
      <c r="AT37" s="90">
        <f>#REF!</f>
        <v/>
      </c>
      <c r="AU37" s="90">
        <f>#REF!</f>
        <v/>
      </c>
      <c r="AV37" s="90">
        <f>#REF!</f>
        <v/>
      </c>
      <c r="AW37" s="90">
        <f>#REF!</f>
        <v/>
      </c>
      <c r="AX37" s="90">
        <f>#REF!</f>
        <v/>
      </c>
      <c r="AY37" s="90">
        <f>#REF!</f>
        <v/>
      </c>
      <c r="AZ37" s="90">
        <f>#REF!</f>
        <v/>
      </c>
      <c r="BA37" s="90">
        <f>#REF!</f>
        <v/>
      </c>
      <c r="BB37" s="90">
        <f>#REF!</f>
        <v/>
      </c>
      <c r="BC37" s="90">
        <f>#REF!</f>
        <v/>
      </c>
      <c r="BD37" s="90">
        <f>#REF!</f>
        <v/>
      </c>
      <c r="BE37" s="90">
        <f>#REF!</f>
        <v/>
      </c>
      <c r="BF37" s="90">
        <f>#REF!</f>
        <v/>
      </c>
      <c r="BG37" s="90">
        <f>#REF!</f>
        <v/>
      </c>
      <c r="BH37" s="90">
        <f>#REF!</f>
        <v/>
      </c>
      <c r="BI37" s="90">
        <f>#REF!</f>
        <v/>
      </c>
      <c r="BJ37" s="90">
        <f>#REF!</f>
        <v/>
      </c>
      <c r="BK37" s="90">
        <f>#REF!</f>
        <v/>
      </c>
      <c r="BL37" s="90">
        <f>#REF!</f>
        <v/>
      </c>
      <c r="BM37" s="90">
        <f>#REF!</f>
        <v/>
      </c>
      <c r="BN37" s="90">
        <f>#REF!</f>
        <v/>
      </c>
      <c r="BO37" s="90">
        <f>#REF!</f>
        <v/>
      </c>
      <c r="BP37" s="90">
        <f>#REF!</f>
        <v/>
      </c>
      <c r="BQ37" s="90">
        <f>#REF!</f>
        <v/>
      </c>
      <c r="BR37" s="90">
        <f>#REF!</f>
        <v/>
      </c>
      <c r="BS37" s="90">
        <f>#REF!</f>
        <v/>
      </c>
      <c r="BT37" s="90">
        <f>#REF!</f>
        <v/>
      </c>
      <c r="BU37" s="90">
        <f>#REF!</f>
        <v/>
      </c>
      <c r="BV37" s="90">
        <f>#REF!</f>
        <v/>
      </c>
      <c r="BW37" s="90">
        <f>#REF!</f>
        <v/>
      </c>
      <c r="BX37" s="90">
        <f>#REF!</f>
        <v/>
      </c>
      <c r="BY37" s="90">
        <f>#REF!</f>
        <v/>
      </c>
      <c r="BZ37" s="90">
        <f>#REF!</f>
        <v/>
      </c>
      <c r="CA37" s="90">
        <f>#REF!</f>
        <v/>
      </c>
      <c r="CB37" s="90">
        <f>#REF!</f>
        <v/>
      </c>
      <c r="CC37" s="90">
        <f>#REF!</f>
        <v/>
      </c>
      <c r="CD37" s="90">
        <f>#REF!</f>
        <v/>
      </c>
      <c r="CE37" s="90">
        <f>#REF!</f>
        <v/>
      </c>
      <c r="CF37" s="90">
        <f>#REF!</f>
        <v/>
      </c>
      <c r="CG37" s="90">
        <f>#REF!</f>
        <v/>
      </c>
      <c r="CH37" s="90" t="n">
        <v>20882183.96835591</v>
      </c>
      <c r="CI37" s="90" t="n">
        <v>23945659.5788111</v>
      </c>
      <c r="CJ37" s="90" t="n">
        <v>24217653.49536491</v>
      </c>
      <c r="CK37" s="90" t="n">
        <v>24591728.39758999</v>
      </c>
      <c r="CL37" s="90" t="n">
        <v>25629326.80897585</v>
      </c>
      <c r="CM37" s="90" t="n">
        <v>26271007.7368325</v>
      </c>
      <c r="CN37" s="90" t="n">
        <v>26271007.7368325</v>
      </c>
      <c r="CO37" s="90" t="n">
        <v>26368009.60320143</v>
      </c>
      <c r="CP37" s="90" t="n">
        <v>26515280.0757673</v>
      </c>
      <c r="CQ37" s="162" t="n">
        <v>26515280.0757673</v>
      </c>
      <c r="CR37" s="90" t="n">
        <v>26515280.0757673</v>
      </c>
      <c r="CS37" s="90" t="n">
        <v>26515280.0757673</v>
      </c>
      <c r="CT37" s="90" t="n">
        <v>26515280.0757673</v>
      </c>
      <c r="CU37" s="90" t="n">
        <v>26515280.0757673</v>
      </c>
      <c r="CV37" s="90" t="n">
        <v>26515280.0757673</v>
      </c>
      <c r="CW37" s="90" t="n">
        <v>26515280.0757673</v>
      </c>
      <c r="CX37" s="90" t="n">
        <v>26515280.0757673</v>
      </c>
      <c r="CY37" s="90" t="n">
        <v>26515280.0757673</v>
      </c>
      <c r="CZ37" s="90" t="n">
        <v>26515280.0757673</v>
      </c>
      <c r="DA37" s="90" t="n">
        <v>26515280.0757673</v>
      </c>
      <c r="DB37" s="90" t="n">
        <v>26515280.0757673</v>
      </c>
      <c r="DC37" s="163" t="n">
        <v>26515280.0757673</v>
      </c>
      <c r="DD37" s="90" t="n">
        <v>26515280.0757673</v>
      </c>
      <c r="DE37" s="90" t="n">
        <v>26515280.0757673</v>
      </c>
      <c r="DF37" s="90" t="n">
        <v>26515280.0757673</v>
      </c>
      <c r="DG37" s="90" t="n">
        <v>26515280.0757673</v>
      </c>
      <c r="DH37" s="90" t="n">
        <v>26515280.0757673</v>
      </c>
      <c r="DI37" s="90" t="n">
        <v>26515280.0757673</v>
      </c>
      <c r="DJ37" s="90" t="n">
        <v>26515280.0757673</v>
      </c>
      <c r="DK37" s="90" t="n">
        <v>26515280.0757673</v>
      </c>
      <c r="DL37" s="90" t="n">
        <v>26515280.0757673</v>
      </c>
      <c r="DM37" s="90" t="n">
        <v>26515280.0757673</v>
      </c>
      <c r="DN37" s="90" t="n">
        <v>26515280.0757673</v>
      </c>
      <c r="DO37" s="90" t="n">
        <v>26515280.0757673</v>
      </c>
      <c r="DP37" s="90" t="n">
        <v>26515280.0757673</v>
      </c>
      <c r="DQ37" s="90" t="n">
        <v>26515280.0757673</v>
      </c>
      <c r="DR37" s="90" t="n">
        <v>26515280.0757673</v>
      </c>
      <c r="DS37" s="90" t="n">
        <v>26515280.0757673</v>
      </c>
      <c r="DT37" s="90" t="n">
        <v>26515280.0757673</v>
      </c>
      <c r="DU37" s="90" t="n">
        <v>26515280.0757673</v>
      </c>
      <c r="DV37" s="90" t="n">
        <v>26515280.0757673</v>
      </c>
      <c r="DW37" s="90" t="n">
        <v>26515280.0757673</v>
      </c>
      <c r="DX37" s="90" t="n">
        <v>26515280.0757673</v>
      </c>
      <c r="DY37" s="90" t="n">
        <v>26515280.0757673</v>
      </c>
      <c r="DZ37" s="90" t="n">
        <v>26515280.0757673</v>
      </c>
      <c r="EA37" s="90" t="n">
        <v>26515280.0757673</v>
      </c>
      <c r="EB37" s="90" t="n">
        <v>26515280.0757673</v>
      </c>
      <c r="EC37" s="90" t="n">
        <v>26515280.0757673</v>
      </c>
      <c r="ED37" s="90" t="n">
        <v>26515280.0757673</v>
      </c>
      <c r="EE37" s="90" t="n">
        <v>26515280.0757673</v>
      </c>
      <c r="EF37" s="90" t="n">
        <v>26515280.0757673</v>
      </c>
      <c r="EG37" s="90" t="n">
        <v>26515280.0757673</v>
      </c>
      <c r="EH37" s="90" t="n">
        <v>26515280.0757673</v>
      </c>
      <c r="EI37" s="90" t="n">
        <v>26515280.0757673</v>
      </c>
      <c r="EJ37" s="90" t="n">
        <v>26515280.0757673</v>
      </c>
      <c r="EK37" s="90" t="n">
        <v>26515280.0757673</v>
      </c>
      <c r="EL37" s="90" t="n">
        <v>26515280.0757673</v>
      </c>
      <c r="EM37" s="90" t="n">
        <v>26515280.0757673</v>
      </c>
      <c r="EN37" s="90" t="n">
        <v>26515280.0757673</v>
      </c>
      <c r="EO37" s="90" t="n">
        <v>26515280.0757673</v>
      </c>
      <c r="EP37" s="90" t="n">
        <v>26515280.0757673</v>
      </c>
      <c r="EQ37" s="90" t="n">
        <v>26515280.0757673</v>
      </c>
      <c r="ER37" s="90" t="n">
        <v>26515280.0757673</v>
      </c>
      <c r="ES37" s="90" t="n">
        <v>26515280.0757673</v>
      </c>
      <c r="ET37" s="90" t="n">
        <v>26515280.0757673</v>
      </c>
      <c r="EU37" s="90" t="n">
        <v>26515280.0757673</v>
      </c>
      <c r="EV37" s="90" t="n">
        <v>26515280.0757673</v>
      </c>
      <c r="EW37" s="90" t="n">
        <v>26515280.0757673</v>
      </c>
      <c r="EX37" s="90" t="n">
        <v>26515280.0757673</v>
      </c>
      <c r="EY37" s="90" t="n">
        <v>26515280.0757673</v>
      </c>
      <c r="EZ37" s="90" t="n">
        <v>26515280.0757673</v>
      </c>
      <c r="FA37" s="90" t="n">
        <v>26515280.0757673</v>
      </c>
    </row>
    <row r="38" ht="15.75" customHeight="1">
      <c r="A38" s="89" t="inlineStr">
        <is>
          <t>Nuevo Saldo Portafolio AUM</t>
        </is>
      </c>
      <c r="B38" s="90" t="n"/>
      <c r="C38" s="90" t="n"/>
      <c r="D38" s="90" t="n"/>
      <c r="E38" s="90" t="n"/>
      <c r="F38" s="90" t="n"/>
      <c r="G38" s="90" t="n"/>
      <c r="H38" s="90" t="n"/>
      <c r="I38" s="90" t="n"/>
      <c r="J38" s="90" t="n"/>
      <c r="K38" s="90" t="n"/>
      <c r="L38" s="90" t="n"/>
      <c r="M38" s="90" t="n"/>
      <c r="N38" s="90" t="n"/>
      <c r="O38" s="90" t="n"/>
      <c r="P38" s="90" t="n"/>
      <c r="Q38" s="90" t="n"/>
      <c r="R38" s="90" t="n"/>
      <c r="S38" s="90" t="n"/>
      <c r="T38" s="90" t="n"/>
      <c r="U38" s="90" t="n"/>
      <c r="V38" s="90" t="n"/>
      <c r="W38" s="90" t="n"/>
      <c r="X38" s="90" t="n"/>
      <c r="Y38" s="90" t="n"/>
      <c r="Z38" s="90" t="n"/>
      <c r="AA38" s="90" t="n"/>
      <c r="AB38" s="90" t="n"/>
      <c r="AC38" s="90" t="n"/>
      <c r="AD38" s="90" t="n"/>
      <c r="AE38" s="90" t="n"/>
      <c r="AF38" s="90" t="n"/>
      <c r="AG38" s="90" t="n"/>
      <c r="AH38" s="90" t="n"/>
      <c r="AI38" s="90" t="n"/>
      <c r="AJ38" s="90" t="n"/>
      <c r="AK38" s="90" t="n"/>
      <c r="AL38" s="90" t="n"/>
      <c r="AM38" s="90" t="n"/>
      <c r="AN38" s="90" t="n"/>
      <c r="AO38" s="90" t="n"/>
      <c r="AP38" s="90" t="n"/>
      <c r="AQ38" s="90" t="n"/>
      <c r="AR38" s="90" t="n"/>
      <c r="AS38" s="90" t="n"/>
      <c r="AT38" s="90" t="n"/>
      <c r="AU38" s="90" t="n"/>
      <c r="AV38" s="90" t="n"/>
      <c r="AW38" s="90" t="n"/>
      <c r="AX38" s="90" t="n"/>
      <c r="AY38" s="90" t="n"/>
      <c r="AZ38" s="90" t="n"/>
      <c r="BA38" s="90" t="n"/>
      <c r="BB38" s="90" t="n"/>
      <c r="BC38" s="90" t="n"/>
      <c r="BD38" s="90" t="n"/>
      <c r="BE38" s="90" t="n"/>
      <c r="BF38" s="90" t="n"/>
      <c r="BG38" s="90" t="n"/>
      <c r="BH38" s="90" t="n"/>
      <c r="BI38" s="90" t="n"/>
      <c r="BJ38" s="90" t="n"/>
      <c r="BK38" s="90" t="n"/>
      <c r="BL38" s="90" t="n"/>
      <c r="BM38" s="90" t="n"/>
      <c r="BN38" s="90" t="n"/>
      <c r="BO38" s="90" t="n"/>
      <c r="BP38" s="90" t="n"/>
      <c r="BQ38" s="90" t="n"/>
      <c r="BR38" s="90" t="n"/>
      <c r="BS38" s="90" t="n"/>
      <c r="BT38" s="90" t="n"/>
      <c r="BU38" s="90" t="n"/>
      <c r="BV38" s="90" t="n"/>
      <c r="BW38" s="90" t="n"/>
      <c r="BX38" s="90" t="n"/>
      <c r="BY38" s="90" t="n"/>
      <c r="BZ38" s="90" t="n"/>
      <c r="CA38" s="90" t="n"/>
      <c r="CB38" s="90" t="n"/>
      <c r="CC38" s="90" t="n"/>
      <c r="CD38" s="90" t="n"/>
      <c r="CE38" s="90" t="n"/>
      <c r="CF38" s="90" t="n"/>
      <c r="CG38" s="90" t="n"/>
      <c r="CH38" s="90" t="n"/>
      <c r="CI38" s="90" t="n"/>
      <c r="CJ38" s="90" t="n"/>
      <c r="CK38" s="90" t="n"/>
      <c r="CL38" s="90" t="n"/>
      <c r="CM38" s="90" t="n"/>
      <c r="CN38" s="90" t="n"/>
      <c r="CO38" s="90" t="n"/>
      <c r="CP38" s="90" t="n"/>
      <c r="CQ38" s="162" t="n"/>
      <c r="CR38" s="90" t="n">
        <v>5623294.95776695</v>
      </c>
      <c r="CS38" s="90" t="n">
        <v>11107067.13083401</v>
      </c>
      <c r="CT38" s="90" t="n">
        <v>16457437.71576881</v>
      </c>
      <c r="CU38" s="90" t="n">
        <v>21695032.02728528</v>
      </c>
      <c r="CV38" s="90" t="n">
        <v>26943529.55954337</v>
      </c>
      <c r="CW38" s="90" t="n">
        <v>32230130.25269948</v>
      </c>
      <c r="CX38" s="90" t="n">
        <v>37358763.50378375</v>
      </c>
      <c r="CY38" s="90" t="n">
        <v>42259622.76912944</v>
      </c>
      <c r="CZ38" s="90" t="n">
        <v>47165409.2020929</v>
      </c>
      <c r="DA38" s="90" t="n">
        <v>52070099.25046204</v>
      </c>
      <c r="DB38" s="90" t="n">
        <v>57016019.83659032</v>
      </c>
      <c r="DC38" s="163" t="n">
        <v>61683371.88195509</v>
      </c>
      <c r="DD38" s="90" t="n">
        <v>66338157.78130393</v>
      </c>
      <c r="DE38" s="90" t="n">
        <v>71011930.62532203</v>
      </c>
      <c r="DF38" s="90" t="n">
        <v>75659811.20833366</v>
      </c>
      <c r="DG38" s="90" t="n">
        <v>80204209.52648626</v>
      </c>
      <c r="DH38" s="90" t="n">
        <v>84744210.42662284</v>
      </c>
      <c r="DI38" s="90" t="n">
        <v>89237937.43501875</v>
      </c>
      <c r="DJ38" s="90" t="n">
        <v>93765701.5189871</v>
      </c>
      <c r="DK38" s="90" t="n">
        <v>98131335.95850113</v>
      </c>
      <c r="DL38" s="90" t="n">
        <v>102426351.6180555</v>
      </c>
      <c r="DM38" s="90" t="n">
        <v>106601984.355848</v>
      </c>
      <c r="DN38" s="90" t="n">
        <v>110657663.9040189</v>
      </c>
      <c r="DO38" s="90" t="n">
        <v>114452446.990589</v>
      </c>
      <c r="DP38" s="90" t="n">
        <v>118052026.9683681</v>
      </c>
      <c r="DQ38" s="90" t="n">
        <v>121580395.9793021</v>
      </c>
      <c r="DR38" s="90" t="n">
        <v>125066945.7953217</v>
      </c>
      <c r="DS38" s="90" t="n">
        <v>128582675.3251811</v>
      </c>
      <c r="DT38" s="90" t="n">
        <v>132020361.2753136</v>
      </c>
      <c r="DU38" s="90" t="n">
        <v>135413716.3706857</v>
      </c>
      <c r="DV38" s="90" t="n">
        <v>138661285.4406636</v>
      </c>
      <c r="DW38" s="90" t="n">
        <v>141786565.2042272</v>
      </c>
      <c r="DX38" s="90" t="n">
        <v>144896071.2283076</v>
      </c>
      <c r="DY38" s="90" t="n">
        <v>147959373.3020349</v>
      </c>
      <c r="DZ38" s="90" t="n">
        <v>150981479.4696832</v>
      </c>
      <c r="EA38" s="90" t="n">
        <v>153998782.4668233</v>
      </c>
      <c r="EB38" s="90" t="n">
        <v>157021246.7342335</v>
      </c>
      <c r="EC38" s="90" t="n">
        <v>160030730.808605</v>
      </c>
      <c r="ED38" s="90" t="n">
        <v>163050862.8729827</v>
      </c>
      <c r="EE38" s="90" t="n">
        <v>166043485.3266644</v>
      </c>
      <c r="EF38" s="90" t="n">
        <v>169055243.8734609</v>
      </c>
      <c r="EG38" s="90" t="n">
        <v>172027146.9876115</v>
      </c>
      <c r="EH38" s="90" t="n">
        <v>174879989.1755073</v>
      </c>
      <c r="EI38" s="90" t="n">
        <v>177694459.3842348</v>
      </c>
      <c r="EJ38" s="90" t="n">
        <v>180485954.3841873</v>
      </c>
      <c r="EK38" s="90" t="n">
        <v>183152860.2414323</v>
      </c>
      <c r="EL38" s="90" t="n">
        <v>185638097.5280511</v>
      </c>
      <c r="EM38" s="90" t="n">
        <v>188066123.3245473</v>
      </c>
      <c r="EN38" s="90" t="n">
        <v>190396968.9986629</v>
      </c>
      <c r="EO38" s="90" t="n">
        <v>192669245.0103179</v>
      </c>
      <c r="EP38" s="90" t="n">
        <v>194801688.70537</v>
      </c>
      <c r="EQ38" s="90" t="n">
        <v>196895111.4890711</v>
      </c>
      <c r="ER38" s="90" t="n">
        <v>198900076.3963776</v>
      </c>
      <c r="ES38" s="90" t="n">
        <v>200886601.2523137</v>
      </c>
      <c r="ET38" s="90" t="n">
        <v>202844429.730518</v>
      </c>
      <c r="EU38" s="90" t="n">
        <v>204771620.6792163</v>
      </c>
      <c r="EV38" s="90" t="n">
        <v>206644469.1614297</v>
      </c>
      <c r="EW38" s="90" t="n">
        <v>208513139.6620736</v>
      </c>
      <c r="EX38" s="90" t="n">
        <v>210313583.4238829</v>
      </c>
      <c r="EY38" s="90" t="n">
        <v>212099345.9784693</v>
      </c>
      <c r="EZ38" s="90" t="n">
        <v>213888955.6738761</v>
      </c>
      <c r="FA38" s="90" t="n">
        <v>215691987.4419984</v>
      </c>
    </row>
    <row r="39" ht="15.75" customHeight="1">
      <c r="A39" s="89" t="inlineStr">
        <is>
          <t>Saldo Total Portafolio AUM</t>
        </is>
      </c>
      <c r="B39" s="152">
        <f>SUM(B36:B37)</f>
        <v/>
      </c>
      <c r="C39" s="152">
        <f>SUM(C36:C37)</f>
        <v/>
      </c>
      <c r="D39" s="152">
        <f>SUM(D36:D37)</f>
        <v/>
      </c>
      <c r="E39" s="152">
        <f>SUM(E36:E37)</f>
        <v/>
      </c>
      <c r="F39" s="152">
        <f>SUM(F36:F37)</f>
        <v/>
      </c>
      <c r="G39" s="152">
        <f>SUM(G36:G37)</f>
        <v/>
      </c>
      <c r="H39" s="152">
        <f>SUM(H36:H37)</f>
        <v/>
      </c>
      <c r="I39" s="152">
        <f>SUM(I36:I37)</f>
        <v/>
      </c>
      <c r="J39" s="152">
        <f>SUM(J36:J37)</f>
        <v/>
      </c>
      <c r="K39" s="152">
        <f>SUM(K36:K37)</f>
        <v/>
      </c>
      <c r="L39" s="152">
        <f>SUM(L36:L37)</f>
        <v/>
      </c>
      <c r="M39" s="152">
        <f>SUM(M36:M37)</f>
        <v/>
      </c>
      <c r="N39" s="152">
        <f>SUM(N36:N37)</f>
        <v/>
      </c>
      <c r="O39" s="152">
        <f>SUM(O36:O37)</f>
        <v/>
      </c>
      <c r="P39" s="152">
        <f>SUM(P36:P37)</f>
        <v/>
      </c>
      <c r="Q39" s="152">
        <f>SUM(Q36:Q37)</f>
        <v/>
      </c>
      <c r="R39" s="152">
        <f>SUM(R36:R37)</f>
        <v/>
      </c>
      <c r="S39" s="152">
        <f>SUM(S36:S37)</f>
        <v/>
      </c>
      <c r="T39" s="152">
        <f>SUM(T36:T37)</f>
        <v/>
      </c>
      <c r="U39" s="152">
        <f>SUM(U36:U37)</f>
        <v/>
      </c>
      <c r="V39" s="152">
        <f>SUM(V36:V37)</f>
        <v/>
      </c>
      <c r="W39" s="152">
        <f>SUM(W36:W37)</f>
        <v/>
      </c>
      <c r="X39" s="152">
        <f>SUM(X36:X37)</f>
        <v/>
      </c>
      <c r="Y39" s="152">
        <f>SUM(Y36:Y37)</f>
        <v/>
      </c>
      <c r="Z39" s="152">
        <f>SUM(Z36:Z37)</f>
        <v/>
      </c>
      <c r="AA39" s="152">
        <f>SUM(AA36:AA37)</f>
        <v/>
      </c>
      <c r="AB39" s="152">
        <f>SUM(AB36:AB37)</f>
        <v/>
      </c>
      <c r="AC39" s="152">
        <f>SUM(AC36:AC37)</f>
        <v/>
      </c>
      <c r="AD39" s="152">
        <f>SUM(AD36:AD37)</f>
        <v/>
      </c>
      <c r="AE39" s="152">
        <f>SUM(AE36:AE37)</f>
        <v/>
      </c>
      <c r="AF39" s="152">
        <f>SUM(AF36:AF37)</f>
        <v/>
      </c>
      <c r="AG39" s="152">
        <f>SUM(AG36:AG37)</f>
        <v/>
      </c>
      <c r="AH39" s="152">
        <f>SUM(AH36:AH37)</f>
        <v/>
      </c>
      <c r="AI39" s="152">
        <f>SUM(AI36:AI37)</f>
        <v/>
      </c>
      <c r="AJ39" s="152">
        <f>SUM(AJ36:AJ37)</f>
        <v/>
      </c>
      <c r="AK39" s="152">
        <f>SUM(AK36:AK37)</f>
        <v/>
      </c>
      <c r="AL39" s="152">
        <f>SUM(AL36:AL37)</f>
        <v/>
      </c>
      <c r="AM39" s="152">
        <f>SUM(AM36:AM37)</f>
        <v/>
      </c>
      <c r="AN39" s="152">
        <f>SUM(AN36:AN37)</f>
        <v/>
      </c>
      <c r="AO39" s="152">
        <f>SUM(AO36:AO37)</f>
        <v/>
      </c>
      <c r="AP39" s="152">
        <f>SUM(AP36:AP37)</f>
        <v/>
      </c>
      <c r="AQ39" s="152">
        <f>SUM(AQ36:AQ37)</f>
        <v/>
      </c>
      <c r="AR39" s="152">
        <f>SUM(AR36:AR37)</f>
        <v/>
      </c>
      <c r="AS39" s="152">
        <f>SUM(AS36:AS37)</f>
        <v/>
      </c>
      <c r="AT39" s="152">
        <f>SUM(AT36:AT37)</f>
        <v/>
      </c>
      <c r="AU39" s="152">
        <f>SUM(AU36:AU37)</f>
        <v/>
      </c>
      <c r="AV39" s="152">
        <f>SUM(AV36:AV37)</f>
        <v/>
      </c>
      <c r="AW39" s="152">
        <f>SUM(AW36:AW37)</f>
        <v/>
      </c>
      <c r="AX39" s="152">
        <f>SUM(AX36:AX37)</f>
        <v/>
      </c>
      <c r="AY39" s="152">
        <f>SUM(AY36:AY37)</f>
        <v/>
      </c>
      <c r="AZ39" s="152">
        <f>SUM(AZ36:AZ37)</f>
        <v/>
      </c>
      <c r="BA39" s="152">
        <f>SUM(BA36:BA37)</f>
        <v/>
      </c>
      <c r="BB39" s="152">
        <f>SUM(BB36:BB37)</f>
        <v/>
      </c>
      <c r="BC39" s="152">
        <f>SUM(BC36:BC37)</f>
        <v/>
      </c>
      <c r="BD39" s="152">
        <f>SUM(BD36:BD37)</f>
        <v/>
      </c>
      <c r="BE39" s="152">
        <f>SUM(BE36:BE37)</f>
        <v/>
      </c>
      <c r="BF39" s="152">
        <f>SUM(BF36:BF37)</f>
        <v/>
      </c>
      <c r="BG39" s="152">
        <f>SUM(BG36:BG37)</f>
        <v/>
      </c>
      <c r="BH39" s="152">
        <f>SUM(BH36:BH37)</f>
        <v/>
      </c>
      <c r="BI39" s="152">
        <f>SUM(BI36:BI37)</f>
        <v/>
      </c>
      <c r="BJ39" s="152">
        <f>SUM(BJ36:BJ37)</f>
        <v/>
      </c>
      <c r="BK39" s="152">
        <f>SUM(BK36:BK37)</f>
        <v/>
      </c>
      <c r="BL39" s="152">
        <f>SUM(BL36:BL37)</f>
        <v/>
      </c>
      <c r="BM39" s="152">
        <f>SUM(BM36:BM37)</f>
        <v/>
      </c>
      <c r="BN39" s="152">
        <f>SUM(BN36:BN37)</f>
        <v/>
      </c>
      <c r="BO39" s="152">
        <f>SUM(BO36:BO37)</f>
        <v/>
      </c>
      <c r="BP39" s="152">
        <f>SUM(BP36:BP37)</f>
        <v/>
      </c>
      <c r="BQ39" s="152">
        <f>SUM(BQ36:BQ37)</f>
        <v/>
      </c>
      <c r="BR39" s="152">
        <f>SUM(BR36:BR37)</f>
        <v/>
      </c>
      <c r="BS39" s="152">
        <f>SUM(BS36:BS37)</f>
        <v/>
      </c>
      <c r="BT39" s="152">
        <f>SUM(BT36:BT37)</f>
        <v/>
      </c>
      <c r="BU39" s="152">
        <f>SUM(BU36:BU37)</f>
        <v/>
      </c>
      <c r="BV39" s="152">
        <f>SUM(BV36:BV37)</f>
        <v/>
      </c>
      <c r="BW39" s="152">
        <f>SUM(BW36:BW37)</f>
        <v/>
      </c>
      <c r="BX39" s="152">
        <f>SUM(BX36:BX37)</f>
        <v/>
      </c>
      <c r="BY39" s="152">
        <f>SUM(BY36:BY37)</f>
        <v/>
      </c>
      <c r="BZ39" s="152">
        <f>SUM(BZ36:BZ37)</f>
        <v/>
      </c>
      <c r="CA39" s="152">
        <f>SUM(CA36:CA37)</f>
        <v/>
      </c>
      <c r="CB39" s="152">
        <f>SUM(CB36:CB37)</f>
        <v/>
      </c>
      <c r="CC39" s="152">
        <f>SUM(CC36:CC37)</f>
        <v/>
      </c>
      <c r="CD39" s="152">
        <f>SUM(CD36:CD37)</f>
        <v/>
      </c>
      <c r="CE39" s="152">
        <f>SUM(CE36:CE37)</f>
        <v/>
      </c>
      <c r="CF39" s="152">
        <f>SUM(CF36:CF37)</f>
        <v/>
      </c>
      <c r="CG39" s="152">
        <f>SUM(CG36:CG37)</f>
        <v/>
      </c>
      <c r="CH39" s="152">
        <f>SUM(CH36:CH37)</f>
        <v/>
      </c>
      <c r="CI39" s="152">
        <f>SUM(CI36:CI37)</f>
        <v/>
      </c>
      <c r="CJ39" s="152">
        <f>SUM(CJ36:CJ37)</f>
        <v/>
      </c>
      <c r="CK39" s="152">
        <f>SUM(CK36:CK37)</f>
        <v/>
      </c>
      <c r="CL39" s="152">
        <f>SUM(CL36:CL37)</f>
        <v/>
      </c>
      <c r="CM39" s="152">
        <f>SUM(CM36:CM37)</f>
        <v/>
      </c>
      <c r="CN39" s="152">
        <f>SUM(CN36:CN37)</f>
        <v/>
      </c>
      <c r="CO39" s="152">
        <f>SUM(CO36:CO37)</f>
        <v/>
      </c>
      <c r="CP39" s="152">
        <f>SUM(CP36:CP37)</f>
        <v/>
      </c>
      <c r="CQ39" s="157">
        <f>SUM(CQ36:CQ37)</f>
        <v/>
      </c>
      <c r="CR39" s="152">
        <f>CQ39*(1+Supuestos!$B$5)</f>
        <v/>
      </c>
      <c r="CS39" s="152">
        <f>CR39*(1+Supuestos!$B$5)</f>
        <v/>
      </c>
      <c r="CT39" s="152">
        <f>CS39*(1+Supuestos!$B$5)</f>
        <v/>
      </c>
      <c r="CU39" s="152">
        <f>CT39*(1+Supuestos!$B$5)</f>
        <v/>
      </c>
      <c r="CV39" s="152">
        <f>CU39*(1+Supuestos!$B$5)</f>
        <v/>
      </c>
      <c r="CW39" s="152">
        <f>CV39*(1+Supuestos!$B$5)</f>
        <v/>
      </c>
      <c r="CX39" s="152">
        <f>CW39*(1+Supuestos!$B$5)</f>
        <v/>
      </c>
      <c r="CY39" s="152">
        <f>CX39*(1+Supuestos!$B$5)</f>
        <v/>
      </c>
      <c r="CZ39" s="152">
        <f>CY39*(1+Supuestos!$B$5)</f>
        <v/>
      </c>
      <c r="DA39" s="152">
        <f>CZ39*(1+Supuestos!$B$5)</f>
        <v/>
      </c>
      <c r="DB39" s="152">
        <f>DA39*(1+Supuestos!$B$5)</f>
        <v/>
      </c>
      <c r="DC39" s="158">
        <f>DB39*(1+Supuestos!$B$5)</f>
        <v/>
      </c>
      <c r="DD39" s="152">
        <f>DC39*(1+Supuestos!$B$5)</f>
        <v/>
      </c>
      <c r="DE39" s="152">
        <f>DD39*(1+Supuestos!$B$5)</f>
        <v/>
      </c>
      <c r="DF39" s="152">
        <f>DE39*(1+Supuestos!$B$5)</f>
        <v/>
      </c>
      <c r="DG39" s="152">
        <f>DF39*(1+Supuestos!$B$5)</f>
        <v/>
      </c>
      <c r="DH39" s="152">
        <f>DG39*(1+Supuestos!$B$5)</f>
        <v/>
      </c>
      <c r="DI39" s="152">
        <f>DH39*(1+Supuestos!$B$5)</f>
        <v/>
      </c>
      <c r="DJ39" s="152">
        <f>DI39*(1+Supuestos!$B$5)</f>
        <v/>
      </c>
      <c r="DK39" s="152">
        <f>DJ39*(1+Supuestos!$B$5)</f>
        <v/>
      </c>
      <c r="DL39" s="152">
        <f>DK39*(1+Supuestos!$B$5)</f>
        <v/>
      </c>
      <c r="DM39" s="152">
        <f>DL39*(1+Supuestos!$B$5)</f>
        <v/>
      </c>
      <c r="DN39" s="152">
        <f>DM39*(1+Supuestos!$B$5)</f>
        <v/>
      </c>
      <c r="DO39" s="152">
        <f>DN39*(1+Supuestos!$B$5)</f>
        <v/>
      </c>
      <c r="DP39" s="152">
        <f>DO39*(1+Supuestos!$B$5)</f>
        <v/>
      </c>
      <c r="DQ39" s="152">
        <f>DP39*(1+Supuestos!$B$5)</f>
        <v/>
      </c>
      <c r="DR39" s="152">
        <f>DQ39*(1+Supuestos!$B$5)</f>
        <v/>
      </c>
      <c r="DS39" s="152">
        <f>DR39*(1+Supuestos!$B$5)</f>
        <v/>
      </c>
      <c r="DT39" s="152">
        <f>DS39*(1+Supuestos!$B$5)</f>
        <v/>
      </c>
      <c r="DU39" s="152">
        <f>DT39*(1+Supuestos!$B$5)</f>
        <v/>
      </c>
      <c r="DV39" s="152">
        <f>DU39*(1+Supuestos!$B$5)</f>
        <v/>
      </c>
      <c r="DW39" s="152">
        <f>DV39*(1+Supuestos!$B$5)</f>
        <v/>
      </c>
      <c r="DX39" s="152">
        <f>DW39*(1+Supuestos!$B$5)</f>
        <v/>
      </c>
      <c r="DY39" s="152">
        <f>DX39*(1+Supuestos!$B$5)</f>
        <v/>
      </c>
      <c r="DZ39" s="152">
        <f>DY39*(1+Supuestos!$B$5)</f>
        <v/>
      </c>
      <c r="EA39" s="152">
        <f>DZ39*(1+Supuestos!$B$5)</f>
        <v/>
      </c>
      <c r="EB39" s="152">
        <f>EA39*(1+Supuestos!$B$5)</f>
        <v/>
      </c>
      <c r="EC39" s="152">
        <f>EB39*(1+Supuestos!$B$5)</f>
        <v/>
      </c>
      <c r="ED39" s="152">
        <f>EC39*(1+Supuestos!$B$5)</f>
        <v/>
      </c>
      <c r="EE39" s="152">
        <f>ED39*(1+Supuestos!$B$5)</f>
        <v/>
      </c>
      <c r="EF39" s="152">
        <f>EE39*(1+Supuestos!$B$5)</f>
        <v/>
      </c>
      <c r="EG39" s="152">
        <f>EF39*(1+Supuestos!$B$5)</f>
        <v/>
      </c>
      <c r="EH39" s="152">
        <f>EG39*(1+Supuestos!$B$5)</f>
        <v/>
      </c>
      <c r="EI39" s="152">
        <f>EH39*(1+Supuestos!$B$5)</f>
        <v/>
      </c>
      <c r="EJ39" s="152">
        <f>EI39*(1+Supuestos!$B$5)</f>
        <v/>
      </c>
      <c r="EK39" s="152">
        <f>EJ39*(1+Supuestos!$B$5)</f>
        <v/>
      </c>
      <c r="EL39" s="152">
        <f>EK39*(1+Supuestos!$B$5)</f>
        <v/>
      </c>
      <c r="EM39" s="152">
        <f>EL39*(1+Supuestos!$B$5)</f>
        <v/>
      </c>
      <c r="EN39" s="152">
        <f>EM39*(1+Supuestos!$B$5)</f>
        <v/>
      </c>
      <c r="EO39" s="152">
        <f>EN39*(1+Supuestos!$B$5)</f>
        <v/>
      </c>
      <c r="EP39" s="152">
        <f>EO39*(1+Supuestos!$B$5)</f>
        <v/>
      </c>
      <c r="EQ39" s="152">
        <f>EP39*(1+Supuestos!$B$5)</f>
        <v/>
      </c>
      <c r="ER39" s="152">
        <f>EQ39*(1+Supuestos!$B$5)</f>
        <v/>
      </c>
      <c r="ES39" s="152">
        <f>ER39*(1+Supuestos!$B$5)</f>
        <v/>
      </c>
      <c r="ET39" s="152">
        <f>ES39*(1+Supuestos!$B$5)</f>
        <v/>
      </c>
      <c r="EU39" s="152">
        <f>ET39*(1+Supuestos!$B$5)</f>
        <v/>
      </c>
      <c r="EV39" s="152">
        <f>EU39*(1+Supuestos!$B$5)</f>
        <v/>
      </c>
      <c r="EW39" s="152">
        <f>EV39*(1+Supuestos!$B$5)</f>
        <v/>
      </c>
      <c r="EX39" s="152">
        <f>EW39*(1+Supuestos!$B$5)</f>
        <v/>
      </c>
      <c r="EY39" s="152">
        <f>EX39*(1+Supuestos!$B$5)</f>
        <v/>
      </c>
      <c r="EZ39" s="152">
        <f>EY39*(1+Supuestos!$B$5)</f>
        <v/>
      </c>
      <c r="FA39" s="152">
        <f>EZ39*(1+Supuestos!$B$5)</f>
        <v/>
      </c>
    </row>
    <row r="40" ht="15.75" customHeight="1">
      <c r="A40" s="89" t="n"/>
      <c r="B40" s="152" t="n"/>
      <c r="C40" s="152" t="n"/>
      <c r="D40" s="152" t="n"/>
      <c r="E40" s="152" t="n"/>
      <c r="F40" s="152" t="n"/>
      <c r="G40" s="152" t="n"/>
      <c r="H40" s="152" t="n"/>
      <c r="I40" s="152" t="n"/>
      <c r="J40" s="152" t="n"/>
      <c r="K40" s="152" t="n"/>
      <c r="L40" s="152" t="n"/>
      <c r="M40" s="152" t="n"/>
      <c r="N40" s="152" t="n"/>
      <c r="O40" s="152" t="n"/>
      <c r="P40" s="152" t="n"/>
      <c r="Q40" s="152" t="n"/>
      <c r="R40" s="152" t="n"/>
      <c r="S40" s="152" t="n"/>
      <c r="T40" s="152" t="n"/>
      <c r="U40" s="152" t="n"/>
      <c r="V40" s="152" t="n"/>
      <c r="W40" s="152" t="n"/>
      <c r="X40" s="152" t="n"/>
      <c r="Y40" s="152" t="n"/>
      <c r="Z40" s="152" t="n"/>
      <c r="AA40" s="152" t="n"/>
      <c r="AB40" s="152" t="n"/>
      <c r="AC40" s="152" t="n"/>
      <c r="AD40" s="152" t="n"/>
      <c r="AE40" s="152" t="n"/>
      <c r="AF40" s="152" t="n"/>
      <c r="AG40" s="152" t="n"/>
      <c r="AH40" s="152" t="n"/>
      <c r="AI40" s="152" t="n"/>
      <c r="AJ40" s="152" t="n"/>
      <c r="AK40" s="152" t="n"/>
      <c r="AL40" s="152" t="n"/>
      <c r="AM40" s="152" t="n"/>
      <c r="AN40" s="152" t="n"/>
      <c r="AO40" s="152" t="n"/>
      <c r="AP40" s="152" t="n"/>
      <c r="AQ40" s="152" t="n"/>
      <c r="AR40" s="152" t="n"/>
      <c r="AS40" s="152" t="n"/>
      <c r="AT40" s="152" t="n"/>
      <c r="AU40" s="152" t="n"/>
      <c r="AV40" s="152" t="n"/>
      <c r="AW40" s="152" t="n"/>
      <c r="AX40" s="152" t="n"/>
      <c r="AY40" s="152" t="n"/>
      <c r="AZ40" s="152" t="n"/>
      <c r="BA40" s="152" t="n"/>
      <c r="BB40" s="152" t="n"/>
      <c r="BC40" s="152" t="n"/>
      <c r="BD40" s="152" t="n"/>
      <c r="BE40" s="152" t="n"/>
      <c r="BF40" s="152" t="n"/>
      <c r="BG40" s="152" t="n"/>
      <c r="BH40" s="152" t="n"/>
      <c r="BI40" s="152" t="n"/>
      <c r="BJ40" s="152" t="n"/>
      <c r="BK40" s="152" t="n"/>
      <c r="BL40" s="152" t="n"/>
      <c r="BM40" s="152" t="n"/>
      <c r="BN40" s="152" t="n"/>
      <c r="BO40" s="152" t="n"/>
      <c r="BP40" s="152" t="n"/>
      <c r="BQ40" s="152" t="n"/>
      <c r="BR40" s="152" t="n"/>
      <c r="BS40" s="152" t="n"/>
      <c r="BT40" s="152" t="n"/>
      <c r="BU40" s="152" t="n"/>
      <c r="BV40" s="152" t="n"/>
      <c r="BW40" s="152" t="n"/>
      <c r="BX40" s="152" t="n"/>
      <c r="BY40" s="152" t="n"/>
      <c r="BZ40" s="152" t="n"/>
      <c r="CA40" s="152" t="n"/>
      <c r="CB40" s="152" t="n"/>
      <c r="CC40" s="152" t="n"/>
      <c r="CD40" s="152" t="n"/>
      <c r="CE40" s="152" t="n"/>
      <c r="CF40" s="152" t="n"/>
      <c r="CG40" s="152" t="n"/>
      <c r="CH40" s="152" t="n"/>
      <c r="CI40" s="152" t="n"/>
      <c r="CJ40" s="152" t="n"/>
      <c r="CK40" s="152" t="n"/>
      <c r="CL40" s="152" t="n"/>
      <c r="CM40" s="152" t="n"/>
      <c r="CN40" s="152" t="n"/>
      <c r="CO40" s="152" t="n"/>
      <c r="CP40" s="152" t="n"/>
      <c r="CQ40" s="157" t="n"/>
      <c r="CR40" s="152" t="n"/>
      <c r="CS40" s="152" t="n"/>
      <c r="CT40" s="152" t="n"/>
      <c r="CU40" s="152" t="n"/>
      <c r="CV40" s="152" t="n"/>
      <c r="CW40" s="152" t="n"/>
      <c r="CX40" s="152" t="n"/>
      <c r="CY40" s="152" t="n"/>
      <c r="CZ40" s="152" t="n"/>
      <c r="DA40" s="152" t="n"/>
      <c r="DB40" s="152" t="n"/>
      <c r="DC40" s="158" t="n"/>
      <c r="DD40" s="152" t="n"/>
      <c r="DE40" s="152" t="n"/>
      <c r="DF40" s="152" t="n"/>
      <c r="DG40" s="152" t="n"/>
      <c r="DH40" s="152" t="n"/>
      <c r="DI40" s="152" t="n"/>
      <c r="DJ40" s="152" t="n"/>
      <c r="DK40" s="152" t="n"/>
      <c r="DL40" s="152" t="n"/>
      <c r="DM40" s="152" t="n"/>
      <c r="DN40" s="152" t="n"/>
      <c r="DO40" s="152" t="n"/>
      <c r="DP40" s="152" t="n"/>
      <c r="DQ40" s="152" t="n"/>
      <c r="DR40" s="152" t="n"/>
      <c r="DS40" s="152" t="n"/>
      <c r="DT40" s="152" t="n"/>
      <c r="DU40" s="152" t="n"/>
      <c r="DV40" s="152" t="n"/>
      <c r="DW40" s="152" t="n"/>
      <c r="DX40" s="152" t="n"/>
      <c r="DY40" s="152" t="n"/>
      <c r="DZ40" s="152" t="n"/>
      <c r="EA40" s="152" t="n"/>
      <c r="EB40" s="152" t="n"/>
      <c r="EC40" s="152" t="n"/>
      <c r="ED40" s="152" t="n"/>
      <c r="EE40" s="152" t="n"/>
      <c r="EF40" s="152" t="n"/>
      <c r="EG40" s="152" t="n"/>
      <c r="EH40" s="152" t="n"/>
      <c r="EI40" s="152" t="n"/>
      <c r="EJ40" s="152" t="n"/>
      <c r="EK40" s="152" t="n"/>
      <c r="EL40" s="152" t="n"/>
      <c r="EM40" s="152" t="n"/>
      <c r="EN40" s="152" t="n"/>
      <c r="EO40" s="152" t="n"/>
      <c r="EP40" s="152" t="n"/>
      <c r="EQ40" s="152" t="n"/>
      <c r="ER40" s="152" t="n"/>
      <c r="ES40" s="152" t="n"/>
      <c r="ET40" s="152" t="n"/>
      <c r="EU40" s="152" t="n"/>
      <c r="EV40" s="152" t="n"/>
      <c r="EW40" s="152" t="n"/>
      <c r="EX40" s="152" t="n"/>
      <c r="EY40" s="152" t="n"/>
      <c r="EZ40" s="152" t="n"/>
      <c r="FA40" s="152" t="n"/>
    </row>
    <row r="41" ht="15.75" customHeight="1">
      <c r="A41" s="89" t="inlineStr">
        <is>
          <t>Intereses Portafolio AUM</t>
        </is>
      </c>
      <c r="B41" s="90">
        <f>#REF!</f>
        <v/>
      </c>
      <c r="C41" s="90">
        <f>#REF!</f>
        <v/>
      </c>
      <c r="D41" s="90">
        <f>#REF!</f>
        <v/>
      </c>
      <c r="E41" s="90">
        <f>#REF!</f>
        <v/>
      </c>
      <c r="F41" s="90">
        <f>#REF!</f>
        <v/>
      </c>
      <c r="G41" s="90">
        <f>#REF!</f>
        <v/>
      </c>
      <c r="H41" s="90">
        <f>#REF!</f>
        <v/>
      </c>
      <c r="I41" s="90">
        <f>#REF!</f>
        <v/>
      </c>
      <c r="J41" s="90">
        <f>#REF!</f>
        <v/>
      </c>
      <c r="K41" s="90">
        <f>#REF!</f>
        <v/>
      </c>
      <c r="L41" s="90">
        <f>#REF!</f>
        <v/>
      </c>
      <c r="M41" s="90">
        <f>#REF!</f>
        <v/>
      </c>
      <c r="N41" s="90">
        <f>#REF!</f>
        <v/>
      </c>
      <c r="O41" s="90">
        <f>#REF!</f>
        <v/>
      </c>
      <c r="P41" s="90">
        <f>#REF!</f>
        <v/>
      </c>
      <c r="Q41" s="90">
        <f>#REF!</f>
        <v/>
      </c>
      <c r="R41" s="90">
        <f>#REF!</f>
        <v/>
      </c>
      <c r="S41" s="90">
        <f>#REF!</f>
        <v/>
      </c>
      <c r="T41" s="90">
        <f>#REF!</f>
        <v/>
      </c>
      <c r="U41" s="90">
        <f>#REF!</f>
        <v/>
      </c>
      <c r="V41" s="90">
        <f>#REF!</f>
        <v/>
      </c>
      <c r="W41" s="90">
        <f>#REF!</f>
        <v/>
      </c>
      <c r="X41" s="90">
        <f>#REF!</f>
        <v/>
      </c>
      <c r="Y41" s="90">
        <f>#REF!</f>
        <v/>
      </c>
      <c r="Z41" s="90">
        <f>#REF!</f>
        <v/>
      </c>
      <c r="AA41" s="90">
        <f>#REF!</f>
        <v/>
      </c>
      <c r="AB41" s="90">
        <f>#REF!</f>
        <v/>
      </c>
      <c r="AC41" s="90">
        <f>#REF!</f>
        <v/>
      </c>
      <c r="AD41" s="90">
        <f>#REF!</f>
        <v/>
      </c>
      <c r="AE41" s="90">
        <f>#REF!</f>
        <v/>
      </c>
      <c r="AF41" s="90">
        <f>#REF!</f>
        <v/>
      </c>
      <c r="AG41" s="90">
        <f>#REF!</f>
        <v/>
      </c>
      <c r="AH41" s="90">
        <f>#REF!</f>
        <v/>
      </c>
      <c r="AI41" s="90">
        <f>#REF!</f>
        <v/>
      </c>
      <c r="AJ41" s="90">
        <f>#REF!</f>
        <v/>
      </c>
      <c r="AK41" s="90">
        <f>#REF!</f>
        <v/>
      </c>
      <c r="AL41" s="90">
        <f>#REF!</f>
        <v/>
      </c>
      <c r="AM41" s="90">
        <f>#REF!</f>
        <v/>
      </c>
      <c r="AN41" s="90">
        <f>#REF!</f>
        <v/>
      </c>
      <c r="AO41" s="90">
        <f>#REF!</f>
        <v/>
      </c>
      <c r="AP41" s="90">
        <f>#REF!</f>
        <v/>
      </c>
      <c r="AQ41" s="90">
        <f>#REF!</f>
        <v/>
      </c>
      <c r="AR41" s="90">
        <f>#REF!</f>
        <v/>
      </c>
      <c r="AS41" s="90">
        <f>#REF!</f>
        <v/>
      </c>
      <c r="AT41" s="90">
        <f>#REF!</f>
        <v/>
      </c>
      <c r="AU41" s="90">
        <f>#REF!</f>
        <v/>
      </c>
      <c r="AV41" s="90">
        <f>#REF!</f>
        <v/>
      </c>
      <c r="AW41" s="90">
        <f>#REF!</f>
        <v/>
      </c>
      <c r="AX41" s="90">
        <f>#REF!</f>
        <v/>
      </c>
      <c r="AY41" s="90">
        <f>#REF!</f>
        <v/>
      </c>
      <c r="AZ41" s="90">
        <f>#REF!</f>
        <v/>
      </c>
      <c r="BA41" s="90">
        <f>#REF!</f>
        <v/>
      </c>
      <c r="BB41" s="90">
        <f>#REF!</f>
        <v/>
      </c>
      <c r="BC41" s="90">
        <f>#REF!</f>
        <v/>
      </c>
      <c r="BD41" s="90">
        <f>#REF!</f>
        <v/>
      </c>
      <c r="BE41" s="90">
        <f>#REF!</f>
        <v/>
      </c>
      <c r="BF41" s="90">
        <f>#REF!</f>
        <v/>
      </c>
      <c r="BG41" s="90">
        <f>#REF!</f>
        <v/>
      </c>
      <c r="BH41" s="90">
        <f>#REF!</f>
        <v/>
      </c>
      <c r="BI41" s="90">
        <f>#REF!</f>
        <v/>
      </c>
      <c r="BJ41" s="90">
        <f>#REF!</f>
        <v/>
      </c>
      <c r="BK41" s="90">
        <f>#REF!</f>
        <v/>
      </c>
      <c r="BL41" s="90">
        <f>#REF!</f>
        <v/>
      </c>
      <c r="BM41" s="90">
        <f>#REF!</f>
        <v/>
      </c>
      <c r="BN41" s="90">
        <f>#REF!</f>
        <v/>
      </c>
      <c r="BO41" s="90">
        <f>#REF!</f>
        <v/>
      </c>
      <c r="BP41" s="90">
        <f>#REF!</f>
        <v/>
      </c>
      <c r="BQ41" s="90">
        <f>#REF!</f>
        <v/>
      </c>
      <c r="BR41" s="90">
        <f>#REF!</f>
        <v/>
      </c>
      <c r="BS41" s="90">
        <f>#REF!</f>
        <v/>
      </c>
      <c r="BT41" s="90">
        <f>#REF!</f>
        <v/>
      </c>
      <c r="BU41" s="90">
        <f>#REF!</f>
        <v/>
      </c>
      <c r="BV41" s="90">
        <f>#REF!</f>
        <v/>
      </c>
      <c r="BW41" s="90">
        <f>#REF!</f>
        <v/>
      </c>
      <c r="BX41" s="90">
        <f>#REF!</f>
        <v/>
      </c>
      <c r="BY41" s="90">
        <f>#REF!</f>
        <v/>
      </c>
      <c r="BZ41" s="90">
        <f>#REF!</f>
        <v/>
      </c>
      <c r="CA41" s="90">
        <f>#REF!</f>
        <v/>
      </c>
      <c r="CB41" s="90">
        <f>#REF!</f>
        <v/>
      </c>
      <c r="CC41" s="90">
        <f>#REF!</f>
        <v/>
      </c>
      <c r="CD41" s="90">
        <f>#REF!</f>
        <v/>
      </c>
      <c r="CE41" s="90">
        <f>#REF!</f>
        <v/>
      </c>
      <c r="CF41" s="90">
        <f>#REF!</f>
        <v/>
      </c>
      <c r="CG41" s="90">
        <f>#REF!</f>
        <v/>
      </c>
      <c r="CH41" s="90" t="n">
        <v>1768075.290030772</v>
      </c>
      <c r="CI41" s="90" t="n">
        <v>1763154.700440228</v>
      </c>
      <c r="CJ41" s="90" t="n">
        <v>1777145.413621398</v>
      </c>
      <c r="CK41" s="90" t="n">
        <v>1739061.551546485</v>
      </c>
      <c r="CL41" s="90" t="n">
        <v>1774496.011684468</v>
      </c>
      <c r="CM41" s="90" t="n">
        <v>1822477.838881046</v>
      </c>
      <c r="CN41" s="90" t="n">
        <v>1822048.227010221</v>
      </c>
      <c r="CO41" s="90" t="n">
        <v>1845706.664647456</v>
      </c>
      <c r="CP41" s="90" t="n">
        <v>1900792.13390005</v>
      </c>
      <c r="CQ41" s="162" t="n">
        <v>1960940.588562917</v>
      </c>
      <c r="CR41" s="90" t="n">
        <v>1906342.043028364</v>
      </c>
      <c r="CS41" s="90" t="n">
        <v>1839633.026079352</v>
      </c>
      <c r="CT41" s="90" t="n">
        <v>1775118.546428645</v>
      </c>
      <c r="CU41" s="90" t="n">
        <v>1714457.103954531</v>
      </c>
      <c r="CV41" s="90" t="n">
        <v>1654033.000100192</v>
      </c>
      <c r="CW41" s="90" t="n">
        <v>1590068.889145535</v>
      </c>
      <c r="CX41" s="90" t="n">
        <v>1527830.171700085</v>
      </c>
      <c r="CY41" s="90" t="n">
        <v>1472736.559907074</v>
      </c>
      <c r="CZ41" s="90" t="n">
        <v>1417268.197320881</v>
      </c>
      <c r="DA41" s="90" t="n">
        <v>1362504.837159381</v>
      </c>
      <c r="DB41" s="90" t="n">
        <v>1302325.005842962</v>
      </c>
      <c r="DC41" s="163" t="n">
        <v>1250933.897273771</v>
      </c>
      <c r="DD41" s="90" t="n">
        <v>1200114.341496496</v>
      </c>
      <c r="DE41" s="90" t="n">
        <v>1148636.291206904</v>
      </c>
      <c r="DF41" s="90" t="n">
        <v>1096097.289936956</v>
      </c>
      <c r="DG41" s="90" t="n">
        <v>1046781.719511282</v>
      </c>
      <c r="DH41" s="90" t="n">
        <v>997143.0520200741</v>
      </c>
      <c r="DI41" s="90" t="n">
        <v>949420.9540545144</v>
      </c>
      <c r="DJ41" s="90" t="n">
        <v>898511.0095046525</v>
      </c>
      <c r="DK41" s="90" t="n">
        <v>851307.4614742071</v>
      </c>
      <c r="DL41" s="90" t="n">
        <v>804443.1670104754</v>
      </c>
      <c r="DM41" s="90" t="n">
        <v>759598.874853511</v>
      </c>
      <c r="DN41" s="90" t="n">
        <v>714397.1000349243</v>
      </c>
      <c r="DO41" s="90" t="n">
        <v>674054.0368545472</v>
      </c>
      <c r="DP41" s="90" t="n">
        <v>638904.537830659</v>
      </c>
      <c r="DQ41" s="90" t="n">
        <v>605094.5105981665</v>
      </c>
      <c r="DR41" s="90" t="n">
        <v>573018.4876390935</v>
      </c>
      <c r="DS41" s="90" t="n">
        <v>539000.0885053595</v>
      </c>
      <c r="DT41" s="90" t="n">
        <v>506818.7046784066</v>
      </c>
      <c r="DU41" s="90" t="n">
        <v>474078.7141603788</v>
      </c>
      <c r="DV41" s="90" t="n">
        <v>443841.7172832917</v>
      </c>
      <c r="DW41" s="90" t="n">
        <v>417328.5537040314</v>
      </c>
      <c r="DX41" s="90" t="n">
        <v>390668.4994147919</v>
      </c>
      <c r="DY41" s="90" t="n">
        <v>365031.7443356768</v>
      </c>
      <c r="DZ41" s="90" t="n">
        <v>340875.570050255</v>
      </c>
      <c r="EA41" s="90" t="n">
        <v>317056.1439721741</v>
      </c>
      <c r="EB41" s="90" t="n">
        <v>293063.585669671</v>
      </c>
      <c r="EC41" s="90" t="n">
        <v>269691.3890771543</v>
      </c>
      <c r="ED41" s="90" t="n">
        <v>245791.937356789</v>
      </c>
      <c r="EE41" s="90" t="n">
        <v>223052.0428100113</v>
      </c>
      <c r="EF41" s="90" t="n">
        <v>199280.6608609835</v>
      </c>
      <c r="EG41" s="90" t="n">
        <v>175223.1452139303</v>
      </c>
      <c r="EH41" s="90" t="n">
        <v>154387.9369491497</v>
      </c>
      <c r="EI41" s="90" t="n">
        <v>134592.196444592</v>
      </c>
      <c r="EJ41" s="90" t="n">
        <v>113774.1824795536</v>
      </c>
      <c r="EK41" s="90" t="n">
        <v>94301.06819632149</v>
      </c>
      <c r="EL41" s="90" t="n">
        <v>79719.20583353817</v>
      </c>
      <c r="EM41" s="90" t="n">
        <v>65598.00037730722</v>
      </c>
      <c r="EN41" s="90" t="n">
        <v>53681.40186980412</v>
      </c>
      <c r="EO41" s="90" t="n">
        <v>41574.56906367654</v>
      </c>
      <c r="EP41" s="90" t="n">
        <v>33492.39183059584</v>
      </c>
      <c r="EQ41" s="90" t="n">
        <v>25411.32392275334</v>
      </c>
      <c r="ER41" s="90" t="n">
        <v>20018.910413525</v>
      </c>
      <c r="ES41" s="90" t="n">
        <v>14964.74221589047</v>
      </c>
      <c r="ET41" s="90" t="n">
        <v>10582.3380667494</v>
      </c>
      <c r="EU41" s="90" t="n">
        <v>6532.818717142408</v>
      </c>
      <c r="EV41" s="90" t="n">
        <v>4251.475116574442</v>
      </c>
      <c r="EW41" s="90" t="n">
        <v>1287.835479982815</v>
      </c>
      <c r="EX41" s="90" t="n">
        <v>278.7009862763716</v>
      </c>
      <c r="EY41" s="90" t="n">
        <v>0</v>
      </c>
      <c r="EZ41" s="90" t="n">
        <v>0</v>
      </c>
      <c r="FA41" s="90" t="n">
        <v>0</v>
      </c>
    </row>
    <row r="42" ht="15.75" customHeight="1">
      <c r="A42" s="89" t="inlineStr">
        <is>
          <t>Intereses Nuevo Portafolio AUM</t>
        </is>
      </c>
      <c r="B42" s="90" t="n"/>
      <c r="C42" s="90" t="n"/>
      <c r="D42" s="90" t="n"/>
      <c r="E42" s="90" t="n"/>
      <c r="F42" s="90" t="n"/>
      <c r="G42" s="90" t="n"/>
      <c r="H42" s="90" t="n"/>
      <c r="I42" s="90" t="n"/>
      <c r="J42" s="90" t="n"/>
      <c r="K42" s="90" t="n"/>
      <c r="L42" s="90" t="n"/>
      <c r="M42" s="90" t="n"/>
      <c r="N42" s="90" t="n"/>
      <c r="O42" s="90" t="n"/>
      <c r="P42" s="90" t="n"/>
      <c r="Q42" s="90" t="n"/>
      <c r="R42" s="90" t="n"/>
      <c r="S42" s="90" t="n"/>
      <c r="T42" s="90" t="n"/>
      <c r="U42" s="90" t="n"/>
      <c r="V42" s="90" t="n"/>
      <c r="W42" s="90" t="n"/>
      <c r="X42" s="90" t="n"/>
      <c r="Y42" s="90" t="n"/>
      <c r="Z42" s="90" t="n"/>
      <c r="AA42" s="90" t="n"/>
      <c r="AB42" s="90" t="n"/>
      <c r="AC42" s="90" t="n"/>
      <c r="AD42" s="90" t="n"/>
      <c r="AE42" s="90" t="n"/>
      <c r="AF42" s="90" t="n"/>
      <c r="AG42" s="90" t="n"/>
      <c r="AH42" s="90" t="n"/>
      <c r="AI42" s="90" t="n"/>
      <c r="AJ42" s="90" t="n"/>
      <c r="AK42" s="90" t="n"/>
      <c r="AL42" s="90" t="n"/>
      <c r="AM42" s="90" t="n"/>
      <c r="AN42" s="90" t="n"/>
      <c r="AO42" s="90" t="n"/>
      <c r="AP42" s="90" t="n"/>
      <c r="AQ42" s="90" t="n"/>
      <c r="AR42" s="90" t="n"/>
      <c r="AS42" s="90" t="n"/>
      <c r="AT42" s="90" t="n"/>
      <c r="AU42" s="90" t="n"/>
      <c r="AV42" s="90" t="n"/>
      <c r="AW42" s="90" t="n"/>
      <c r="AX42" s="90" t="n"/>
      <c r="AY42" s="90" t="n"/>
      <c r="AZ42" s="90" t="n"/>
      <c r="BA42" s="90" t="n"/>
      <c r="BB42" s="90" t="n"/>
      <c r="BC42" s="90" t="n"/>
      <c r="BD42" s="90" t="n"/>
      <c r="BE42" s="90" t="n"/>
      <c r="BF42" s="90" t="n"/>
      <c r="BG42" s="90" t="n"/>
      <c r="BH42" s="90" t="n"/>
      <c r="BI42" s="90" t="n"/>
      <c r="BJ42" s="90" t="n"/>
      <c r="BK42" s="90" t="n"/>
      <c r="BL42" s="90" t="n"/>
      <c r="BM42" s="90" t="n"/>
      <c r="BN42" s="90" t="n"/>
      <c r="BO42" s="90" t="n"/>
      <c r="BP42" s="90" t="n"/>
      <c r="BQ42" s="90" t="n"/>
      <c r="BR42" s="90" t="n"/>
      <c r="BS42" s="90" t="n"/>
      <c r="BT42" s="90" t="n"/>
      <c r="BU42" s="90" t="n"/>
      <c r="BV42" s="90" t="n"/>
      <c r="BW42" s="90" t="n"/>
      <c r="BX42" s="90" t="n"/>
      <c r="BY42" s="90" t="n"/>
      <c r="BZ42" s="90" t="n"/>
      <c r="CA42" s="90" t="n"/>
      <c r="CB42" s="90" t="n"/>
      <c r="CC42" s="90" t="n"/>
      <c r="CD42" s="90" t="n"/>
      <c r="CE42" s="90" t="n"/>
      <c r="CF42" s="90" t="n"/>
      <c r="CG42" s="90" t="n"/>
      <c r="CH42" s="90" t="n"/>
      <c r="CI42" s="90" t="n"/>
      <c r="CJ42" s="90" t="n"/>
      <c r="CK42" s="90" t="n"/>
      <c r="CL42" s="90" t="n"/>
      <c r="CM42" s="90" t="n"/>
      <c r="CN42" s="90" t="n"/>
      <c r="CO42" s="90" t="n"/>
      <c r="CP42" s="90" t="n"/>
      <c r="CQ42" s="162" t="n"/>
      <c r="CR42" s="90" t="n">
        <v>88297.01833604083</v>
      </c>
      <c r="CS42" s="90" t="n">
        <v>174527.9898823349</v>
      </c>
      <c r="CT42" s="90" t="n">
        <v>258792.9751697384</v>
      </c>
      <c r="CU42" s="90" t="n">
        <v>341815.6243907861</v>
      </c>
      <c r="CV42" s="90" t="n">
        <v>425463.3657299557</v>
      </c>
      <c r="CW42" s="90" t="n">
        <v>509193.4035475764</v>
      </c>
      <c r="CX42" s="90" t="n">
        <v>590180.6384341063</v>
      </c>
      <c r="CY42" s="90" t="n">
        <v>669102.7737888244</v>
      </c>
      <c r="CZ42" s="90" t="n">
        <v>748357.3116218016</v>
      </c>
      <c r="DA42" s="90" t="n">
        <v>828403.7201961074</v>
      </c>
      <c r="DB42" s="90" t="n">
        <v>906332.5428255516</v>
      </c>
      <c r="DC42" s="163" t="n">
        <v>982941.8763132961</v>
      </c>
      <c r="DD42" s="90" t="n">
        <v>1060149.586608839</v>
      </c>
      <c r="DE42" s="90" t="n">
        <v>1137895.726190361</v>
      </c>
      <c r="DF42" s="90" t="n">
        <v>1214149.130148579</v>
      </c>
      <c r="DG42" s="90" t="n">
        <v>1290888.846549465</v>
      </c>
      <c r="DH42" s="90" t="n">
        <v>1367662.870938852</v>
      </c>
      <c r="DI42" s="90" t="n">
        <v>1446058.044659693</v>
      </c>
      <c r="DJ42" s="90" t="n">
        <v>1521581.862116548</v>
      </c>
      <c r="DK42" s="90" t="n">
        <v>1596667.570164503</v>
      </c>
      <c r="DL42" s="90" t="n">
        <v>1669504.262402152</v>
      </c>
      <c r="DM42" s="90" t="n">
        <v>1740821.059261229</v>
      </c>
      <c r="DN42" s="90" t="n">
        <v>1804593.507265652</v>
      </c>
      <c r="DO42" s="90" t="n">
        <v>1864836.084667223</v>
      </c>
      <c r="DP42" s="90" t="n">
        <v>1927161.530521617</v>
      </c>
      <c r="DQ42" s="90" t="n">
        <v>1989026.311352741</v>
      </c>
      <c r="DR42" s="90" t="n">
        <v>2054144.87494639</v>
      </c>
      <c r="DS42" s="90" t="n">
        <v>2114851.905548997</v>
      </c>
      <c r="DT42" s="90" t="n">
        <v>2176481.568630266</v>
      </c>
      <c r="DU42" s="90" t="n">
        <v>2231480.419299875</v>
      </c>
      <c r="DV42" s="90" t="n">
        <v>2283509.472107938</v>
      </c>
      <c r="DW42" s="90" t="n">
        <v>2341849.559706452</v>
      </c>
      <c r="DX42" s="90" t="n">
        <v>2397629.506823468</v>
      </c>
      <c r="DY42" s="90" t="n">
        <v>2454029.918358146</v>
      </c>
      <c r="DZ42" s="90" t="n">
        <v>2515419.929997371</v>
      </c>
      <c r="EA42" s="90" t="n">
        <v>2579641.734483553</v>
      </c>
      <c r="EB42" s="90" t="n">
        <v>2644533.003942152</v>
      </c>
      <c r="EC42" s="90" t="n">
        <v>2714664.984928178</v>
      </c>
      <c r="ED42" s="90" t="n">
        <v>2783747.668915754</v>
      </c>
      <c r="EE42" s="90" t="n">
        <v>2863546.787195493</v>
      </c>
      <c r="EF42" s="90" t="n">
        <v>2938930.277731902</v>
      </c>
      <c r="EG42" s="90" t="n">
        <v>3001104.750629308</v>
      </c>
      <c r="EH42" s="90" t="n">
        <v>3083678.248109628</v>
      </c>
      <c r="EI42" s="90" t="n">
        <v>3181528.854040351</v>
      </c>
      <c r="EJ42" s="90" t="n">
        <v>3252400.299174292</v>
      </c>
      <c r="EK42" s="90" t="n">
        <v>3291915.55028534</v>
      </c>
      <c r="EL42" s="90" t="n">
        <v>3383950.31634011</v>
      </c>
      <c r="EM42" s="90" t="n">
        <v>3456457.762396807</v>
      </c>
      <c r="EN42" s="90" t="n">
        <v>3555700.832395482</v>
      </c>
      <c r="EO42" s="90" t="n">
        <v>3559113.044530606</v>
      </c>
      <c r="EP42" s="90" t="n">
        <v>3667604.150674187</v>
      </c>
      <c r="EQ42" s="90" t="n">
        <v>3682420.709430218</v>
      </c>
      <c r="ER42" s="90" t="n">
        <v>3830386.637940824</v>
      </c>
      <c r="ES42" s="90" t="n">
        <v>4000785.2953487</v>
      </c>
      <c r="ET42" s="90" t="n">
        <v>4252923.463410396</v>
      </c>
      <c r="EU42" s="90" t="n">
        <v>4436639.946298073</v>
      </c>
      <c r="EV42" s="90" t="n">
        <v>5305705.894773523</v>
      </c>
      <c r="EW42" s="90" t="n">
        <v>5731193.542578074</v>
      </c>
      <c r="EX42" s="90" t="n">
        <v>6186227.532816038</v>
      </c>
      <c r="EY42" s="90" t="n">
        <v>0</v>
      </c>
      <c r="EZ42" s="90" t="n">
        <v>0</v>
      </c>
      <c r="FA42" s="90" t="n">
        <v>0</v>
      </c>
    </row>
    <row r="43" ht="15.75" customHeight="1">
      <c r="A43" s="89" t="inlineStr">
        <is>
          <t>Amortizaciones Portafolio AUM</t>
        </is>
      </c>
      <c r="B43" s="90">
        <f>#REF!</f>
        <v/>
      </c>
      <c r="C43" s="90">
        <f>#REF!</f>
        <v/>
      </c>
      <c r="D43" s="90">
        <f>#REF!</f>
        <v/>
      </c>
      <c r="E43" s="90">
        <f>#REF!</f>
        <v/>
      </c>
      <c r="F43" s="90">
        <f>#REF!</f>
        <v/>
      </c>
      <c r="G43" s="90">
        <f>#REF!</f>
        <v/>
      </c>
      <c r="H43" s="90">
        <f>#REF!</f>
        <v/>
      </c>
      <c r="I43" s="90">
        <f>#REF!</f>
        <v/>
      </c>
      <c r="J43" s="90">
        <f>#REF!</f>
        <v/>
      </c>
      <c r="K43" s="90">
        <f>#REF!</f>
        <v/>
      </c>
      <c r="L43" s="90">
        <f>#REF!</f>
        <v/>
      </c>
      <c r="M43" s="90">
        <f>#REF!</f>
        <v/>
      </c>
      <c r="N43" s="90">
        <f>#REF!</f>
        <v/>
      </c>
      <c r="O43" s="90">
        <f>#REF!</f>
        <v/>
      </c>
      <c r="P43" s="90">
        <f>#REF!</f>
        <v/>
      </c>
      <c r="Q43" s="90">
        <f>#REF!</f>
        <v/>
      </c>
      <c r="R43" s="90">
        <f>#REF!</f>
        <v/>
      </c>
      <c r="S43" s="90">
        <f>#REF!</f>
        <v/>
      </c>
      <c r="T43" s="90">
        <f>#REF!</f>
        <v/>
      </c>
      <c r="U43" s="90">
        <f>#REF!</f>
        <v/>
      </c>
      <c r="V43" s="90">
        <f>#REF!</f>
        <v/>
      </c>
      <c r="W43" s="90">
        <f>#REF!</f>
        <v/>
      </c>
      <c r="X43" s="90">
        <f>#REF!</f>
        <v/>
      </c>
      <c r="Y43" s="90">
        <f>#REF!</f>
        <v/>
      </c>
      <c r="Z43" s="90">
        <f>#REF!</f>
        <v/>
      </c>
      <c r="AA43" s="90">
        <f>#REF!</f>
        <v/>
      </c>
      <c r="AB43" s="90">
        <f>#REF!</f>
        <v/>
      </c>
      <c r="AC43" s="90">
        <f>#REF!</f>
        <v/>
      </c>
      <c r="AD43" s="90">
        <f>#REF!</f>
        <v/>
      </c>
      <c r="AE43" s="90">
        <f>#REF!</f>
        <v/>
      </c>
      <c r="AF43" s="90">
        <f>#REF!</f>
        <v/>
      </c>
      <c r="AG43" s="90">
        <f>#REF!</f>
        <v/>
      </c>
      <c r="AH43" s="90">
        <f>#REF!</f>
        <v/>
      </c>
      <c r="AI43" s="90">
        <f>#REF!</f>
        <v/>
      </c>
      <c r="AJ43" s="90">
        <f>#REF!</f>
        <v/>
      </c>
      <c r="AK43" s="90">
        <f>#REF!</f>
        <v/>
      </c>
      <c r="AL43" s="90">
        <f>#REF!</f>
        <v/>
      </c>
      <c r="AM43" s="90">
        <f>#REF!</f>
        <v/>
      </c>
      <c r="AN43" s="90">
        <f>#REF!</f>
        <v/>
      </c>
      <c r="AO43" s="90">
        <f>#REF!</f>
        <v/>
      </c>
      <c r="AP43" s="90">
        <f>#REF!</f>
        <v/>
      </c>
      <c r="AQ43" s="90">
        <f>#REF!</f>
        <v/>
      </c>
      <c r="AR43" s="90">
        <f>#REF!</f>
        <v/>
      </c>
      <c r="AS43" s="90">
        <f>#REF!</f>
        <v/>
      </c>
      <c r="AT43" s="90">
        <f>#REF!</f>
        <v/>
      </c>
      <c r="AU43" s="90">
        <f>#REF!</f>
        <v/>
      </c>
      <c r="AV43" s="90">
        <f>#REF!</f>
        <v/>
      </c>
      <c r="AW43" s="90">
        <f>#REF!</f>
        <v/>
      </c>
      <c r="AX43" s="90">
        <f>#REF!</f>
        <v/>
      </c>
      <c r="AY43" s="90">
        <f>#REF!</f>
        <v/>
      </c>
      <c r="AZ43" s="90">
        <f>#REF!</f>
        <v/>
      </c>
      <c r="BA43" s="90">
        <f>#REF!</f>
        <v/>
      </c>
      <c r="BB43" s="90">
        <f>#REF!</f>
        <v/>
      </c>
      <c r="BC43" s="90">
        <f>#REF!</f>
        <v/>
      </c>
      <c r="BD43" s="90">
        <f>#REF!</f>
        <v/>
      </c>
      <c r="BE43" s="90">
        <f>#REF!</f>
        <v/>
      </c>
      <c r="BF43" s="90">
        <f>#REF!</f>
        <v/>
      </c>
      <c r="BG43" s="90">
        <f>#REF!</f>
        <v/>
      </c>
      <c r="BH43" s="90">
        <f>#REF!</f>
        <v/>
      </c>
      <c r="BI43" s="90">
        <f>#REF!</f>
        <v/>
      </c>
      <c r="BJ43" s="90">
        <f>#REF!</f>
        <v/>
      </c>
      <c r="BK43" s="90">
        <f>#REF!</f>
        <v/>
      </c>
      <c r="BL43" s="90">
        <f>#REF!</f>
        <v/>
      </c>
      <c r="BM43" s="90">
        <f>#REF!</f>
        <v/>
      </c>
      <c r="BN43" s="90">
        <f>#REF!</f>
        <v/>
      </c>
      <c r="BO43" s="90">
        <f>#REF!</f>
        <v/>
      </c>
      <c r="BP43" s="90">
        <f>#REF!</f>
        <v/>
      </c>
      <c r="BQ43" s="90">
        <f>#REF!</f>
        <v/>
      </c>
      <c r="BR43" s="90">
        <f>#REF!</f>
        <v/>
      </c>
      <c r="BS43" s="90">
        <f>#REF!</f>
        <v/>
      </c>
      <c r="BT43" s="90">
        <f>#REF!</f>
        <v/>
      </c>
      <c r="BU43" s="90">
        <f>#REF!</f>
        <v/>
      </c>
      <c r="BV43" s="90">
        <f>#REF!</f>
        <v/>
      </c>
      <c r="BW43" s="90">
        <f>#REF!</f>
        <v/>
      </c>
      <c r="BX43" s="90">
        <f>#REF!</f>
        <v/>
      </c>
      <c r="BY43" s="90">
        <f>#REF!</f>
        <v/>
      </c>
      <c r="BZ43" s="90">
        <f>#REF!</f>
        <v/>
      </c>
      <c r="CA43" s="90">
        <f>#REF!</f>
        <v/>
      </c>
      <c r="CB43" s="90">
        <f>#REF!</f>
        <v/>
      </c>
      <c r="CC43" s="90">
        <f>#REF!</f>
        <v/>
      </c>
      <c r="CD43" s="90">
        <f>#REF!</f>
        <v/>
      </c>
      <c r="CE43" s="90">
        <f>#REF!</f>
        <v/>
      </c>
      <c r="CF43" s="90">
        <f>#REF!</f>
        <v/>
      </c>
      <c r="CG43" s="90">
        <f>#REF!</f>
        <v/>
      </c>
      <c r="CH43" s="90" t="n">
        <v>4449255.660765165</v>
      </c>
      <c r="CI43" s="90" t="n">
        <v>4531168.705031073</v>
      </c>
      <c r="CJ43" s="90" t="n">
        <v>4367087.871988235</v>
      </c>
      <c r="CK43" s="90" t="n">
        <v>4390081.872403223</v>
      </c>
      <c r="CL43" s="90" t="n">
        <v>4625890.744376907</v>
      </c>
      <c r="CM43" s="90" t="n">
        <v>4646292.074145989</v>
      </c>
      <c r="CN43" s="90" t="n">
        <v>4517340.943164135</v>
      </c>
      <c r="CO43" s="90" t="n">
        <v>4404922.124283048</v>
      </c>
      <c r="CP43" s="90" t="n">
        <v>4129037.221435153</v>
      </c>
      <c r="CQ43" s="162" t="n">
        <v>4363473.648797166</v>
      </c>
      <c r="CR43" s="90" t="n">
        <v>4229969.465513112</v>
      </c>
      <c r="CS43" s="90" t="n">
        <v>4091089.340194877</v>
      </c>
      <c r="CT43" s="90" t="n">
        <v>3972099.523919101</v>
      </c>
      <c r="CU43" s="90" t="n">
        <v>3973286.853605753</v>
      </c>
      <c r="CV43" s="90" t="n">
        <v>4001159.351940728</v>
      </c>
      <c r="CW43" s="90" t="n">
        <v>3838666.583778789</v>
      </c>
      <c r="CX43" s="90" t="n">
        <v>3608253.274617662</v>
      </c>
      <c r="CY43" s="90" t="n">
        <v>3603362.047634243</v>
      </c>
      <c r="CZ43" s="90" t="n">
        <v>3592663.196731702</v>
      </c>
      <c r="DA43" s="90" t="n">
        <v>3623515.594323929</v>
      </c>
      <c r="DB43" s="90" t="n">
        <v>3343630.686274478</v>
      </c>
      <c r="DC43" s="163" t="n">
        <v>3321386.736442682</v>
      </c>
      <c r="DD43" s="90" t="n">
        <v>3330062.952728825</v>
      </c>
      <c r="DE43" s="90" t="n">
        <v>3294329.113266472</v>
      </c>
      <c r="DF43" s="90" t="n">
        <v>3183823.037844691</v>
      </c>
      <c r="DG43" s="90" t="n">
        <v>3169494.781802537</v>
      </c>
      <c r="DH43" s="90" t="n">
        <v>3114970.380086384</v>
      </c>
      <c r="DI43" s="90" t="n">
        <v>3138325.835980762</v>
      </c>
      <c r="DJ43" s="90" t="n">
        <v>2970748.803249371</v>
      </c>
      <c r="DK43" s="90" t="n">
        <v>2891663.239830321</v>
      </c>
      <c r="DL43" s="90" t="n">
        <v>2765671.45097397</v>
      </c>
      <c r="DM43" s="90" t="n">
        <v>2638157.083191451</v>
      </c>
      <c r="DN43" s="90" t="n">
        <v>2374448.931728612</v>
      </c>
      <c r="DO43" s="90" t="n">
        <v>2174626.670852771</v>
      </c>
      <c r="DP43" s="90" t="n">
        <v>2094404.037529983</v>
      </c>
      <c r="DQ43" s="90" t="n">
        <v>2043337.837524615</v>
      </c>
      <c r="DR43" s="90" t="n">
        <v>2061517.634032678</v>
      </c>
      <c r="DS43" s="90" t="n">
        <v>1975058.947749165</v>
      </c>
      <c r="DT43" s="90" t="n">
        <v>1920952.554347911</v>
      </c>
      <c r="DU43" s="90" t="n">
        <v>1768862.935822235</v>
      </c>
      <c r="DV43" s="90" t="n">
        <v>1638640.495746567</v>
      </c>
      <c r="DW43" s="90" t="n">
        <v>1612618.943136166</v>
      </c>
      <c r="DX43" s="90" t="n">
        <v>1557049.237417289</v>
      </c>
      <c r="DY43" s="90" t="n">
        <v>1506060.024532835</v>
      </c>
      <c r="DZ43" s="90" t="n">
        <v>1490458.19883374</v>
      </c>
      <c r="EA43" s="90" t="n">
        <v>1484449.672429961</v>
      </c>
      <c r="EB43" s="90" t="n">
        <v>1460153.912564681</v>
      </c>
      <c r="EC43" s="90" t="n">
        <v>1459272.802703463</v>
      </c>
      <c r="ED43" s="90" t="n">
        <v>1421079.906367903</v>
      </c>
      <c r="EE43" s="90" t="n">
        <v>1428152.753364119</v>
      </c>
      <c r="EF43" s="90" t="n">
        <v>1378277.909098267</v>
      </c>
      <c r="EG43" s="90" t="n">
        <v>1251327.503697172</v>
      </c>
      <c r="EH43" s="90" t="n">
        <v>1202683.5791164</v>
      </c>
      <c r="EI43" s="90" t="n">
        <v>1168894.020480934</v>
      </c>
      <c r="EJ43" s="90" t="n">
        <v>1036366.043810452</v>
      </c>
      <c r="EK43" s="90" t="n">
        <v>848260.4063321876</v>
      </c>
      <c r="EL43" s="90" t="n">
        <v>780926.8915246825</v>
      </c>
      <c r="EM43" s="90" t="n">
        <v>674671.7184835728</v>
      </c>
      <c r="EN43" s="90" t="n">
        <v>605870.5864991569</v>
      </c>
      <c r="EO43" s="90" t="n">
        <v>458129.4816760271</v>
      </c>
      <c r="EP43" s="90" t="n">
        <v>408127.8048467166</v>
      </c>
      <c r="EQ43" s="90" t="n">
        <v>310073.2111449102</v>
      </c>
      <c r="ER43" s="90" t="n">
        <v>279905.6464448434</v>
      </c>
      <c r="ES43" s="90" t="n">
        <v>239694.0538001001</v>
      </c>
      <c r="ET43" s="90" t="n">
        <v>197469.2888511672</v>
      </c>
      <c r="EU43" s="90" t="n">
        <v>132104.5551558817</v>
      </c>
      <c r="EV43" s="90" t="n">
        <v>115375.0088678226</v>
      </c>
      <c r="EW43" s="90" t="n">
        <v>36302.85120830548</v>
      </c>
      <c r="EX43" s="90" t="n">
        <v>9208.849280696944</v>
      </c>
      <c r="EY43" s="90" t="n">
        <v>0</v>
      </c>
      <c r="EZ43" s="90" t="n">
        <v>0</v>
      </c>
      <c r="FA43" s="90" t="n">
        <v>0</v>
      </c>
    </row>
    <row r="44" ht="15.75" customHeight="1">
      <c r="A44" s="89" t="inlineStr">
        <is>
          <t>Total Cobranza Portafolio AUM</t>
        </is>
      </c>
      <c r="B44" s="152">
        <f>SUM(B41:B43)</f>
        <v/>
      </c>
      <c r="C44" s="152">
        <f>SUM(C41:C43)</f>
        <v/>
      </c>
      <c r="D44" s="152">
        <f>SUM(D41:D43)</f>
        <v/>
      </c>
      <c r="E44" s="152">
        <f>SUM(E41:E43)</f>
        <v/>
      </c>
      <c r="F44" s="152">
        <f>SUM(F41:F43)</f>
        <v/>
      </c>
      <c r="G44" s="152">
        <f>SUM(G41:G43)</f>
        <v/>
      </c>
      <c r="H44" s="152">
        <f>SUM(H41:H43)</f>
        <v/>
      </c>
      <c r="I44" s="152">
        <f>SUM(I41:I43)</f>
        <v/>
      </c>
      <c r="J44" s="152">
        <f>SUM(J41:J43)</f>
        <v/>
      </c>
      <c r="K44" s="152">
        <f>SUM(K41:K43)</f>
        <v/>
      </c>
      <c r="L44" s="152">
        <f>SUM(L41:L43)</f>
        <v/>
      </c>
      <c r="M44" s="152">
        <f>SUM(M41:M43)</f>
        <v/>
      </c>
      <c r="N44" s="152">
        <f>SUM(N41:N43)</f>
        <v/>
      </c>
      <c r="O44" s="152">
        <f>SUM(O41:O43)</f>
        <v/>
      </c>
      <c r="P44" s="152">
        <f>SUM(P41:P43)</f>
        <v/>
      </c>
      <c r="Q44" s="152">
        <f>SUM(Q41:Q43)</f>
        <v/>
      </c>
      <c r="R44" s="152">
        <f>SUM(R41:R43)</f>
        <v/>
      </c>
      <c r="S44" s="152">
        <f>SUM(S41:S43)</f>
        <v/>
      </c>
      <c r="T44" s="152">
        <f>SUM(T41:T43)</f>
        <v/>
      </c>
      <c r="U44" s="152">
        <f>SUM(U41:U43)</f>
        <v/>
      </c>
      <c r="V44" s="152">
        <f>SUM(V41:V43)</f>
        <v/>
      </c>
      <c r="W44" s="152">
        <f>SUM(W41:W43)</f>
        <v/>
      </c>
      <c r="X44" s="152">
        <f>SUM(X41:X43)</f>
        <v/>
      </c>
      <c r="Y44" s="152">
        <f>SUM(Y41:Y43)</f>
        <v/>
      </c>
      <c r="Z44" s="152">
        <f>SUM(Z41:Z43)</f>
        <v/>
      </c>
      <c r="AA44" s="152">
        <f>SUM(AA41:AA43)</f>
        <v/>
      </c>
      <c r="AB44" s="152">
        <f>SUM(AB41:AB43)</f>
        <v/>
      </c>
      <c r="AC44" s="152">
        <f>SUM(AC41:AC43)</f>
        <v/>
      </c>
      <c r="AD44" s="152">
        <f>SUM(AD41:AD43)</f>
        <v/>
      </c>
      <c r="AE44" s="152">
        <f>SUM(AE41:AE43)</f>
        <v/>
      </c>
      <c r="AF44" s="152">
        <f>SUM(AF41:AF43)</f>
        <v/>
      </c>
      <c r="AG44" s="152">
        <f>SUM(AG41:AG43)</f>
        <v/>
      </c>
      <c r="AH44" s="152">
        <f>SUM(AH41:AH43)</f>
        <v/>
      </c>
      <c r="AI44" s="152">
        <f>SUM(AI41:AI43)</f>
        <v/>
      </c>
      <c r="AJ44" s="152">
        <f>SUM(AJ41:AJ43)</f>
        <v/>
      </c>
      <c r="AK44" s="152">
        <f>SUM(AK41:AK43)</f>
        <v/>
      </c>
      <c r="AL44" s="152">
        <f>SUM(AL41:AL43)</f>
        <v/>
      </c>
      <c r="AM44" s="152">
        <f>SUM(AM41:AM43)</f>
        <v/>
      </c>
      <c r="AN44" s="152">
        <f>SUM(AN41:AN43)</f>
        <v/>
      </c>
      <c r="AO44" s="152">
        <f>SUM(AO41:AO43)</f>
        <v/>
      </c>
      <c r="AP44" s="152">
        <f>SUM(AP41:AP43)</f>
        <v/>
      </c>
      <c r="AQ44" s="152">
        <f>SUM(AQ41:AQ43)</f>
        <v/>
      </c>
      <c r="AR44" s="152">
        <f>SUM(AR41:AR43)</f>
        <v/>
      </c>
      <c r="AS44" s="152">
        <f>SUM(AS41:AS43)</f>
        <v/>
      </c>
      <c r="AT44" s="152">
        <f>SUM(AT41:AT43)</f>
        <v/>
      </c>
      <c r="AU44" s="152">
        <f>SUM(AU41:AU43)</f>
        <v/>
      </c>
      <c r="AV44" s="152">
        <f>SUM(AV41:AV43)</f>
        <v/>
      </c>
      <c r="AW44" s="152">
        <f>SUM(AW41:AW43)</f>
        <v/>
      </c>
      <c r="AX44" s="152">
        <f>SUM(AX41:AX43)</f>
        <v/>
      </c>
      <c r="AY44" s="152">
        <f>SUM(AY41:AY43)</f>
        <v/>
      </c>
      <c r="AZ44" s="152">
        <f>SUM(AZ41:AZ43)</f>
        <v/>
      </c>
      <c r="BA44" s="152">
        <f>SUM(BA41:BA43)</f>
        <v/>
      </c>
      <c r="BB44" s="152">
        <f>SUM(BB41:BB43)</f>
        <v/>
      </c>
      <c r="BC44" s="152">
        <f>SUM(BC41:BC43)</f>
        <v/>
      </c>
      <c r="BD44" s="152">
        <f>SUM(BD41:BD43)</f>
        <v/>
      </c>
      <c r="BE44" s="152">
        <f>SUM(BE41:BE43)</f>
        <v/>
      </c>
      <c r="BF44" s="152">
        <f>SUM(BF41:BF43)</f>
        <v/>
      </c>
      <c r="BG44" s="152">
        <f>SUM(BG41:BG43)</f>
        <v/>
      </c>
      <c r="BH44" s="152">
        <f>SUM(BH41:BH43)</f>
        <v/>
      </c>
      <c r="BI44" s="152">
        <f>SUM(BI41:BI43)</f>
        <v/>
      </c>
      <c r="BJ44" s="152">
        <f>SUM(BJ41:BJ43)</f>
        <v/>
      </c>
      <c r="BK44" s="152">
        <f>SUM(BK41:BK43)</f>
        <v/>
      </c>
      <c r="BL44" s="152">
        <f>SUM(BL41:BL43)</f>
        <v/>
      </c>
      <c r="BM44" s="152">
        <f>SUM(BM41:BM43)</f>
        <v/>
      </c>
      <c r="BN44" s="152">
        <f>SUM(BN41:BN43)</f>
        <v/>
      </c>
      <c r="BO44" s="152">
        <f>SUM(BO41:BO43)</f>
        <v/>
      </c>
      <c r="BP44" s="152">
        <f>SUM(BP41:BP43)</f>
        <v/>
      </c>
      <c r="BQ44" s="152">
        <f>SUM(BQ41:BQ43)</f>
        <v/>
      </c>
      <c r="BR44" s="152">
        <f>SUM(BR41:BR43)</f>
        <v/>
      </c>
      <c r="BS44" s="152">
        <f>SUM(BS41:BS43)</f>
        <v/>
      </c>
      <c r="BT44" s="152">
        <f>SUM(BT41:BT43)</f>
        <v/>
      </c>
      <c r="BU44" s="152">
        <f>SUM(BU41:BU43)</f>
        <v/>
      </c>
      <c r="BV44" s="152">
        <f>SUM(BV41:BV43)</f>
        <v/>
      </c>
      <c r="BW44" s="152">
        <f>SUM(BW41:BW43)</f>
        <v/>
      </c>
      <c r="BX44" s="152">
        <f>SUM(BX41:BX43)</f>
        <v/>
      </c>
      <c r="BY44" s="152">
        <f>SUM(BY41:BY43)</f>
        <v/>
      </c>
      <c r="BZ44" s="152">
        <f>SUM(BZ41:BZ43)</f>
        <v/>
      </c>
      <c r="CA44" s="152">
        <f>SUM(CA41:CA43)</f>
        <v/>
      </c>
      <c r="CB44" s="152">
        <f>SUM(CB41:CB43)</f>
        <v/>
      </c>
      <c r="CC44" s="152">
        <f>SUM(CC41:CC43)</f>
        <v/>
      </c>
      <c r="CD44" s="152">
        <f>SUM(CD41:CD43)</f>
        <v/>
      </c>
      <c r="CE44" s="152">
        <f>SUM(CE41:CE43)</f>
        <v/>
      </c>
      <c r="CF44" s="152">
        <f>SUM(CF41:CF43)</f>
        <v/>
      </c>
      <c r="CG44" s="152">
        <f>SUM(CG41:CG43)</f>
        <v/>
      </c>
      <c r="CH44" s="152">
        <f>SUM(CH41:CH43)</f>
        <v/>
      </c>
      <c r="CI44" s="152">
        <f>SUM(CI41:CI43)</f>
        <v/>
      </c>
      <c r="CJ44" s="152">
        <f>SUM(CJ41:CJ43)</f>
        <v/>
      </c>
      <c r="CK44" s="152">
        <f>SUM(CK41:CK43)</f>
        <v/>
      </c>
      <c r="CL44" s="152">
        <f>SUM(CL41:CL43)</f>
        <v/>
      </c>
      <c r="CM44" s="152">
        <f>SUM(CM41:CM43)</f>
        <v/>
      </c>
      <c r="CN44" s="152">
        <f>SUM(CN41:CN43)</f>
        <v/>
      </c>
      <c r="CO44" s="152">
        <f>SUM(CO41:CO43)</f>
        <v/>
      </c>
      <c r="CP44" s="152">
        <f>SUM(CP41:CP43)</f>
        <v/>
      </c>
      <c r="CQ44" s="157">
        <f>SUM(CQ41:CQ43)</f>
        <v/>
      </c>
      <c r="CR44" s="152">
        <f>SUM(CR41:CR43)</f>
        <v/>
      </c>
      <c r="CS44" s="152">
        <f>SUM(CS41:CS43)</f>
        <v/>
      </c>
      <c r="CT44" s="152">
        <f>SUM(CT41:CT43)</f>
        <v/>
      </c>
      <c r="CU44" s="152">
        <f>SUM(CU41:CU43)</f>
        <v/>
      </c>
      <c r="CV44" s="152">
        <f>SUM(CV41:CV43)</f>
        <v/>
      </c>
      <c r="CW44" s="152">
        <f>SUM(CW41:CW43)</f>
        <v/>
      </c>
      <c r="CX44" s="152">
        <f>SUM(CX41:CX43)</f>
        <v/>
      </c>
      <c r="CY44" s="152">
        <f>SUM(CY41:CY43)</f>
        <v/>
      </c>
      <c r="CZ44" s="152">
        <f>SUM(CZ41:CZ43)</f>
        <v/>
      </c>
      <c r="DA44" s="152">
        <f>SUM(DA41:DA43)</f>
        <v/>
      </c>
      <c r="DB44" s="152">
        <f>SUM(DB41:DB43)</f>
        <v/>
      </c>
      <c r="DC44" s="158">
        <f>SUM(DC41:DC43)</f>
        <v/>
      </c>
      <c r="DD44" s="152">
        <f>SUM(DD41:DD43)</f>
        <v/>
      </c>
      <c r="DE44" s="152">
        <f>SUM(DE41:DE43)</f>
        <v/>
      </c>
      <c r="DF44" s="152">
        <f>SUM(DF41:DF43)</f>
        <v/>
      </c>
      <c r="DG44" s="152">
        <f>SUM(DG41:DG43)</f>
        <v/>
      </c>
      <c r="DH44" s="152">
        <f>SUM(DH41:DH43)</f>
        <v/>
      </c>
      <c r="DI44" s="152">
        <f>SUM(DI41:DI43)</f>
        <v/>
      </c>
      <c r="DJ44" s="152">
        <f>SUM(DJ41:DJ43)</f>
        <v/>
      </c>
      <c r="DK44" s="152">
        <f>SUM(DK41:DK43)</f>
        <v/>
      </c>
      <c r="DL44" s="152">
        <f>SUM(DL41:DL43)</f>
        <v/>
      </c>
      <c r="DM44" s="152">
        <f>SUM(DM41:DM43)</f>
        <v/>
      </c>
      <c r="DN44" s="152">
        <f>SUM(DN41:DN43)</f>
        <v/>
      </c>
      <c r="DO44" s="152">
        <f>SUM(DO41:DO43)</f>
        <v/>
      </c>
      <c r="DP44" s="152">
        <f>SUM(DP41:DP43)</f>
        <v/>
      </c>
      <c r="DQ44" s="152">
        <f>SUM(DQ41:DQ43)</f>
        <v/>
      </c>
      <c r="DR44" s="152">
        <f>SUM(DR41:DR43)</f>
        <v/>
      </c>
      <c r="DS44" s="152">
        <f>SUM(DS41:DS43)</f>
        <v/>
      </c>
      <c r="DT44" s="152">
        <f>SUM(DT41:DT43)</f>
        <v/>
      </c>
      <c r="DU44" s="152">
        <f>SUM(DU41:DU43)</f>
        <v/>
      </c>
      <c r="DV44" s="152">
        <f>SUM(DV41:DV43)</f>
        <v/>
      </c>
      <c r="DW44" s="152">
        <f>SUM(DW41:DW43)</f>
        <v/>
      </c>
      <c r="DX44" s="152">
        <f>SUM(DX41:DX43)</f>
        <v/>
      </c>
      <c r="DY44" s="152">
        <f>SUM(DY41:DY43)</f>
        <v/>
      </c>
      <c r="DZ44" s="152">
        <f>SUM(DZ41:DZ43)</f>
        <v/>
      </c>
      <c r="EA44" s="152">
        <f>SUM(EA41:EA43)</f>
        <v/>
      </c>
      <c r="EB44" s="152">
        <f>SUM(EB41:EB43)</f>
        <v/>
      </c>
      <c r="EC44" s="152">
        <f>SUM(EC41:EC43)</f>
        <v/>
      </c>
      <c r="ED44" s="152">
        <f>SUM(ED41:ED43)</f>
        <v/>
      </c>
      <c r="EE44" s="152">
        <f>SUM(EE41:EE43)</f>
        <v/>
      </c>
      <c r="EF44" s="152">
        <f>SUM(EF41:EF43)</f>
        <v/>
      </c>
      <c r="EG44" s="152">
        <f>SUM(EG41:EG43)</f>
        <v/>
      </c>
      <c r="EH44" s="152">
        <f>SUM(EH41:EH43)</f>
        <v/>
      </c>
      <c r="EI44" s="152">
        <f>SUM(EI41:EI43)</f>
        <v/>
      </c>
      <c r="EJ44" s="152">
        <f>SUM(EJ41:EJ43)</f>
        <v/>
      </c>
      <c r="EK44" s="152">
        <f>SUM(EK41:EK43)</f>
        <v/>
      </c>
      <c r="EL44" s="152">
        <f>SUM(EL41:EL43)</f>
        <v/>
      </c>
      <c r="EM44" s="152">
        <f>SUM(EM41:EM43)</f>
        <v/>
      </c>
      <c r="EN44" s="152">
        <f>SUM(EN41:EN43)</f>
        <v/>
      </c>
      <c r="EO44" s="152">
        <f>SUM(EO41:EO43)</f>
        <v/>
      </c>
      <c r="EP44" s="152">
        <f>SUM(EP41:EP43)</f>
        <v/>
      </c>
      <c r="EQ44" s="152">
        <f>SUM(EQ41:EQ43)</f>
        <v/>
      </c>
      <c r="ER44" s="152">
        <f>SUM(ER41:ER43)</f>
        <v/>
      </c>
      <c r="ES44" s="152">
        <f>SUM(ES41:ES43)</f>
        <v/>
      </c>
      <c r="ET44" s="152">
        <f>SUM(ET41:ET43)</f>
        <v/>
      </c>
      <c r="EU44" s="152">
        <f>SUM(EU41:EU43)</f>
        <v/>
      </c>
      <c r="EV44" s="152">
        <f>SUM(EV41:EV43)</f>
        <v/>
      </c>
      <c r="EW44" s="152">
        <f>SUM(EW41:EW43)</f>
        <v/>
      </c>
      <c r="EX44" s="152">
        <f>SUM(EX41:EX43)</f>
        <v/>
      </c>
      <c r="EY44" s="152">
        <f>SUM(EY41:EY43)</f>
        <v/>
      </c>
      <c r="EZ44" s="152">
        <f>SUM(EZ41:EZ43)</f>
        <v/>
      </c>
      <c r="FA44" s="152">
        <f>SUM(FA41:FA43)</f>
        <v/>
      </c>
    </row>
    <row r="45" ht="15.75" customHeight="1">
      <c r="A45" s="89" t="n"/>
      <c r="CQ45" s="159" t="n"/>
      <c r="DC45" s="160" t="n"/>
    </row>
    <row r="46" ht="15.75" customHeight="1">
      <c r="A46" s="89" t="inlineStr">
        <is>
          <t>Tasa Activa Promedio Portafolio AUM</t>
        </is>
      </c>
      <c r="B46" s="111" t="n">
        <v>0</v>
      </c>
      <c r="C46" s="115">
        <f>C41/B36*12</f>
        <v/>
      </c>
      <c r="D46" s="115">
        <f>D41/C36*12</f>
        <v/>
      </c>
      <c r="E46" s="115">
        <f>E41/D36*12</f>
        <v/>
      </c>
      <c r="F46" s="115">
        <f>F41/E36*12</f>
        <v/>
      </c>
      <c r="G46" s="115">
        <f>G41/F36*12</f>
        <v/>
      </c>
      <c r="H46" s="115">
        <f>H41/G36*12</f>
        <v/>
      </c>
      <c r="I46" s="115">
        <f>I41/H36*12</f>
        <v/>
      </c>
      <c r="J46" s="115">
        <f>J41/I36*12</f>
        <v/>
      </c>
      <c r="K46" s="115">
        <f>K41/J36*12</f>
        <v/>
      </c>
      <c r="L46" s="115">
        <f>L41/K36*12</f>
        <v/>
      </c>
      <c r="M46" s="115">
        <f>M41/L36*12</f>
        <v/>
      </c>
      <c r="N46" s="115">
        <f>N41/M36*12</f>
        <v/>
      </c>
      <c r="O46" s="115">
        <f>O41/O36*12</f>
        <v/>
      </c>
      <c r="P46" s="115">
        <f>P41/P36*12</f>
        <v/>
      </c>
      <c r="Q46" s="115">
        <f>Q41/Q36*12</f>
        <v/>
      </c>
      <c r="R46" s="115">
        <f>R41/R36*12</f>
        <v/>
      </c>
      <c r="S46" s="115">
        <f>S41/S36*12</f>
        <v/>
      </c>
      <c r="T46" s="115">
        <f>T41/T36*12</f>
        <v/>
      </c>
      <c r="U46" s="115">
        <f>U41/U36*12</f>
        <v/>
      </c>
      <c r="V46" s="115">
        <f>V41/V36*12</f>
        <v/>
      </c>
      <c r="W46" s="115">
        <f>W41/W36*12</f>
        <v/>
      </c>
      <c r="X46" s="115">
        <f>X41/X36*12</f>
        <v/>
      </c>
      <c r="Y46" s="115">
        <f>Y41/Y36*12</f>
        <v/>
      </c>
      <c r="Z46" s="115">
        <f>Z41/Z36*12</f>
        <v/>
      </c>
      <c r="AA46" s="115">
        <f>AA41/AA36*12</f>
        <v/>
      </c>
      <c r="AB46" s="115">
        <f>AB41/AB36*12</f>
        <v/>
      </c>
      <c r="AC46" s="115">
        <f>AC41/AC36*12</f>
        <v/>
      </c>
      <c r="AD46" s="115">
        <f>AD41/AD36*12</f>
        <v/>
      </c>
      <c r="AE46" s="115">
        <f>AE41/AE36*12</f>
        <v/>
      </c>
      <c r="AF46" s="115">
        <f>AF41/AF36*12</f>
        <v/>
      </c>
      <c r="AG46" s="115">
        <f>AG41/AG36*12</f>
        <v/>
      </c>
      <c r="AH46" s="115">
        <f>AH41/AH36*12</f>
        <v/>
      </c>
      <c r="AI46" s="115">
        <f>AI41/AI36*12</f>
        <v/>
      </c>
      <c r="AJ46" s="115">
        <f>AJ41/AJ36*12</f>
        <v/>
      </c>
      <c r="AK46" s="115">
        <f>AK41/AK36*12</f>
        <v/>
      </c>
      <c r="AL46" s="115">
        <f>AL41/AL36*12</f>
        <v/>
      </c>
      <c r="AM46" s="115">
        <f>AM41/AM36*12</f>
        <v/>
      </c>
      <c r="AN46" s="115">
        <f>AN41/AN36*12</f>
        <v/>
      </c>
      <c r="AO46" s="115">
        <f>AO41/AO36*12</f>
        <v/>
      </c>
      <c r="AP46" s="115">
        <f>AP41/AP36*12</f>
        <v/>
      </c>
      <c r="AQ46" s="115">
        <f>AQ41/AQ36*12</f>
        <v/>
      </c>
      <c r="AR46" s="115">
        <f>AR41/AR36*12</f>
        <v/>
      </c>
      <c r="AS46" s="115">
        <f>AS41/AS36*12</f>
        <v/>
      </c>
      <c r="AT46" s="115">
        <f>AT41/AT36*12</f>
        <v/>
      </c>
      <c r="AU46" s="115">
        <f>AU41/AU36*12</f>
        <v/>
      </c>
      <c r="AV46" s="115">
        <f>AV41/AV36*12</f>
        <v/>
      </c>
      <c r="AW46" s="115">
        <f>AW41/AW36*12</f>
        <v/>
      </c>
      <c r="AX46" s="115">
        <f>AX41/AX36*12</f>
        <v/>
      </c>
      <c r="AY46" s="115">
        <f>AY41/AY36*12</f>
        <v/>
      </c>
      <c r="AZ46" s="115">
        <f>AZ41/AZ36*12</f>
        <v/>
      </c>
      <c r="BA46" s="115">
        <f>BA41/BA36*12</f>
        <v/>
      </c>
      <c r="BB46" s="115">
        <f>BB41/BB36*12</f>
        <v/>
      </c>
      <c r="BC46" s="115">
        <f>BC41/BC36*12</f>
        <v/>
      </c>
      <c r="BD46" s="115">
        <f>BD41/BD36*12</f>
        <v/>
      </c>
      <c r="BE46" s="115">
        <f>BE41/BE36*12</f>
        <v/>
      </c>
      <c r="BF46" s="115">
        <f>BF41/BF36*12</f>
        <v/>
      </c>
      <c r="BG46" s="115">
        <f>BG41/BG36*12</f>
        <v/>
      </c>
      <c r="BH46" s="115">
        <f>BH41/BH36*12</f>
        <v/>
      </c>
      <c r="BI46" s="115">
        <f>BI41/BI36*12</f>
        <v/>
      </c>
      <c r="BJ46" s="115">
        <f>BJ41/BJ36*12</f>
        <v/>
      </c>
      <c r="BK46" s="115">
        <f>BK41/BK36*12</f>
        <v/>
      </c>
      <c r="BL46" s="115">
        <f>BL41/BL36*12</f>
        <v/>
      </c>
      <c r="BM46" s="115">
        <f>BM41/BM36*12</f>
        <v/>
      </c>
      <c r="BN46" s="115">
        <f>BN41/BN36*12</f>
        <v/>
      </c>
      <c r="BO46" s="115">
        <f>BO41/BO36*12</f>
        <v/>
      </c>
      <c r="BP46" s="115">
        <f>BP41/BP36*12</f>
        <v/>
      </c>
      <c r="BQ46" s="115">
        <f>BQ41/BQ36*12</f>
        <v/>
      </c>
      <c r="BR46" s="115">
        <f>BR41/BR36*12</f>
        <v/>
      </c>
      <c r="BS46" s="115">
        <f>BS41/BS36*12</f>
        <v/>
      </c>
      <c r="BT46" s="115">
        <f>BT41/BT36*12</f>
        <v/>
      </c>
      <c r="BU46" s="115">
        <f>BU41/BU36*12</f>
        <v/>
      </c>
      <c r="BV46" s="115">
        <f>BV41/BV36*12</f>
        <v/>
      </c>
      <c r="BW46" s="115">
        <f>BW41/BW36*12</f>
        <v/>
      </c>
      <c r="BX46" s="115">
        <f>BX41/BX36*12</f>
        <v/>
      </c>
      <c r="BY46" s="115">
        <f>BY41/BY36*12</f>
        <v/>
      </c>
      <c r="BZ46" s="115">
        <f>BZ41/BZ36*12</f>
        <v/>
      </c>
      <c r="CA46" s="115">
        <f>CA41/CA36*12</f>
        <v/>
      </c>
      <c r="CB46" s="115">
        <f>CB41/CB36*12</f>
        <v/>
      </c>
      <c r="CC46" s="115">
        <f>CC41/CC36*12</f>
        <v/>
      </c>
      <c r="CD46" s="115">
        <f>CD41/CD36*12</f>
        <v/>
      </c>
      <c r="CE46" s="115">
        <f>CE41/CE36*12</f>
        <v/>
      </c>
      <c r="CF46" s="115">
        <f>CF41/CF36*12</f>
        <v/>
      </c>
      <c r="CG46" s="115">
        <f>CG41/CG36*12</f>
        <v/>
      </c>
      <c r="CH46" s="115">
        <f>CH41/CH36*12</f>
        <v/>
      </c>
      <c r="CI46" s="115">
        <f>CI41/CI36*12</f>
        <v/>
      </c>
      <c r="CJ46" s="115">
        <f>CJ41/CJ36*12</f>
        <v/>
      </c>
      <c r="CK46" s="115">
        <f>CK41/CK36*12</f>
        <v/>
      </c>
      <c r="CL46" s="115">
        <f>CL41/CL36*12</f>
        <v/>
      </c>
      <c r="CM46" s="115">
        <f>CM41/CM36*12</f>
        <v/>
      </c>
      <c r="CN46" s="115">
        <f>CN41/CN36*12</f>
        <v/>
      </c>
      <c r="CO46" s="115">
        <f>CO41/CO36*12</f>
        <v/>
      </c>
      <c r="CP46" s="115">
        <f>CP41/CP36*12</f>
        <v/>
      </c>
      <c r="CQ46" s="171">
        <f>CQ41/CQ36*12</f>
        <v/>
      </c>
      <c r="CR46" s="115">
        <f>CR41/CR36*12</f>
        <v/>
      </c>
      <c r="CS46" s="115">
        <f>CS41/CS36*12</f>
        <v/>
      </c>
      <c r="CT46" s="115">
        <f>CT41/CT36*12</f>
        <v/>
      </c>
      <c r="CU46" s="115">
        <f>CU41/CU36*12</f>
        <v/>
      </c>
      <c r="CV46" s="115">
        <f>CV41/CV36*12</f>
        <v/>
      </c>
      <c r="CW46" s="115">
        <f>CW41/CW36*12</f>
        <v/>
      </c>
      <c r="CX46" s="115">
        <f>CX41/CX36*12</f>
        <v/>
      </c>
      <c r="CY46" s="115">
        <f>CY41/CY36*12</f>
        <v/>
      </c>
      <c r="CZ46" s="115">
        <f>CZ41/CZ36*12</f>
        <v/>
      </c>
      <c r="DA46" s="115">
        <f>DA41/DA36*12</f>
        <v/>
      </c>
      <c r="DB46" s="115">
        <f>DB41/DB36*12</f>
        <v/>
      </c>
      <c r="DC46" s="172">
        <f>DC41/DC36*12</f>
        <v/>
      </c>
      <c r="DD46" s="115">
        <f>DD41/DD36*12</f>
        <v/>
      </c>
      <c r="DE46" s="115">
        <f>DE41/DE36*12</f>
        <v/>
      </c>
      <c r="DF46" s="115">
        <f>DF41/DF36*12</f>
        <v/>
      </c>
      <c r="DG46" s="115">
        <f>DG41/DG36*12</f>
        <v/>
      </c>
      <c r="DH46" s="115">
        <f>DH41/DH36*12</f>
        <v/>
      </c>
      <c r="DI46" s="115">
        <f>DI41/DI36*12</f>
        <v/>
      </c>
      <c r="DJ46" s="115">
        <f>DJ41/DJ36*12</f>
        <v/>
      </c>
      <c r="DK46" s="115">
        <f>DK41/DK36*12</f>
        <v/>
      </c>
      <c r="DL46" s="115">
        <f>DL41/DL36*12</f>
        <v/>
      </c>
      <c r="DM46" s="115">
        <f>DM41/DM36*12</f>
        <v/>
      </c>
      <c r="DN46" s="115">
        <f>DN41/DN36*12</f>
        <v/>
      </c>
      <c r="DO46" s="115">
        <f>DO41/DO36*12</f>
        <v/>
      </c>
      <c r="DP46" s="115">
        <f>DP41/DP36*12</f>
        <v/>
      </c>
      <c r="DQ46" s="115">
        <f>DQ41/DQ36*12</f>
        <v/>
      </c>
      <c r="DR46" s="115">
        <f>DR41/DR36*12</f>
        <v/>
      </c>
      <c r="DS46" s="115">
        <f>DS41/DS36*12</f>
        <v/>
      </c>
      <c r="DT46" s="115">
        <f>DT41/DT36*12</f>
        <v/>
      </c>
      <c r="DU46" s="115">
        <f>DU41/DU36*12</f>
        <v/>
      </c>
      <c r="DV46" s="115">
        <f>DV41/DV36*12</f>
        <v/>
      </c>
      <c r="DW46" s="115">
        <f>DW41/DW36*12</f>
        <v/>
      </c>
      <c r="DX46" s="115">
        <f>DX41/DX36*12</f>
        <v/>
      </c>
      <c r="DY46" s="115">
        <f>DY41/DY36*12</f>
        <v/>
      </c>
      <c r="DZ46" s="115">
        <f>DZ41/DZ36*12</f>
        <v/>
      </c>
      <c r="EA46" s="115">
        <f>EA41/EA36*12</f>
        <v/>
      </c>
      <c r="EB46" s="115">
        <f>EB41/EB36*12</f>
        <v/>
      </c>
      <c r="EC46" s="115">
        <f>EC41/EC36*12</f>
        <v/>
      </c>
      <c r="ED46" s="115">
        <f>ED41/ED36*12</f>
        <v/>
      </c>
      <c r="EE46" s="115">
        <f>EE41/EE36*12</f>
        <v/>
      </c>
      <c r="EF46" s="115">
        <f>EF41/EF36*12</f>
        <v/>
      </c>
      <c r="EG46" s="115">
        <f>EG41/EG36*12</f>
        <v/>
      </c>
      <c r="EH46" s="115">
        <f>EH41/EH36*12</f>
        <v/>
      </c>
      <c r="EI46" s="115">
        <f>EI41/EI36*12</f>
        <v/>
      </c>
      <c r="EJ46" s="115">
        <f>EJ41/EJ36*12</f>
        <v/>
      </c>
      <c r="EK46" s="115">
        <f>EK41/EK36*12</f>
        <v/>
      </c>
      <c r="EL46" s="115">
        <f>EL41/EL36*12</f>
        <v/>
      </c>
      <c r="EM46" s="115">
        <f>EM41/EM36*12</f>
        <v/>
      </c>
      <c r="EN46" s="115">
        <f>EN41/EN36*12</f>
        <v/>
      </c>
      <c r="EO46" s="115">
        <f>EO41/EO36*12</f>
        <v/>
      </c>
      <c r="EP46" s="115">
        <f>EP41/EP36*12</f>
        <v/>
      </c>
      <c r="EQ46" s="115">
        <f>EQ41/EQ36*12</f>
        <v/>
      </c>
      <c r="ER46" s="115">
        <f>ER41/ER36*12</f>
        <v/>
      </c>
      <c r="ES46" s="115">
        <f>ES41/ES36*12</f>
        <v/>
      </c>
      <c r="ET46" s="115">
        <f>ET41/ET36*12</f>
        <v/>
      </c>
      <c r="EU46" s="115">
        <f>EU41/EU36*12</f>
        <v/>
      </c>
      <c r="EV46" s="115">
        <f>EV41/EV36*12</f>
        <v/>
      </c>
      <c r="EW46" s="115">
        <f>EW41/EW36*12</f>
        <v/>
      </c>
      <c r="EX46" s="115">
        <f>EX41/EX36*12</f>
        <v/>
      </c>
      <c r="EY46" s="115" t="n"/>
      <c r="EZ46" s="115" t="n"/>
      <c r="FA46" s="115" t="n"/>
    </row>
    <row r="47" ht="15.75" customHeight="1">
      <c r="A47" s="89" t="n"/>
      <c r="CQ47" s="159" t="n"/>
      <c r="DC47" s="160" t="n"/>
    </row>
    <row r="48" ht="15.75" customHeight="1">
      <c r="A48" s="169" t="inlineStr">
        <is>
          <t>BALANCE</t>
        </is>
      </c>
      <c r="B48" s="170" t="n"/>
      <c r="C48" s="170" t="n"/>
      <c r="D48" s="170" t="n"/>
      <c r="E48" s="170" t="n"/>
      <c r="F48" s="170" t="n"/>
      <c r="G48" s="170" t="n"/>
      <c r="H48" s="170" t="n"/>
      <c r="I48" s="170" t="n"/>
      <c r="J48" s="170" t="n"/>
      <c r="K48" s="170" t="n"/>
      <c r="L48" s="170" t="n"/>
      <c r="M48" s="170" t="n"/>
      <c r="N48" s="170" t="n"/>
      <c r="O48" s="170" t="n"/>
      <c r="P48" s="170" t="n"/>
      <c r="Q48" s="170" t="n"/>
      <c r="R48" s="170" t="n"/>
      <c r="S48" s="170" t="n"/>
      <c r="T48" s="170" t="n"/>
      <c r="U48" s="170" t="n"/>
      <c r="V48" s="170" t="n"/>
      <c r="W48" s="170" t="n"/>
      <c r="X48" s="170" t="n"/>
      <c r="Y48" s="170" t="n"/>
      <c r="Z48" s="170" t="n"/>
      <c r="AA48" s="170" t="n"/>
      <c r="AB48" s="170" t="n"/>
      <c r="AC48" s="170" t="n"/>
      <c r="AD48" s="170" t="n"/>
      <c r="AE48" s="170" t="n"/>
      <c r="AF48" s="170" t="n"/>
      <c r="AG48" s="170" t="n"/>
      <c r="AH48" s="170" t="n"/>
      <c r="AI48" s="170" t="n"/>
      <c r="AJ48" s="170" t="n"/>
      <c r="AK48" s="170" t="n"/>
      <c r="AL48" s="170" t="n"/>
      <c r="AM48" s="170" t="n"/>
      <c r="AN48" s="170" t="n"/>
      <c r="AO48" s="170" t="n"/>
      <c r="AP48" s="170" t="n"/>
      <c r="AQ48" s="170" t="n"/>
      <c r="AR48" s="170" t="n"/>
      <c r="AS48" s="170" t="n"/>
      <c r="AT48" s="170" t="n"/>
      <c r="AU48" s="170" t="n"/>
      <c r="AV48" s="170" t="n"/>
      <c r="AW48" s="170" t="n"/>
      <c r="AX48" s="170" t="n"/>
      <c r="AY48" s="170" t="n"/>
      <c r="AZ48" s="170" t="n"/>
      <c r="BA48" s="170" t="n"/>
      <c r="BB48" s="170" t="n"/>
      <c r="BC48" s="170" t="n"/>
      <c r="BD48" s="170" t="n"/>
      <c r="BE48" s="170" t="n"/>
      <c r="BF48" s="170" t="n"/>
      <c r="BG48" s="170" t="n"/>
      <c r="BH48" s="170" t="n"/>
      <c r="BI48" s="170" t="n"/>
      <c r="BJ48" s="170" t="n"/>
      <c r="BK48" s="170" t="n"/>
      <c r="BL48" s="170" t="n"/>
      <c r="BM48" s="170" t="n"/>
      <c r="BN48" s="170" t="n"/>
      <c r="BO48" s="170" t="n"/>
      <c r="BP48" s="170" t="n"/>
      <c r="BQ48" s="170" t="n"/>
      <c r="BR48" s="170" t="n"/>
      <c r="BS48" s="170" t="n"/>
      <c r="BT48" s="170" t="n"/>
      <c r="BU48" s="170" t="n"/>
      <c r="BV48" s="170" t="n"/>
      <c r="BW48" s="170" t="n"/>
      <c r="BX48" s="170" t="n"/>
      <c r="BY48" s="170" t="n"/>
      <c r="BZ48" s="170" t="n"/>
      <c r="CA48" s="170" t="n"/>
      <c r="CB48" s="170" t="n"/>
      <c r="CC48" s="170" t="n"/>
      <c r="CD48" s="170" t="n"/>
      <c r="CE48" s="170" t="n"/>
      <c r="CF48" s="170" t="n"/>
      <c r="CG48" s="170" t="n"/>
      <c r="CH48" s="170" t="n"/>
      <c r="CI48" s="170" t="n"/>
      <c r="CJ48" s="170" t="n"/>
      <c r="CK48" s="170" t="n"/>
      <c r="CL48" s="170" t="n"/>
      <c r="CM48" s="170" t="n"/>
      <c r="CN48" s="170" t="n"/>
      <c r="CO48" s="170" t="n"/>
      <c r="CP48" s="170" t="n"/>
      <c r="CQ48" s="159" t="n"/>
      <c r="CR48" s="170" t="n"/>
      <c r="CS48" s="170" t="n"/>
      <c r="CT48" s="170" t="n"/>
      <c r="CU48" s="170" t="n"/>
      <c r="CV48" s="170" t="n"/>
      <c r="CW48" s="170" t="n"/>
      <c r="CX48" s="170" t="n"/>
      <c r="CY48" s="170" t="n"/>
      <c r="CZ48" s="170" t="n"/>
      <c r="DA48" s="170" t="n"/>
      <c r="DB48" s="170" t="n"/>
      <c r="DC48" s="160" t="n"/>
      <c r="DD48" s="170" t="n"/>
      <c r="DE48" s="170" t="n"/>
      <c r="DF48" s="170" t="n"/>
      <c r="DG48" s="170" t="n"/>
      <c r="DH48" s="170" t="n"/>
      <c r="DI48" s="170" t="n"/>
      <c r="DJ48" s="170" t="n"/>
      <c r="DK48" s="170" t="n"/>
      <c r="DL48" s="170" t="n"/>
      <c r="DM48" s="170" t="n"/>
      <c r="DN48" s="170" t="n"/>
      <c r="DO48" s="170" t="n"/>
      <c r="DP48" s="170" t="n"/>
      <c r="DQ48" s="170" t="n"/>
      <c r="DR48" s="170" t="n"/>
      <c r="DS48" s="170" t="n"/>
      <c r="DT48" s="170" t="n"/>
      <c r="DU48" s="170" t="n"/>
      <c r="DV48" s="170" t="n"/>
      <c r="DW48" s="170" t="n"/>
      <c r="DX48" s="170" t="n"/>
      <c r="DY48" s="170" t="n"/>
      <c r="DZ48" s="170" t="n"/>
      <c r="EA48" s="170" t="n"/>
      <c r="EB48" s="170" t="n"/>
      <c r="EC48" s="170" t="n"/>
      <c r="ED48" s="170" t="n"/>
      <c r="EE48" s="170" t="n"/>
      <c r="EF48" s="170" t="n"/>
      <c r="EG48" s="170" t="n"/>
      <c r="EH48" s="170" t="n"/>
      <c r="EI48" s="170" t="n"/>
      <c r="EJ48" s="170" t="n"/>
      <c r="EK48" s="170" t="n"/>
      <c r="EL48" s="170" t="n"/>
      <c r="EM48" s="170" t="n"/>
      <c r="EN48" s="170" t="n"/>
      <c r="EO48" s="170" t="n"/>
      <c r="EP48" s="170" t="n"/>
      <c r="EQ48" s="170" t="n"/>
      <c r="ER48" s="170" t="n"/>
      <c r="ES48" s="170" t="n"/>
      <c r="ET48" s="170" t="n"/>
      <c r="EU48" s="170" t="n"/>
      <c r="EV48" s="170" t="n"/>
      <c r="EW48" s="170" t="n"/>
      <c r="EX48" s="170" t="n"/>
      <c r="EY48" s="170" t="n"/>
      <c r="EZ48" s="170" t="n"/>
      <c r="FA48" s="170" t="n"/>
    </row>
    <row r="49" ht="15.75" customHeight="1">
      <c r="A49" s="89" t="n"/>
      <c r="CQ49" s="159" t="n"/>
      <c r="DC49" s="160" t="n"/>
    </row>
    <row r="50" ht="15.75" customHeight="1">
      <c r="A50" s="71" t="inlineStr">
        <is>
          <t>Efectivo y equivalentes de efectivo</t>
        </is>
      </c>
      <c r="BY50" s="90" t="n">
        <v>500000</v>
      </c>
      <c r="BZ50" s="90" t="n">
        <v>500000</v>
      </c>
      <c r="CA50" s="90" t="n">
        <v>500000</v>
      </c>
      <c r="CB50" s="90" t="n">
        <v>500000</v>
      </c>
      <c r="CC50" s="90" t="n">
        <v>500000</v>
      </c>
      <c r="CD50" s="90" t="n">
        <v>500000</v>
      </c>
      <c r="CE50" s="90" t="n">
        <v>500000</v>
      </c>
      <c r="CF50" s="90" t="n">
        <v>500000</v>
      </c>
      <c r="CG50" s="90" t="n">
        <v>500000</v>
      </c>
      <c r="CH50" s="90" t="n">
        <v>500000</v>
      </c>
      <c r="CI50" s="90" t="n">
        <v>500000</v>
      </c>
      <c r="CJ50" s="90" t="n">
        <v>500000</v>
      </c>
      <c r="CK50" s="90" t="n">
        <v>500000</v>
      </c>
      <c r="CL50" s="90" t="n">
        <v>500000</v>
      </c>
      <c r="CM50" s="90" t="n">
        <v>500000</v>
      </c>
      <c r="CN50" s="90" t="n">
        <v>500000</v>
      </c>
      <c r="CO50" s="90" t="n">
        <v>500000</v>
      </c>
      <c r="CP50" s="90" t="n">
        <v>500000</v>
      </c>
      <c r="CQ50" s="162" t="n">
        <v>500000</v>
      </c>
      <c r="CR50" s="90" t="n">
        <v>500000</v>
      </c>
      <c r="CS50" s="90" t="n">
        <v>500000</v>
      </c>
      <c r="CT50" s="90" t="n">
        <v>500000</v>
      </c>
      <c r="CU50" s="90" t="n">
        <v>500000</v>
      </c>
      <c r="CV50" s="90" t="n">
        <v>500000</v>
      </c>
      <c r="CW50" s="90" t="n">
        <v>500000</v>
      </c>
      <c r="CX50" s="90" t="n">
        <v>500000</v>
      </c>
      <c r="CY50" s="90" t="n">
        <v>500000</v>
      </c>
      <c r="CZ50" s="90" t="n">
        <v>500000</v>
      </c>
      <c r="DA50" s="90" t="n">
        <v>500000</v>
      </c>
      <c r="DB50" s="90" t="n">
        <v>500000</v>
      </c>
      <c r="DC50" s="163" t="n">
        <v>500000</v>
      </c>
      <c r="DD50" s="90" t="n">
        <v>500000</v>
      </c>
      <c r="DE50" s="90" t="n">
        <v>500000</v>
      </c>
      <c r="DF50" s="90" t="n">
        <v>500000</v>
      </c>
      <c r="DG50" s="90" t="n">
        <v>500000</v>
      </c>
      <c r="DH50" s="90" t="n">
        <v>500000</v>
      </c>
      <c r="DI50" s="90" t="n">
        <v>500000</v>
      </c>
      <c r="DJ50" s="90" t="n">
        <v>500000</v>
      </c>
      <c r="DK50" s="90" t="n">
        <v>500000</v>
      </c>
      <c r="DL50" s="90" t="n">
        <v>500000</v>
      </c>
      <c r="DM50" s="90" t="n">
        <v>500000</v>
      </c>
      <c r="DN50" s="90" t="n">
        <v>500000</v>
      </c>
      <c r="DO50" s="90" t="n">
        <v>500000</v>
      </c>
      <c r="DP50" s="90" t="n">
        <v>500000</v>
      </c>
      <c r="DQ50" s="90" t="n">
        <v>500000</v>
      </c>
      <c r="DR50" s="90" t="n">
        <v>500000</v>
      </c>
      <c r="DS50" s="90" t="n">
        <v>500000</v>
      </c>
      <c r="DT50" s="90" t="n">
        <v>500000</v>
      </c>
      <c r="DU50" s="90" t="n">
        <v>500000</v>
      </c>
      <c r="DV50" s="90" t="n">
        <v>500000</v>
      </c>
      <c r="DW50" s="90" t="n">
        <v>500000</v>
      </c>
      <c r="DX50" s="90" t="n">
        <v>500000</v>
      </c>
      <c r="DY50" s="90" t="n">
        <v>500000</v>
      </c>
      <c r="DZ50" s="90" t="n">
        <v>500000</v>
      </c>
      <c r="EA50" s="90" t="n">
        <v>500000</v>
      </c>
      <c r="EB50" s="90" t="n">
        <v>500000</v>
      </c>
      <c r="EC50" s="90" t="n">
        <v>500000</v>
      </c>
      <c r="ED50" s="90" t="n">
        <v>500000</v>
      </c>
      <c r="EE50" s="90" t="n">
        <v>500000</v>
      </c>
      <c r="EF50" s="90" t="n">
        <v>500000</v>
      </c>
      <c r="EG50" s="90" t="n">
        <v>500000</v>
      </c>
      <c r="EH50" s="90" t="n">
        <v>500000</v>
      </c>
      <c r="EI50" s="90" t="n">
        <v>500000</v>
      </c>
      <c r="EJ50" s="90" t="n">
        <v>500000</v>
      </c>
      <c r="EK50" s="90" t="n">
        <v>500000</v>
      </c>
      <c r="EL50" s="90" t="n">
        <v>500000</v>
      </c>
      <c r="EM50" s="90" t="n">
        <v>500000</v>
      </c>
      <c r="EN50" s="90" t="n">
        <v>500000</v>
      </c>
      <c r="EO50" s="90" t="n">
        <v>500000</v>
      </c>
      <c r="EP50" s="90" t="n">
        <v>500000</v>
      </c>
      <c r="EQ50" s="90" t="n">
        <v>500000</v>
      </c>
      <c r="ER50" s="90" t="n">
        <v>500000</v>
      </c>
      <c r="ES50" s="90" t="n">
        <v>500000</v>
      </c>
      <c r="ET50" s="90" t="n">
        <v>500000</v>
      </c>
      <c r="EU50" s="90" t="n">
        <v>500000</v>
      </c>
      <c r="EV50" s="90" t="n">
        <v>500000</v>
      </c>
      <c r="EW50" s="90" t="n">
        <v>500000</v>
      </c>
      <c r="EX50" s="90" t="n">
        <v>500000</v>
      </c>
      <c r="EY50" s="90" t="n">
        <v>500000</v>
      </c>
      <c r="EZ50" s="90" t="n">
        <v>500000</v>
      </c>
      <c r="FA50" s="90" t="n">
        <v>500000</v>
      </c>
    </row>
    <row r="51" ht="15.75" customHeight="1">
      <c r="BY51" s="90" t="n"/>
      <c r="BZ51" s="90" t="n"/>
      <c r="CA51" s="90" t="n"/>
      <c r="CB51" s="90" t="n"/>
      <c r="CC51" s="90" t="n"/>
      <c r="CD51" s="90" t="n"/>
      <c r="CE51" s="90" t="n"/>
      <c r="CF51" s="90" t="n"/>
      <c r="CG51" s="90" t="n"/>
      <c r="CH51" s="90" t="n"/>
      <c r="CI51" s="90" t="n"/>
      <c r="CJ51" s="90" t="n"/>
      <c r="CK51" s="90" t="n"/>
      <c r="CL51" s="90" t="n"/>
      <c r="CM51" s="90" t="n"/>
      <c r="CN51" s="90" t="n"/>
      <c r="CO51" s="90" t="n"/>
      <c r="CP51" s="90" t="n"/>
      <c r="CQ51" s="162" t="n"/>
      <c r="CR51" s="90" t="n"/>
      <c r="CS51" s="90" t="n"/>
      <c r="CT51" s="90" t="n"/>
      <c r="CU51" s="90" t="n"/>
      <c r="CV51" s="90" t="n"/>
      <c r="CW51" s="90" t="n"/>
      <c r="CX51" s="90" t="n"/>
      <c r="CY51" s="90" t="n"/>
      <c r="CZ51" s="90" t="n"/>
      <c r="DA51" s="90" t="n"/>
      <c r="DB51" s="90" t="n"/>
      <c r="DC51" s="163" t="n"/>
      <c r="DD51" s="90" t="n"/>
      <c r="DE51" s="90" t="n"/>
      <c r="DF51" s="90" t="n"/>
      <c r="DG51" s="90" t="n"/>
      <c r="DH51" s="90" t="n"/>
      <c r="DI51" s="90" t="n"/>
      <c r="DJ51" s="90" t="n"/>
      <c r="DK51" s="90" t="n"/>
      <c r="DL51" s="90" t="n"/>
      <c r="DM51" s="90" t="n"/>
      <c r="DN51" s="90" t="n"/>
      <c r="DO51" s="90" t="n"/>
      <c r="DP51" s="90" t="n"/>
      <c r="DQ51" s="90" t="n"/>
      <c r="DR51" s="90" t="n"/>
      <c r="DS51" s="90" t="n"/>
      <c r="DT51" s="90" t="n"/>
      <c r="DU51" s="90" t="n"/>
      <c r="DV51" s="90" t="n"/>
      <c r="DW51" s="90" t="n"/>
      <c r="DX51" s="90" t="n"/>
      <c r="DY51" s="90" t="n"/>
      <c r="DZ51" s="90" t="n"/>
      <c r="EA51" s="90" t="n"/>
      <c r="EB51" s="90" t="n"/>
      <c r="EC51" s="90" t="n"/>
      <c r="ED51" s="90" t="n"/>
      <c r="EE51" s="90" t="n"/>
      <c r="EF51" s="90" t="n"/>
      <c r="EG51" s="90" t="n"/>
      <c r="EH51" s="90" t="n"/>
      <c r="EI51" s="90" t="n"/>
      <c r="EJ51" s="90" t="n"/>
      <c r="EK51" s="90" t="n"/>
      <c r="EL51" s="90" t="n"/>
      <c r="EM51" s="90" t="n"/>
      <c r="EN51" s="90" t="n"/>
      <c r="EO51" s="90" t="n"/>
      <c r="EP51" s="90" t="n"/>
      <c r="EQ51" s="90" t="n"/>
      <c r="ER51" s="90" t="n"/>
      <c r="ES51" s="90" t="n"/>
      <c r="ET51" s="90" t="n"/>
      <c r="EU51" s="90" t="n"/>
      <c r="EV51" s="90" t="n"/>
      <c r="EW51" s="90" t="n"/>
      <c r="EX51" s="90" t="n"/>
      <c r="EY51" s="90" t="n"/>
      <c r="EZ51" s="90" t="n"/>
      <c r="FA51" s="90" t="n"/>
    </row>
    <row r="52" ht="15.75" customHeight="1">
      <c r="A52" s="161" t="inlineStr">
        <is>
          <t>Inversiones en instrumentos financieros (1% Cartera)</t>
        </is>
      </c>
      <c r="B52" s="90">
        <f>B36*Supuestos!$D$10</f>
        <v/>
      </c>
      <c r="C52" s="90">
        <f>C36*Supuestos!$D$10</f>
        <v/>
      </c>
      <c r="D52" s="90">
        <f>D36*Supuestos!$D$10</f>
        <v/>
      </c>
      <c r="E52" s="90">
        <f>E36*Supuestos!$D$10</f>
        <v/>
      </c>
      <c r="F52" s="90">
        <f>F36*Supuestos!$D$10</f>
        <v/>
      </c>
      <c r="G52" s="90">
        <f>G36*Supuestos!$D$10</f>
        <v/>
      </c>
      <c r="H52" s="90">
        <f>H36*Supuestos!$D$10</f>
        <v/>
      </c>
      <c r="I52" s="90">
        <f>I36*Supuestos!$D$10</f>
        <v/>
      </c>
      <c r="J52" s="90">
        <f>J36*Supuestos!$D$10</f>
        <v/>
      </c>
      <c r="K52" s="90">
        <f>K36*Supuestos!$D$10</f>
        <v/>
      </c>
      <c r="L52" s="90">
        <f>L36*Supuestos!$D$10</f>
        <v/>
      </c>
      <c r="M52" s="90">
        <f>M36*Supuestos!$D$10</f>
        <v/>
      </c>
      <c r="N52" s="90">
        <f>N36*Supuestos!$D$10</f>
        <v/>
      </c>
      <c r="O52" s="90">
        <f>O36*Supuestos!$D$10</f>
        <v/>
      </c>
      <c r="P52" s="90">
        <f>P36*Supuestos!$D$10</f>
        <v/>
      </c>
      <c r="Q52" s="90">
        <f>Q36*Supuestos!$D$10</f>
        <v/>
      </c>
      <c r="R52" s="90">
        <f>R36*Supuestos!$D$10</f>
        <v/>
      </c>
      <c r="S52" s="90">
        <f>S36*Supuestos!$D$10</f>
        <v/>
      </c>
      <c r="T52" s="90">
        <f>T36*Supuestos!$D$10</f>
        <v/>
      </c>
      <c r="U52" s="90">
        <f>U36*Supuestos!$D$10</f>
        <v/>
      </c>
      <c r="V52" s="90">
        <f>V36*Supuestos!$D$10</f>
        <v/>
      </c>
      <c r="W52" s="90">
        <f>W36*Supuestos!$D$10</f>
        <v/>
      </c>
      <c r="X52" s="90">
        <f>X36*Supuestos!$D$10</f>
        <v/>
      </c>
      <c r="Y52" s="90">
        <f>Y36*Supuestos!$D$10</f>
        <v/>
      </c>
      <c r="Z52" s="90">
        <f>Z36*Supuestos!$D$10</f>
        <v/>
      </c>
      <c r="AA52" s="90">
        <f>AA36*Supuestos!$D$10</f>
        <v/>
      </c>
      <c r="AB52" s="90">
        <f>AB36*Supuestos!$D$10</f>
        <v/>
      </c>
      <c r="AC52" s="90">
        <f>AC36*Supuestos!$D$10</f>
        <v/>
      </c>
      <c r="AD52" s="90">
        <f>AD36*Supuestos!$D$10</f>
        <v/>
      </c>
      <c r="AE52" s="90">
        <f>AE36*Supuestos!$D$10</f>
        <v/>
      </c>
      <c r="AF52" s="90">
        <f>AF36*Supuestos!$D$10</f>
        <v/>
      </c>
      <c r="AG52" s="90">
        <f>AG36*Supuestos!$D$10</f>
        <v/>
      </c>
      <c r="AH52" s="90">
        <f>AH36*Supuestos!$D$10</f>
        <v/>
      </c>
      <c r="AI52" s="90">
        <f>AI36*Supuestos!$D$10</f>
        <v/>
      </c>
      <c r="AJ52" s="90">
        <f>AJ36*Supuestos!$D$10</f>
        <v/>
      </c>
      <c r="AK52" s="90">
        <f>AK36*Supuestos!$D$10</f>
        <v/>
      </c>
      <c r="AL52" s="90">
        <f>AL36*Supuestos!$D$10</f>
        <v/>
      </c>
      <c r="AM52" s="90">
        <f>AM36*Supuestos!$D$10</f>
        <v/>
      </c>
      <c r="AN52" s="90">
        <f>AN36*Supuestos!$D$10</f>
        <v/>
      </c>
      <c r="AO52" s="90">
        <f>AO36*Supuestos!$D$10</f>
        <v/>
      </c>
      <c r="AP52" s="90">
        <f>AP36*Supuestos!$D$10</f>
        <v/>
      </c>
      <c r="AQ52" s="90">
        <f>AQ36*Supuestos!$D$10</f>
        <v/>
      </c>
      <c r="AR52" s="90">
        <f>AR36*Supuestos!$D$10</f>
        <v/>
      </c>
      <c r="AS52" s="90">
        <f>AS36*Supuestos!$D$10</f>
        <v/>
      </c>
      <c r="AT52" s="90">
        <f>AT36*Supuestos!$D$10</f>
        <v/>
      </c>
      <c r="AU52" s="90">
        <f>AU36*Supuestos!$D$10</f>
        <v/>
      </c>
      <c r="AV52" s="90">
        <f>AV36*Supuestos!$D$10</f>
        <v/>
      </c>
      <c r="AW52" s="90">
        <f>AW36*Supuestos!$D$10</f>
        <v/>
      </c>
      <c r="AX52" s="90">
        <f>AX36*Supuestos!$D$10</f>
        <v/>
      </c>
      <c r="AY52" s="90">
        <f>AY36*Supuestos!$D$10</f>
        <v/>
      </c>
      <c r="AZ52" s="90">
        <f>AZ36*Supuestos!$D$10</f>
        <v/>
      </c>
      <c r="BA52" s="90">
        <f>BA36*Supuestos!$D$10</f>
        <v/>
      </c>
      <c r="BB52" s="90">
        <f>BB36*Supuestos!$D$10</f>
        <v/>
      </c>
      <c r="BC52" s="90">
        <f>BC36*Supuestos!$D$10</f>
        <v/>
      </c>
      <c r="BD52" s="90">
        <f>BD36*Supuestos!$D$10</f>
        <v/>
      </c>
      <c r="BE52" s="90">
        <f>BE36*Supuestos!$D$10</f>
        <v/>
      </c>
      <c r="BF52" s="90">
        <f>BF36*Supuestos!$D$10</f>
        <v/>
      </c>
      <c r="BG52" s="90">
        <f>BG36*Supuestos!$D$10</f>
        <v/>
      </c>
      <c r="BH52" s="90">
        <f>BH36*Supuestos!$D$10</f>
        <v/>
      </c>
      <c r="BI52" s="90">
        <f>BI36*Supuestos!$D$10</f>
        <v/>
      </c>
      <c r="BJ52" s="90">
        <f>BJ36*Supuestos!$D$10</f>
        <v/>
      </c>
      <c r="BK52" s="90">
        <f>BK36*Supuestos!$D$10</f>
        <v/>
      </c>
      <c r="BL52" s="90">
        <f>BL36*Supuestos!$D$10</f>
        <v/>
      </c>
      <c r="BM52" s="90">
        <f>BM36*Supuestos!$D$10</f>
        <v/>
      </c>
      <c r="BN52" s="90">
        <f>BN36*Supuestos!$D$10</f>
        <v/>
      </c>
      <c r="BO52" s="90">
        <f>BO36*Supuestos!$D$10</f>
        <v/>
      </c>
      <c r="BP52" s="90">
        <f>BP36*Supuestos!$D$10</f>
        <v/>
      </c>
      <c r="BQ52" s="90">
        <f>BQ36*Supuestos!$D$10</f>
        <v/>
      </c>
      <c r="BR52" s="90">
        <f>BR36*Supuestos!$D$10</f>
        <v/>
      </c>
      <c r="BS52" s="90">
        <f>BS36*Supuestos!$D$10</f>
        <v/>
      </c>
      <c r="BT52" s="90">
        <f>BT36*Supuestos!$D$10</f>
        <v/>
      </c>
      <c r="BU52" s="90">
        <f>BU36*Supuestos!$D$10</f>
        <v/>
      </c>
      <c r="BV52" s="90">
        <f>BV36*Supuestos!$D$10</f>
        <v/>
      </c>
      <c r="BW52" s="90">
        <f>BW36*Supuestos!$D$10</f>
        <v/>
      </c>
      <c r="BX52" s="90">
        <f>BX36*Supuestos!$D$10</f>
        <v/>
      </c>
      <c r="BY52" s="90">
        <f>BY36*Supuestos!$D$10</f>
        <v/>
      </c>
      <c r="BZ52" s="90">
        <f>BZ36*Supuestos!$D$10</f>
        <v/>
      </c>
      <c r="CA52" s="90">
        <f>CA36*Supuestos!$D$10</f>
        <v/>
      </c>
      <c r="CB52" s="90">
        <f>CB36*Supuestos!$D$10</f>
        <v/>
      </c>
      <c r="CC52" s="90">
        <f>CC36*Supuestos!$D$10</f>
        <v/>
      </c>
      <c r="CD52" s="90">
        <f>CD36*Supuestos!$D$10</f>
        <v/>
      </c>
      <c r="CE52" s="90">
        <f>CE36*Supuestos!$D$10</f>
        <v/>
      </c>
      <c r="CF52" s="90">
        <f>CF36*Supuestos!$D$10</f>
        <v/>
      </c>
      <c r="CG52" s="90">
        <f>CG36*Supuestos!$D$10</f>
        <v/>
      </c>
      <c r="CH52" s="90">
        <f>CH36*Supuestos!$D$10</f>
        <v/>
      </c>
      <c r="CI52" s="90">
        <f>CI36*Supuestos!$D$10</f>
        <v/>
      </c>
      <c r="CJ52" s="90">
        <f>CJ36*Supuestos!$D$10</f>
        <v/>
      </c>
      <c r="CK52" s="90">
        <f>CK36*Supuestos!$D$10</f>
        <v/>
      </c>
      <c r="CL52" s="90">
        <f>CL36*Supuestos!$D$10</f>
        <v/>
      </c>
      <c r="CM52" s="90">
        <f>CM36*Supuestos!$D$10</f>
        <v/>
      </c>
      <c r="CN52" s="90">
        <f>CN36*Supuestos!$D$10</f>
        <v/>
      </c>
      <c r="CO52" s="90">
        <f>CO36*Supuestos!$D$10</f>
        <v/>
      </c>
      <c r="CP52" s="90">
        <f>CP36*Supuestos!$D$10</f>
        <v/>
      </c>
      <c r="CQ52" s="162">
        <f>CQ36*Supuestos!$D$10</f>
        <v/>
      </c>
      <c r="CR52" s="90">
        <f>CR36*Supuestos!$D$10</f>
        <v/>
      </c>
      <c r="CS52" s="90">
        <f>CS36*Supuestos!$D$10</f>
        <v/>
      </c>
      <c r="CT52" s="90">
        <f>CT36*Supuestos!$D$10</f>
        <v/>
      </c>
      <c r="CU52" s="90">
        <f>CU36*Supuestos!$D$10</f>
        <v/>
      </c>
      <c r="CV52" s="90">
        <f>CV36*Supuestos!$D$10</f>
        <v/>
      </c>
      <c r="CW52" s="90">
        <f>CW36*Supuestos!$D$10</f>
        <v/>
      </c>
      <c r="CX52" s="90">
        <f>CX36*Supuestos!$D$10</f>
        <v/>
      </c>
      <c r="CY52" s="90">
        <f>CY36*Supuestos!$D$10</f>
        <v/>
      </c>
      <c r="CZ52" s="90">
        <f>CZ36*Supuestos!$D$10</f>
        <v/>
      </c>
      <c r="DA52" s="90">
        <f>DA36*Supuestos!$D$10</f>
        <v/>
      </c>
      <c r="DB52" s="90">
        <f>DB36*Supuestos!$D$10</f>
        <v/>
      </c>
      <c r="DC52" s="163">
        <f>DC36*Supuestos!$D$10</f>
        <v/>
      </c>
      <c r="DD52" s="90">
        <f>DD36*Supuestos!$D$10</f>
        <v/>
      </c>
      <c r="DE52" s="90">
        <f>DE36*Supuestos!$D$10</f>
        <v/>
      </c>
      <c r="DF52" s="90">
        <f>DF36*Supuestos!$D$10</f>
        <v/>
      </c>
      <c r="DG52" s="90">
        <f>DG36*Supuestos!$D$10</f>
        <v/>
      </c>
      <c r="DH52" s="90">
        <f>DH36*Supuestos!$D$10</f>
        <v/>
      </c>
      <c r="DI52" s="90">
        <f>DI36*Supuestos!$D$10</f>
        <v/>
      </c>
      <c r="DJ52" s="90">
        <f>DJ36*Supuestos!$D$10</f>
        <v/>
      </c>
      <c r="DK52" s="90">
        <f>DK36*Supuestos!$D$10</f>
        <v/>
      </c>
      <c r="DL52" s="90">
        <f>DL36*Supuestos!$D$10</f>
        <v/>
      </c>
      <c r="DM52" s="90">
        <f>DM36*Supuestos!$D$10</f>
        <v/>
      </c>
      <c r="DN52" s="90">
        <f>DN36*Supuestos!$D$10</f>
        <v/>
      </c>
      <c r="DO52" s="90">
        <f>DO36*Supuestos!$D$10</f>
        <v/>
      </c>
      <c r="DP52" s="90">
        <f>DP36*Supuestos!$D$10</f>
        <v/>
      </c>
      <c r="DQ52" s="90">
        <f>DQ36*Supuestos!$D$10</f>
        <v/>
      </c>
      <c r="DR52" s="90">
        <f>DR36*Supuestos!$D$10</f>
        <v/>
      </c>
      <c r="DS52" s="90">
        <f>DS36*Supuestos!$D$10</f>
        <v/>
      </c>
      <c r="DT52" s="90">
        <f>DT36*Supuestos!$D$10</f>
        <v/>
      </c>
      <c r="DU52" s="90">
        <f>DU36*Supuestos!$D$10</f>
        <v/>
      </c>
      <c r="DV52" s="90">
        <f>DV36*Supuestos!$D$10</f>
        <v/>
      </c>
      <c r="DW52" s="90">
        <f>DW36*Supuestos!$D$10</f>
        <v/>
      </c>
      <c r="DX52" s="90">
        <f>DX36*Supuestos!$D$10</f>
        <v/>
      </c>
      <c r="DY52" s="90">
        <f>DY36*Supuestos!$D$10</f>
        <v/>
      </c>
      <c r="DZ52" s="90">
        <f>DZ36*Supuestos!$D$10</f>
        <v/>
      </c>
      <c r="EA52" s="90">
        <f>EA36*Supuestos!$D$10</f>
        <v/>
      </c>
      <c r="EB52" s="90">
        <f>EB36*Supuestos!$D$10</f>
        <v/>
      </c>
      <c r="EC52" s="90">
        <f>EC36*Supuestos!$D$10</f>
        <v/>
      </c>
      <c r="ED52" s="90">
        <f>ED36*Supuestos!$D$10</f>
        <v/>
      </c>
      <c r="EE52" s="90">
        <f>EE36*Supuestos!$D$10</f>
        <v/>
      </c>
      <c r="EF52" s="90">
        <f>EF36*Supuestos!$D$10</f>
        <v/>
      </c>
      <c r="EG52" s="90">
        <f>EG36*Supuestos!$D$10</f>
        <v/>
      </c>
      <c r="EH52" s="90">
        <f>EH36*Supuestos!$D$10</f>
        <v/>
      </c>
      <c r="EI52" s="90">
        <f>EI36*Supuestos!$D$10</f>
        <v/>
      </c>
      <c r="EJ52" s="90">
        <f>EJ36*Supuestos!$D$10</f>
        <v/>
      </c>
      <c r="EK52" s="90">
        <f>EK36*Supuestos!$D$10</f>
        <v/>
      </c>
      <c r="EL52" s="90">
        <f>EL36*Supuestos!$D$10</f>
        <v/>
      </c>
      <c r="EM52" s="90">
        <f>EM36*Supuestos!$D$10</f>
        <v/>
      </c>
      <c r="EN52" s="90">
        <f>EN36*Supuestos!$D$10</f>
        <v/>
      </c>
      <c r="EO52" s="90">
        <f>EO36*Supuestos!$D$10</f>
        <v/>
      </c>
      <c r="EP52" s="90">
        <f>EP36*Supuestos!$D$10</f>
        <v/>
      </c>
      <c r="EQ52" s="90">
        <f>EQ36*Supuestos!$D$10</f>
        <v/>
      </c>
      <c r="ER52" s="90">
        <f>ER36*Supuestos!$D$10</f>
        <v/>
      </c>
      <c r="ES52" s="90">
        <f>ES36*Supuestos!$D$10</f>
        <v/>
      </c>
      <c r="ET52" s="90">
        <f>ET36*Supuestos!$D$10</f>
        <v/>
      </c>
      <c r="EU52" s="90">
        <f>EU36*Supuestos!$D$10</f>
        <v/>
      </c>
      <c r="EV52" s="90">
        <f>EV36*Supuestos!$D$10</f>
        <v/>
      </c>
      <c r="EW52" s="90">
        <f>EW36*Supuestos!$D$10</f>
        <v/>
      </c>
      <c r="EX52" s="90">
        <f>EX36*Supuestos!$D$10</f>
        <v/>
      </c>
      <c r="EY52" s="90">
        <f>EY36*Supuestos!$D$10</f>
        <v/>
      </c>
      <c r="EZ52" s="90">
        <f>EZ36*Supuestos!$D$10</f>
        <v/>
      </c>
      <c r="FA52" s="90">
        <f>FA36*Supuestos!$D$10</f>
        <v/>
      </c>
    </row>
    <row r="53" ht="15.75" customHeight="1">
      <c r="A53" s="161" t="inlineStr">
        <is>
          <t>Colocaciones Propias</t>
        </is>
      </c>
      <c r="B53" s="90" t="n"/>
      <c r="C53" s="90" t="n"/>
      <c r="D53" s="90" t="n"/>
      <c r="E53" s="90" t="n"/>
      <c r="F53" s="90" t="n"/>
      <c r="G53" s="90" t="n"/>
      <c r="H53" s="90" t="n"/>
      <c r="I53" s="90" t="n"/>
      <c r="J53" s="90" t="n"/>
      <c r="K53" s="90" t="n"/>
      <c r="L53" s="90" t="n"/>
      <c r="M53" s="90" t="n"/>
      <c r="N53" s="90" t="n"/>
      <c r="O53" s="90" t="n"/>
      <c r="P53" s="90" t="n"/>
      <c r="Q53" s="90" t="n"/>
      <c r="R53" s="90" t="n"/>
      <c r="S53" s="90" t="n"/>
      <c r="T53" s="90" t="n"/>
      <c r="U53" s="90" t="n"/>
      <c r="V53" s="90" t="n"/>
      <c r="W53" s="90" t="n"/>
      <c r="X53" s="90" t="n"/>
      <c r="Y53" s="90" t="n"/>
      <c r="Z53" s="90" t="n"/>
      <c r="AA53" s="90" t="n"/>
      <c r="AB53" s="90" t="n"/>
      <c r="AC53" s="90" t="n"/>
      <c r="AD53" s="90" t="n"/>
      <c r="AE53" s="90" t="n"/>
      <c r="AF53" s="90" t="n"/>
      <c r="AG53" s="90" t="n"/>
      <c r="AH53" s="90" t="n"/>
      <c r="AI53" s="90" t="n"/>
      <c r="AJ53" s="90" t="n"/>
      <c r="AK53" s="90" t="n"/>
      <c r="AL53" s="90" t="n"/>
      <c r="AM53" s="90" t="n"/>
      <c r="AN53" s="90" t="n"/>
      <c r="AO53" s="90" t="n"/>
      <c r="AP53" s="90" t="n"/>
      <c r="AQ53" s="90" t="n"/>
      <c r="AR53" s="90" t="n"/>
      <c r="AS53" s="90" t="n"/>
      <c r="AT53" s="90" t="n"/>
      <c r="AU53" s="90" t="n"/>
      <c r="AV53" s="90" t="n"/>
      <c r="AW53" s="90" t="n"/>
      <c r="AX53" s="90" t="n"/>
      <c r="AY53" s="90" t="n"/>
      <c r="AZ53" s="90" t="n"/>
      <c r="BA53" s="90" t="n"/>
      <c r="BB53" s="90" t="n"/>
      <c r="BC53" s="90" t="n"/>
      <c r="BD53" s="90" t="n"/>
      <c r="BE53" s="90" t="n"/>
      <c r="BF53" s="90" t="n"/>
      <c r="BG53" s="90" t="n"/>
      <c r="BH53" s="90" t="n"/>
      <c r="BI53" s="90" t="n"/>
      <c r="BJ53" s="90" t="n"/>
      <c r="BK53" s="90" t="n"/>
      <c r="BL53" s="90" t="n"/>
      <c r="BM53" s="90" t="n"/>
      <c r="BN53" s="90" t="n"/>
      <c r="BO53" s="90" t="n"/>
      <c r="BP53" s="90" t="n"/>
      <c r="BQ53" s="90" t="n"/>
      <c r="BR53" s="90" t="n"/>
      <c r="BS53" s="90" t="n"/>
      <c r="BT53" s="90" t="n"/>
      <c r="BU53" s="90" t="n"/>
      <c r="BV53" s="90" t="n"/>
      <c r="BW53" s="90" t="n"/>
      <c r="BX53" s="90" t="n"/>
      <c r="BY53" s="90" t="n"/>
      <c r="BZ53" s="90" t="n"/>
      <c r="CA53" s="90" t="n"/>
      <c r="CB53" s="90" t="n"/>
      <c r="CC53" s="90" t="n"/>
      <c r="CD53" s="90" t="n"/>
      <c r="CE53" s="90" t="n"/>
      <c r="CF53" s="90" t="n"/>
      <c r="CG53" s="90" t="n"/>
      <c r="CH53" s="90" t="n">
        <v>0</v>
      </c>
      <c r="CI53" s="90" t="n">
        <v>0</v>
      </c>
      <c r="CJ53" s="90" t="n">
        <v>0</v>
      </c>
      <c r="CK53" s="90" t="n">
        <v>0</v>
      </c>
      <c r="CL53" s="90" t="n">
        <v>0</v>
      </c>
      <c r="CM53" s="90" t="n">
        <v>0</v>
      </c>
      <c r="CN53" s="90" t="n">
        <v>0</v>
      </c>
      <c r="CO53" s="90" t="n">
        <v>0</v>
      </c>
      <c r="CP53" s="90" t="n"/>
      <c r="CQ53" s="162" t="n">
        <v>0</v>
      </c>
      <c r="CR53" s="95" t="n"/>
      <c r="CS53" s="161" t="n"/>
      <c r="CT53" s="90" t="n"/>
      <c r="CU53" s="90" t="n"/>
      <c r="CV53" s="90" t="n"/>
      <c r="CW53" s="90">
        <f t="array" ref="CW53:DE53">TRANSPOSE('Crédito Syscap'!C2:C10)</f>
        <v/>
      </c>
      <c r="CX53" s="90" t="n">
        <v>15000000</v>
      </c>
      <c r="CY53" s="90" t="n">
        <v>15000000</v>
      </c>
      <c r="CZ53" s="90" t="n">
        <v>0</v>
      </c>
      <c r="DA53" s="90" t="n">
        <v>0</v>
      </c>
      <c r="DB53" s="90" t="n">
        <v>0</v>
      </c>
      <c r="DC53" s="163" t="n">
        <v>0</v>
      </c>
      <c r="DD53" s="90" t="n">
        <v>0</v>
      </c>
      <c r="DE53" s="90" t="n">
        <v>0</v>
      </c>
      <c r="DF53" s="90" t="n"/>
      <c r="DG53" s="90" t="n"/>
      <c r="DH53" s="90" t="n"/>
      <c r="DI53" s="90" t="n"/>
      <c r="DJ53" s="90" t="n"/>
      <c r="DK53" s="90" t="n"/>
      <c r="DL53" s="90" t="n"/>
      <c r="DM53" s="90" t="n"/>
      <c r="DN53" s="90" t="n"/>
      <c r="DO53" s="90" t="n"/>
      <c r="DP53" s="90" t="n"/>
      <c r="DQ53" s="90" t="n"/>
      <c r="DR53" s="90" t="n"/>
      <c r="DS53" s="90" t="n"/>
      <c r="DT53" s="90" t="n"/>
      <c r="DU53" s="90" t="n"/>
      <c r="DV53" s="90" t="n"/>
      <c r="DW53" s="90" t="n"/>
      <c r="DX53" s="90" t="n"/>
      <c r="DY53" s="90" t="n"/>
      <c r="DZ53" s="90" t="n"/>
      <c r="EA53" s="90" t="n"/>
      <c r="EB53" s="90" t="n"/>
      <c r="EC53" s="90" t="n"/>
      <c r="ED53" s="90" t="n"/>
      <c r="EE53" s="90" t="n"/>
      <c r="EF53" s="90" t="n"/>
      <c r="EG53" s="90" t="n"/>
      <c r="EH53" s="90" t="n"/>
      <c r="EI53" s="90" t="n"/>
      <c r="EJ53" s="90" t="n"/>
      <c r="EK53" s="90" t="n"/>
      <c r="EL53" s="90" t="n"/>
      <c r="EM53" s="90" t="n"/>
      <c r="EN53" s="90" t="n"/>
      <c r="EO53" s="90" t="n"/>
      <c r="EP53" s="90" t="n"/>
      <c r="EQ53" s="90" t="n"/>
      <c r="ER53" s="90" t="n"/>
      <c r="ES53" s="90" t="n"/>
      <c r="ET53" s="90" t="n"/>
      <c r="EU53" s="90" t="n"/>
      <c r="EV53" s="90" t="n"/>
      <c r="EW53" s="90" t="n"/>
      <c r="EX53" s="90" t="n"/>
      <c r="EY53" s="90" t="n"/>
      <c r="EZ53" s="90" t="n"/>
      <c r="FA53" s="90" t="n"/>
    </row>
    <row r="54" ht="15.75" customHeight="1">
      <c r="A54" s="161" t="inlineStr">
        <is>
          <t>Colocaciones Propias</t>
        </is>
      </c>
      <c r="B54" s="90" t="n"/>
      <c r="C54" s="90" t="n"/>
      <c r="D54" s="90" t="n"/>
      <c r="E54" s="90" t="n"/>
      <c r="F54" s="90" t="n"/>
      <c r="G54" s="90" t="n"/>
      <c r="H54" s="90" t="n"/>
      <c r="I54" s="90" t="n"/>
      <c r="J54" s="90" t="n"/>
      <c r="K54" s="90" t="n"/>
      <c r="L54" s="90" t="n"/>
      <c r="M54" s="90" t="n"/>
      <c r="N54" s="90" t="n"/>
      <c r="O54" s="90" t="n"/>
      <c r="P54" s="90" t="n"/>
      <c r="Q54" s="90" t="n"/>
      <c r="R54" s="90" t="n"/>
      <c r="S54" s="90" t="n"/>
      <c r="T54" s="90" t="n"/>
      <c r="U54" s="90" t="n"/>
      <c r="V54" s="90" t="n"/>
      <c r="W54" s="90" t="n"/>
      <c r="X54" s="90" t="n"/>
      <c r="Y54" s="90" t="n"/>
      <c r="Z54" s="90" t="n"/>
      <c r="AA54" s="90" t="n"/>
      <c r="AB54" s="90" t="n"/>
      <c r="AC54" s="90" t="n"/>
      <c r="AD54" s="90" t="n"/>
      <c r="AE54" s="90" t="n"/>
      <c r="AF54" s="90" t="n"/>
      <c r="AG54" s="90" t="n"/>
      <c r="AH54" s="90" t="n"/>
      <c r="AI54" s="90" t="n"/>
      <c r="AJ54" s="90" t="n"/>
      <c r="AK54" s="90" t="n"/>
      <c r="AL54" s="90" t="n"/>
      <c r="AM54" s="90" t="n"/>
      <c r="AN54" s="90" t="n"/>
      <c r="AO54" s="90" t="n"/>
      <c r="AP54" s="90" t="n"/>
      <c r="AQ54" s="90" t="n"/>
      <c r="AR54" s="90" t="n"/>
      <c r="AS54" s="90" t="n"/>
      <c r="AT54" s="90" t="n"/>
      <c r="AU54" s="90" t="n"/>
      <c r="AV54" s="90" t="n"/>
      <c r="AW54" s="90" t="n"/>
      <c r="AX54" s="90" t="n"/>
      <c r="AY54" s="90" t="n"/>
      <c r="AZ54" s="90" t="n"/>
      <c r="BA54" s="90" t="n"/>
      <c r="BB54" s="90" t="n"/>
      <c r="BC54" s="90" t="n"/>
      <c r="BD54" s="90" t="n"/>
      <c r="BE54" s="90" t="n"/>
      <c r="BF54" s="90" t="n"/>
      <c r="BG54" s="90" t="n"/>
      <c r="BH54" s="90" t="n"/>
      <c r="BI54" s="90" t="n"/>
      <c r="BJ54" s="90" t="n"/>
      <c r="BK54" s="90" t="n"/>
      <c r="BL54" s="90" t="n"/>
      <c r="BM54" s="90" t="n"/>
      <c r="BN54" s="90" t="n"/>
      <c r="BO54" s="90" t="n"/>
      <c r="BP54" s="90" t="n"/>
      <c r="BQ54" s="90" t="n"/>
      <c r="BR54" s="90" t="n"/>
      <c r="BS54" s="90" t="n"/>
      <c r="BT54" s="90" t="n"/>
      <c r="BU54" s="90" t="n"/>
      <c r="BV54" s="90" t="n"/>
      <c r="BW54" s="90" t="n"/>
      <c r="BX54" s="90" t="n"/>
      <c r="BY54" s="90" t="n"/>
      <c r="BZ54" s="90" t="n"/>
      <c r="CA54" s="90" t="n"/>
      <c r="CB54" s="90" t="n"/>
      <c r="CC54" s="90" t="n"/>
      <c r="CD54" s="90" t="n"/>
      <c r="CE54" s="90" t="n"/>
      <c r="CF54" s="90" t="n"/>
      <c r="CG54" s="90" t="n"/>
      <c r="CH54" s="90" t="n">
        <v>0</v>
      </c>
      <c r="CI54" s="90" t="n">
        <v>0</v>
      </c>
      <c r="CJ54" s="90" t="n">
        <v>0</v>
      </c>
      <c r="CK54" s="90" t="n">
        <v>0</v>
      </c>
      <c r="CL54" s="90" t="n">
        <v>0</v>
      </c>
      <c r="CM54" s="90" t="n">
        <v>0</v>
      </c>
      <c r="CN54" s="90" t="n">
        <v>0</v>
      </c>
      <c r="CO54" s="90" t="n">
        <v>0</v>
      </c>
      <c r="CP54" s="90">
        <f>Supuestos!$B$3</f>
        <v/>
      </c>
      <c r="CQ54" s="162" t="n">
        <v>0</v>
      </c>
      <c r="CR54" s="95">
        <f>Supuestos!D5</f>
        <v/>
      </c>
      <c r="CS54" s="161" t="n"/>
      <c r="CT54" s="90" t="n"/>
      <c r="CU54" s="90">
        <f t="array" ref="CU54:DC54">TRANSPOSE('Crédito Syscap'!C2:C10)</f>
        <v/>
      </c>
      <c r="CV54" s="90" t="n">
        <v>15000000</v>
      </c>
      <c r="CW54" s="90" t="n">
        <v>15000000</v>
      </c>
      <c r="CX54" s="90" t="n">
        <v>0</v>
      </c>
      <c r="CY54" s="90" t="n">
        <v>0</v>
      </c>
      <c r="CZ54" s="90" t="n">
        <v>0</v>
      </c>
      <c r="DA54" s="90" t="n">
        <v>0</v>
      </c>
      <c r="DB54" s="90" t="n">
        <v>0</v>
      </c>
      <c r="DC54" s="163" t="n">
        <v>0</v>
      </c>
      <c r="DD54" s="90" t="n"/>
      <c r="DE54" s="90" t="n"/>
      <c r="DF54" s="90" t="n"/>
      <c r="DG54" s="90" t="n"/>
      <c r="DH54" s="90" t="n"/>
      <c r="DI54" s="90" t="n"/>
      <c r="DJ54" s="90" t="n"/>
      <c r="DK54" s="90" t="n"/>
      <c r="DL54" s="90" t="n"/>
      <c r="DM54" s="90" t="n"/>
      <c r="DN54" s="90" t="n"/>
      <c r="DO54" s="90" t="n"/>
      <c r="DP54" s="90" t="n"/>
      <c r="DQ54" s="90" t="n"/>
      <c r="DR54" s="90" t="n"/>
      <c r="DS54" s="90" t="n"/>
      <c r="DT54" s="90" t="n"/>
      <c r="DU54" s="90" t="n"/>
      <c r="DV54" s="90" t="n"/>
      <c r="DW54" s="90" t="n"/>
      <c r="DX54" s="90" t="n"/>
      <c r="DY54" s="90" t="n"/>
      <c r="DZ54" s="90" t="n"/>
      <c r="EA54" s="90" t="n"/>
      <c r="EB54" s="90" t="n"/>
      <c r="EC54" s="90" t="n"/>
      <c r="ED54" s="90" t="n"/>
      <c r="EE54" s="90" t="n"/>
      <c r="EF54" s="90" t="n"/>
      <c r="EG54" s="90" t="n"/>
      <c r="EH54" s="90" t="n"/>
      <c r="EI54" s="90" t="n"/>
      <c r="EJ54" s="90" t="n"/>
      <c r="EK54" s="90" t="n"/>
      <c r="EL54" s="90" t="n"/>
      <c r="EM54" s="90" t="n"/>
      <c r="EN54" s="90" t="n"/>
      <c r="EO54" s="90" t="n"/>
      <c r="EP54" s="90" t="n"/>
      <c r="EQ54" s="90" t="n"/>
      <c r="ER54" s="90" t="n"/>
      <c r="ES54" s="90" t="n"/>
      <c r="ET54" s="90" t="n"/>
      <c r="EU54" s="90" t="n"/>
      <c r="EV54" s="90" t="n"/>
      <c r="EW54" s="90" t="n"/>
      <c r="EX54" s="90" t="n"/>
      <c r="EY54" s="90" t="n"/>
      <c r="EZ54" s="90" t="n"/>
      <c r="FA54" s="90" t="n"/>
    </row>
    <row r="55" ht="15.75" customHeight="1">
      <c r="A55" s="161" t="inlineStr">
        <is>
          <t>Cartera Propia Originada</t>
        </is>
      </c>
      <c r="B55" s="90" t="n"/>
      <c r="C55" s="90" t="n"/>
      <c r="D55" s="90" t="n"/>
      <c r="E55" s="90" t="n"/>
      <c r="F55" s="90" t="n"/>
      <c r="G55" s="90" t="n"/>
      <c r="H55" s="90" t="n"/>
      <c r="I55" s="90" t="n"/>
      <c r="J55" s="90" t="n"/>
      <c r="K55" s="90" t="n"/>
      <c r="L55" s="90" t="n"/>
      <c r="M55" s="90" t="n"/>
      <c r="N55" s="90" t="n"/>
      <c r="O55" s="90" t="n"/>
      <c r="P55" s="90" t="n"/>
      <c r="Q55" s="90" t="n"/>
      <c r="R55" s="90" t="n"/>
      <c r="S55" s="90" t="n"/>
      <c r="T55" s="90" t="n"/>
      <c r="U55" s="90" t="n"/>
      <c r="V55" s="90" t="n"/>
      <c r="W55" s="90" t="n"/>
      <c r="X55" s="90" t="n"/>
      <c r="Y55" s="90" t="n"/>
      <c r="Z55" s="90" t="n"/>
      <c r="AA55" s="90" t="n"/>
      <c r="AB55" s="90" t="n"/>
      <c r="AC55" s="90" t="n"/>
      <c r="AD55" s="90" t="n"/>
      <c r="AE55" s="90" t="n"/>
      <c r="AF55" s="90" t="n"/>
      <c r="AG55" s="90" t="n"/>
      <c r="AH55" s="90" t="n"/>
      <c r="AI55" s="90" t="n"/>
      <c r="AJ55" s="90" t="n"/>
      <c r="AK55" s="90" t="n"/>
      <c r="AL55" s="90" t="n"/>
      <c r="AM55" s="90" t="n"/>
      <c r="AN55" s="90" t="n"/>
      <c r="AO55" s="90" t="n"/>
      <c r="AP55" s="90" t="n"/>
      <c r="AQ55" s="90" t="n"/>
      <c r="AR55" s="90" t="n"/>
      <c r="AS55" s="90" t="n"/>
      <c r="AT55" s="90" t="n"/>
      <c r="AU55" s="90" t="n"/>
      <c r="AV55" s="90" t="n"/>
      <c r="AW55" s="90" t="n"/>
      <c r="AX55" s="90" t="n"/>
      <c r="AY55" s="90" t="n"/>
      <c r="AZ55" s="90" t="n"/>
      <c r="BA55" s="90" t="n"/>
      <c r="BB55" s="90" t="n"/>
      <c r="BC55" s="90" t="n"/>
      <c r="BD55" s="90" t="n"/>
      <c r="BE55" s="90" t="n"/>
      <c r="BF55" s="90" t="n"/>
      <c r="BG55" s="90" t="n"/>
      <c r="BH55" s="90" t="n"/>
      <c r="BI55" s="90" t="n"/>
      <c r="BJ55" s="90" t="n"/>
      <c r="BK55" s="90" t="n"/>
      <c r="BL55" s="90" t="n"/>
      <c r="BM55" s="90" t="n"/>
      <c r="BN55" s="90" t="n"/>
      <c r="BO55" s="90" t="n"/>
      <c r="BP55" s="90" t="n"/>
      <c r="BQ55" s="90" t="n"/>
      <c r="BR55" s="90" t="n"/>
      <c r="BS55" s="90" t="n"/>
      <c r="BT55" s="90" t="n"/>
      <c r="BU55" s="90" t="n"/>
      <c r="BV55" s="90" t="n"/>
      <c r="BW55" s="90" t="n"/>
      <c r="BX55" s="90" t="n"/>
      <c r="BY55" s="90" t="n"/>
      <c r="BZ55" s="90" t="n"/>
      <c r="CA55" s="90" t="n"/>
      <c r="CB55" s="90" t="n"/>
      <c r="CC55" s="90" t="n">
        <v>0</v>
      </c>
      <c r="CD55" s="90" t="n">
        <v>0</v>
      </c>
      <c r="CE55" s="90" t="n">
        <v>0</v>
      </c>
      <c r="CF55" s="90" t="n">
        <v>0</v>
      </c>
      <c r="CG55" s="90" t="n">
        <v>0</v>
      </c>
      <c r="CH55" s="90" t="n">
        <v>0</v>
      </c>
      <c r="CI55" s="90" t="n">
        <v>0</v>
      </c>
      <c r="CJ55" s="90" t="n">
        <v>0</v>
      </c>
      <c r="CK55" s="90" t="n">
        <v>0</v>
      </c>
      <c r="CL55" s="90" t="n">
        <v>0</v>
      </c>
      <c r="CM55" s="90" t="n">
        <v>0</v>
      </c>
      <c r="CN55" s="90" t="n">
        <v>0</v>
      </c>
      <c r="CO55" s="90" t="n">
        <v>0</v>
      </c>
      <c r="CP55" s="90">
        <f>CO55+CP54</f>
        <v/>
      </c>
      <c r="CQ55" s="162">
        <f>CP55+CQ54</f>
        <v/>
      </c>
      <c r="CR55" s="90">
        <f>CQ55+CR54</f>
        <v/>
      </c>
      <c r="CS55" s="90">
        <f>CR55+CS54+CS53</f>
        <v/>
      </c>
      <c r="CT55" s="90">
        <f>CS55+CT54+CT53</f>
        <v/>
      </c>
      <c r="CU55" s="90">
        <f>CT55+CU54+CU53</f>
        <v/>
      </c>
      <c r="CV55" s="90">
        <f>CU55+CV54+CV53</f>
        <v/>
      </c>
      <c r="CW55" s="90">
        <f>CV55+CW54+CW53</f>
        <v/>
      </c>
      <c r="CX55" s="90">
        <f>CW55+CX54+CX53</f>
        <v/>
      </c>
      <c r="CY55" s="90">
        <f>CX55+CY54+CY53</f>
        <v/>
      </c>
      <c r="CZ55" s="90">
        <f>CY55+CZ54+CZ53</f>
        <v/>
      </c>
      <c r="DA55" s="90">
        <f>CZ55+DA54</f>
        <v/>
      </c>
      <c r="DB55" s="90">
        <f>DA55+DB54</f>
        <v/>
      </c>
      <c r="DC55" s="163">
        <f>DB55+DC54</f>
        <v/>
      </c>
      <c r="DD55" s="90">
        <f>DC55+DD54</f>
        <v/>
      </c>
      <c r="DE55" s="90">
        <f>DD55+DE54</f>
        <v/>
      </c>
      <c r="DF55" s="90">
        <f>DE55+DF54</f>
        <v/>
      </c>
      <c r="DG55" s="90">
        <f>DF55+DG54</f>
        <v/>
      </c>
      <c r="DH55" s="90">
        <f>DG55+DH54</f>
        <v/>
      </c>
      <c r="DI55" s="90">
        <f>DH55+DI54</f>
        <v/>
      </c>
      <c r="DJ55" s="90">
        <f>DI55+DJ54</f>
        <v/>
      </c>
      <c r="DK55" s="90">
        <f>DJ55+DK54</f>
        <v/>
      </c>
      <c r="DL55" s="90">
        <f>DK55+DL54</f>
        <v/>
      </c>
      <c r="DM55" s="90">
        <f>DL55+DM54</f>
        <v/>
      </c>
      <c r="DN55" s="90">
        <f>DM55+DN54</f>
        <v/>
      </c>
      <c r="DO55" s="90">
        <f>DN55+DO54</f>
        <v/>
      </c>
      <c r="DP55" s="90">
        <f>DO55+DP54</f>
        <v/>
      </c>
      <c r="DQ55" s="90">
        <f>DP55+DQ54</f>
        <v/>
      </c>
      <c r="DR55" s="90">
        <f>DQ55+DR54</f>
        <v/>
      </c>
      <c r="DS55" s="90">
        <f>DR55+DS54</f>
        <v/>
      </c>
      <c r="DT55" s="90">
        <f>DS55+DT54</f>
        <v/>
      </c>
      <c r="DU55" s="90">
        <f>DT55+DU54</f>
        <v/>
      </c>
      <c r="DV55" s="90">
        <f>DU55+DV54</f>
        <v/>
      </c>
      <c r="DW55" s="90">
        <f>DV55+DW54</f>
        <v/>
      </c>
      <c r="DX55" s="90">
        <f>DW55+DX54</f>
        <v/>
      </c>
      <c r="DY55" s="90">
        <f>DX55+DY54</f>
        <v/>
      </c>
      <c r="DZ55" s="90">
        <f>DY55+DZ54</f>
        <v/>
      </c>
      <c r="EA55" s="90">
        <f>DZ55+EA54</f>
        <v/>
      </c>
      <c r="EB55" s="90">
        <f>EA55+EB54</f>
        <v/>
      </c>
      <c r="EC55" s="90">
        <f>EB55+EC54</f>
        <v/>
      </c>
      <c r="ED55" s="90">
        <f>EC55+ED54</f>
        <v/>
      </c>
      <c r="EE55" s="90">
        <f>ED55+EE54</f>
        <v/>
      </c>
      <c r="EF55" s="90">
        <f>EE55+EF54</f>
        <v/>
      </c>
      <c r="EG55" s="90">
        <f>EF55+EG54</f>
        <v/>
      </c>
      <c r="EH55" s="90">
        <f>EG55+EH54</f>
        <v/>
      </c>
      <c r="EI55" s="90">
        <f>EH55+EI54</f>
        <v/>
      </c>
      <c r="EJ55" s="90">
        <f>EI55+EJ54</f>
        <v/>
      </c>
      <c r="EK55" s="90">
        <f>EJ55+EK54</f>
        <v/>
      </c>
      <c r="EL55" s="90">
        <f>EK55+EL54</f>
        <v/>
      </c>
      <c r="EM55" s="90">
        <f>EL55+EM54</f>
        <v/>
      </c>
      <c r="EN55" s="90">
        <f>EM55+EN54</f>
        <v/>
      </c>
      <c r="EO55" s="90">
        <f>EN55+EO54</f>
        <v/>
      </c>
      <c r="EP55" s="90">
        <f>EO55+EP54</f>
        <v/>
      </c>
      <c r="EQ55" s="90">
        <f>EP55+EQ54</f>
        <v/>
      </c>
      <c r="ER55" s="90">
        <f>EQ55+ER54</f>
        <v/>
      </c>
      <c r="ES55" s="90">
        <f>ER55+ES54</f>
        <v/>
      </c>
      <c r="ET55" s="90">
        <f>ES55+ET54</f>
        <v/>
      </c>
      <c r="EU55" s="90">
        <f>ET55+EU54</f>
        <v/>
      </c>
      <c r="EV55" s="90">
        <f>EU55+EV54</f>
        <v/>
      </c>
      <c r="EW55" s="90">
        <f>EV55+EW54</f>
        <v/>
      </c>
      <c r="EX55" s="90">
        <f>EW55+EX54</f>
        <v/>
      </c>
      <c r="EY55" s="90">
        <f>EX55+EY54</f>
        <v/>
      </c>
      <c r="EZ55" s="90">
        <f>EY55+EZ54</f>
        <v/>
      </c>
      <c r="FA55" s="90">
        <f>EZ55+FA54</f>
        <v/>
      </c>
    </row>
    <row r="56" ht="15.75" customHeight="1">
      <c r="A56" s="89" t="inlineStr">
        <is>
          <t>Cartera Total</t>
        </is>
      </c>
      <c r="B56" s="152" t="n"/>
      <c r="C56" s="152" t="n"/>
      <c r="D56" s="152" t="n"/>
      <c r="E56" s="152" t="n"/>
      <c r="F56" s="152" t="n"/>
      <c r="G56" s="152" t="n"/>
      <c r="H56" s="152" t="n"/>
      <c r="I56" s="152" t="n"/>
      <c r="J56" s="152" t="n"/>
      <c r="K56" s="152" t="n"/>
      <c r="L56" s="152" t="n"/>
      <c r="M56" s="152" t="n"/>
      <c r="N56" s="152" t="n"/>
      <c r="O56" s="152" t="n"/>
      <c r="P56" s="152" t="n"/>
      <c r="Q56" s="152" t="n"/>
      <c r="R56" s="152" t="n"/>
      <c r="S56" s="152" t="n"/>
      <c r="T56" s="152" t="n"/>
      <c r="U56" s="152" t="n"/>
      <c r="V56" s="152" t="n"/>
      <c r="W56" s="152" t="n"/>
      <c r="X56" s="152" t="n"/>
      <c r="Y56" s="152" t="n"/>
      <c r="Z56" s="152" t="n"/>
      <c r="AA56" s="152" t="n"/>
      <c r="AB56" s="152" t="n"/>
      <c r="AC56" s="152" t="n"/>
      <c r="AD56" s="152" t="n"/>
      <c r="AE56" s="152" t="n"/>
      <c r="AF56" s="152" t="n"/>
      <c r="AG56" s="152" t="n"/>
      <c r="AH56" s="152" t="n"/>
      <c r="AI56" s="152" t="n"/>
      <c r="AJ56" s="152" t="n"/>
      <c r="AK56" s="152" t="n"/>
      <c r="AL56" s="152" t="n"/>
      <c r="AM56" s="152" t="n"/>
      <c r="AN56" s="152" t="n"/>
      <c r="AO56" s="152" t="n"/>
      <c r="AP56" s="152" t="n"/>
      <c r="AQ56" s="152" t="n"/>
      <c r="AR56" s="152" t="n"/>
      <c r="AS56" s="152" t="n"/>
      <c r="AT56" s="152" t="n"/>
      <c r="AU56" s="152" t="n"/>
      <c r="AV56" s="152" t="n"/>
      <c r="AW56" s="152" t="n"/>
      <c r="AX56" s="152" t="n"/>
      <c r="AY56" s="152" t="n"/>
      <c r="AZ56" s="152" t="n"/>
      <c r="BA56" s="152" t="n"/>
      <c r="BB56" s="152" t="n"/>
      <c r="BC56" s="152" t="n"/>
      <c r="BD56" s="152" t="n"/>
      <c r="BE56" s="152" t="n"/>
      <c r="BF56" s="152" t="n"/>
      <c r="BG56" s="152" t="n"/>
      <c r="BH56" s="152" t="n"/>
      <c r="BI56" s="152" t="n"/>
      <c r="BJ56" s="152" t="n"/>
      <c r="BK56" s="152" t="n"/>
      <c r="BL56" s="152" t="n"/>
      <c r="BM56" s="152" t="n"/>
      <c r="BN56" s="152" t="n"/>
      <c r="BO56" s="152" t="n"/>
      <c r="BP56" s="152" t="n"/>
      <c r="BQ56" s="152" t="n"/>
      <c r="BR56" s="152" t="n"/>
      <c r="BS56" s="152" t="n"/>
      <c r="BT56" s="152" t="n"/>
      <c r="BU56" s="152" t="n"/>
      <c r="BV56" s="152" t="n"/>
      <c r="BW56" s="152" t="n"/>
      <c r="BX56" s="152" t="n"/>
      <c r="BY56" s="152" t="n"/>
      <c r="BZ56" s="152" t="n"/>
      <c r="CA56" s="152" t="n"/>
      <c r="CB56" s="152" t="n"/>
      <c r="CC56" s="152" t="n"/>
      <c r="CD56" s="152" t="n"/>
      <c r="CE56" s="152" t="n"/>
      <c r="CF56" s="152" t="n"/>
      <c r="CG56" s="152" t="n"/>
      <c r="CH56" s="152">
        <f>CH55+CH52</f>
        <v/>
      </c>
      <c r="CI56" s="152">
        <f>CI55+CI52</f>
        <v/>
      </c>
      <c r="CJ56" s="152">
        <f>CJ55+CJ52</f>
        <v/>
      </c>
      <c r="CK56" s="152">
        <f>CK55+CK52</f>
        <v/>
      </c>
      <c r="CL56" s="152">
        <f>CL55+CL52</f>
        <v/>
      </c>
      <c r="CM56" s="152">
        <f>CM55+CM52</f>
        <v/>
      </c>
      <c r="CN56" s="152">
        <f>CN55+CN52</f>
        <v/>
      </c>
      <c r="CO56" s="152">
        <f>CO55+CO52</f>
        <v/>
      </c>
      <c r="CP56" s="152">
        <f>CP55+CP52</f>
        <v/>
      </c>
      <c r="CQ56" s="157">
        <f>CQ55+CQ52</f>
        <v/>
      </c>
      <c r="CR56" s="152">
        <f>CR55+CR52</f>
        <v/>
      </c>
      <c r="CS56" s="152">
        <f>CS55+CS52</f>
        <v/>
      </c>
      <c r="CT56" s="152">
        <f>CT55+CT52</f>
        <v/>
      </c>
      <c r="CU56" s="152">
        <f>CU55+CU52</f>
        <v/>
      </c>
      <c r="CV56" s="152">
        <f>CV55+CV52</f>
        <v/>
      </c>
      <c r="CW56" s="152">
        <f>CW55+CW52</f>
        <v/>
      </c>
      <c r="CX56" s="152">
        <f>CX55+CX52</f>
        <v/>
      </c>
      <c r="CY56" s="152">
        <f>CY55+CY52</f>
        <v/>
      </c>
      <c r="CZ56" s="152">
        <f>CZ55+CZ52</f>
        <v/>
      </c>
      <c r="DA56" s="152">
        <f>DA55+DA52</f>
        <v/>
      </c>
      <c r="DB56" s="152">
        <f>DB55+DB52</f>
        <v/>
      </c>
      <c r="DC56" s="158">
        <f>DC55+DC52</f>
        <v/>
      </c>
      <c r="DD56" s="152">
        <f>DD55+DD52</f>
        <v/>
      </c>
      <c r="DE56" s="152">
        <f>DE55+DE52</f>
        <v/>
      </c>
      <c r="DF56" s="152">
        <f>DF55+DF52</f>
        <v/>
      </c>
      <c r="DG56" s="152">
        <f>DG55+DG52</f>
        <v/>
      </c>
      <c r="DH56" s="152">
        <f>DH55+DH52</f>
        <v/>
      </c>
      <c r="DI56" s="152">
        <f>DI55+DI52</f>
        <v/>
      </c>
      <c r="DJ56" s="152">
        <f>DJ55+DJ52</f>
        <v/>
      </c>
      <c r="DK56" s="152">
        <f>DK55+DK52</f>
        <v/>
      </c>
      <c r="DL56" s="152">
        <f>DL55+DL52</f>
        <v/>
      </c>
      <c r="DM56" s="152">
        <f>DM55+DM52</f>
        <v/>
      </c>
      <c r="DN56" s="152">
        <f>DN55+DN52</f>
        <v/>
      </c>
      <c r="DO56" s="152">
        <f>DO55+DO52</f>
        <v/>
      </c>
      <c r="DP56" s="152">
        <f>DP55+DP52</f>
        <v/>
      </c>
      <c r="DQ56" s="152">
        <f>DQ55+DQ52</f>
        <v/>
      </c>
      <c r="DR56" s="152">
        <f>DR55+DR52</f>
        <v/>
      </c>
      <c r="DS56" s="152">
        <f>DS55+DS52</f>
        <v/>
      </c>
      <c r="DT56" s="152">
        <f>DT55+DT52</f>
        <v/>
      </c>
      <c r="DU56" s="152">
        <f>DU55+DU52</f>
        <v/>
      </c>
      <c r="DV56" s="152">
        <f>DV55+DV52</f>
        <v/>
      </c>
      <c r="DW56" s="152">
        <f>DW55+DW52</f>
        <v/>
      </c>
      <c r="DX56" s="152">
        <f>DX55+DX52</f>
        <v/>
      </c>
      <c r="DY56" s="152">
        <f>DY55+DY52</f>
        <v/>
      </c>
      <c r="DZ56" s="152">
        <f>DZ55+DZ52</f>
        <v/>
      </c>
      <c r="EA56" s="152">
        <f>EA55+EA52</f>
        <v/>
      </c>
      <c r="EB56" s="152">
        <f>EB55+EB52</f>
        <v/>
      </c>
      <c r="EC56" s="152">
        <f>EC55+EC52</f>
        <v/>
      </c>
      <c r="ED56" s="152">
        <f>ED55+ED52</f>
        <v/>
      </c>
      <c r="EE56" s="152">
        <f>EE55+EE52</f>
        <v/>
      </c>
      <c r="EF56" s="152">
        <f>EF55+EF52</f>
        <v/>
      </c>
      <c r="EG56" s="152">
        <f>EG55+EG52</f>
        <v/>
      </c>
      <c r="EH56" s="152">
        <f>EH55+EH52</f>
        <v/>
      </c>
      <c r="EI56" s="152">
        <f>EI55+EI52</f>
        <v/>
      </c>
      <c r="EJ56" s="152">
        <f>EJ55+EJ52</f>
        <v/>
      </c>
      <c r="EK56" s="152">
        <f>EK55+EK52</f>
        <v/>
      </c>
      <c r="EL56" s="152">
        <f>EL55+EL52</f>
        <v/>
      </c>
      <c r="EM56" s="152">
        <f>EM55+EM52</f>
        <v/>
      </c>
      <c r="EN56" s="152">
        <f>EN55+EN52</f>
        <v/>
      </c>
      <c r="EO56" s="152">
        <f>EO55+EO52</f>
        <v/>
      </c>
      <c r="EP56" s="152">
        <f>EP55+EP52</f>
        <v/>
      </c>
      <c r="EQ56" s="152">
        <f>EQ55+EQ52</f>
        <v/>
      </c>
      <c r="ER56" s="152">
        <f>ER55+ER52</f>
        <v/>
      </c>
      <c r="ES56" s="152">
        <f>ES55+ES52</f>
        <v/>
      </c>
      <c r="ET56" s="152">
        <f>ET55+ET52</f>
        <v/>
      </c>
      <c r="EU56" s="152">
        <f>EU55+EU52</f>
        <v/>
      </c>
      <c r="EV56" s="152">
        <f>EV55+EV52</f>
        <v/>
      </c>
      <c r="EW56" s="152">
        <f>EW55+EW52</f>
        <v/>
      </c>
      <c r="EX56" s="152">
        <f>EX55+EX52</f>
        <v/>
      </c>
      <c r="EY56" s="152">
        <f>EY55+EY52</f>
        <v/>
      </c>
      <c r="EZ56" s="152">
        <f>EZ55+EZ52</f>
        <v/>
      </c>
      <c r="FA56" s="152">
        <f>FA55+FA52</f>
        <v/>
      </c>
    </row>
    <row r="57" ht="15.75" customHeight="1">
      <c r="A57" s="89" t="n"/>
      <c r="B57" s="152" t="n"/>
      <c r="C57" s="152" t="n"/>
      <c r="D57" s="152" t="n"/>
      <c r="E57" s="152" t="n"/>
      <c r="F57" s="152" t="n"/>
      <c r="G57" s="152" t="n"/>
      <c r="H57" s="152" t="n"/>
      <c r="I57" s="152" t="n"/>
      <c r="J57" s="152" t="n"/>
      <c r="K57" s="152" t="n"/>
      <c r="L57" s="152" t="n"/>
      <c r="M57" s="152" t="n"/>
      <c r="N57" s="152" t="n"/>
      <c r="O57" s="152" t="n"/>
      <c r="P57" s="152" t="n"/>
      <c r="Q57" s="152" t="n"/>
      <c r="R57" s="152" t="n"/>
      <c r="S57" s="152" t="n"/>
      <c r="T57" s="152" t="n"/>
      <c r="U57" s="152" t="n"/>
      <c r="V57" s="152" t="n"/>
      <c r="W57" s="152" t="n"/>
      <c r="X57" s="152" t="n"/>
      <c r="Y57" s="152" t="n"/>
      <c r="Z57" s="152" t="n"/>
      <c r="AA57" s="152" t="n"/>
      <c r="AB57" s="152" t="n"/>
      <c r="AC57" s="152" t="n"/>
      <c r="AD57" s="152" t="n"/>
      <c r="AE57" s="152" t="n"/>
      <c r="AF57" s="152" t="n"/>
      <c r="AG57" s="152" t="n"/>
      <c r="AH57" s="152" t="n"/>
      <c r="AI57" s="152" t="n"/>
      <c r="AJ57" s="152" t="n"/>
      <c r="AK57" s="152" t="n"/>
      <c r="AL57" s="152" t="n"/>
      <c r="AM57" s="152" t="n"/>
      <c r="AN57" s="152" t="n"/>
      <c r="AO57" s="152" t="n"/>
      <c r="AP57" s="152" t="n"/>
      <c r="AQ57" s="152" t="n"/>
      <c r="AR57" s="152" t="n"/>
      <c r="AS57" s="152" t="n"/>
      <c r="AT57" s="152" t="n"/>
      <c r="AU57" s="152" t="n"/>
      <c r="AV57" s="152" t="n"/>
      <c r="AW57" s="152" t="n"/>
      <c r="AX57" s="152" t="n"/>
      <c r="AY57" s="152" t="n"/>
      <c r="AZ57" s="152" t="n"/>
      <c r="BA57" s="152" t="n"/>
      <c r="BB57" s="152" t="n"/>
      <c r="BC57" s="152" t="n"/>
      <c r="BD57" s="152" t="n"/>
      <c r="BE57" s="152" t="n"/>
      <c r="BF57" s="152" t="n"/>
      <c r="BG57" s="152" t="n"/>
      <c r="BH57" s="152" t="n"/>
      <c r="BI57" s="152" t="n"/>
      <c r="BJ57" s="152" t="n"/>
      <c r="BK57" s="152" t="n"/>
      <c r="BL57" s="152" t="n"/>
      <c r="BM57" s="152" t="n"/>
      <c r="BN57" s="152" t="n"/>
      <c r="BO57" s="152" t="n"/>
      <c r="BP57" s="152" t="n"/>
      <c r="BQ57" s="152" t="n"/>
      <c r="BR57" s="152" t="n"/>
      <c r="BS57" s="152" t="n"/>
      <c r="BT57" s="152" t="n"/>
      <c r="BU57" s="152" t="n"/>
      <c r="BV57" s="152" t="n"/>
      <c r="BW57" s="152" t="n"/>
      <c r="BX57" s="152" t="n"/>
      <c r="BY57" s="152" t="n"/>
      <c r="BZ57" s="152" t="n"/>
      <c r="CA57" s="152" t="n"/>
      <c r="CB57" s="152" t="n"/>
      <c r="CC57" s="152" t="n"/>
      <c r="CD57" s="152" t="n"/>
      <c r="CE57" s="152" t="n"/>
      <c r="CF57" s="152" t="n"/>
      <c r="CG57" s="152" t="n"/>
      <c r="CH57" s="152" t="n"/>
      <c r="CI57" s="152" t="n"/>
      <c r="CJ57" s="152" t="n"/>
      <c r="CK57" s="152" t="n"/>
      <c r="CL57" s="152" t="n"/>
      <c r="CM57" s="152" t="n"/>
      <c r="CN57" s="152" t="n"/>
      <c r="CO57" s="152" t="n"/>
      <c r="CP57" s="152" t="n"/>
      <c r="CQ57" s="157" t="n"/>
      <c r="CR57" s="166">
        <f>CR56/(CR39+CR56)</f>
        <v/>
      </c>
      <c r="CS57" s="166">
        <f>CS56/(CS39+CS56)</f>
        <v/>
      </c>
      <c r="CT57" s="166">
        <f>CT56/(CT39+CT56)</f>
        <v/>
      </c>
      <c r="CU57" s="166">
        <f>CU56/(CU39+CU56)</f>
        <v/>
      </c>
      <c r="CV57" s="166">
        <f>CV56/(CV39+CV56)</f>
        <v/>
      </c>
      <c r="CW57" s="166">
        <f>CW56/(CW39+CW56)</f>
        <v/>
      </c>
      <c r="CX57" s="166">
        <f>CX56/(CX39+CX56)</f>
        <v/>
      </c>
      <c r="CY57" s="166">
        <f>CY56/(CY39+CY56)</f>
        <v/>
      </c>
      <c r="CZ57" s="166">
        <f>CZ56/(CZ39+CZ56)</f>
        <v/>
      </c>
      <c r="DA57" s="166">
        <f>DA56/(DA39+DA56)</f>
        <v/>
      </c>
      <c r="DB57" s="166">
        <f>DB56/(DB39+DB56)</f>
        <v/>
      </c>
      <c r="DC57" s="166">
        <f>DC56/(DC39+DC56)</f>
        <v/>
      </c>
      <c r="DD57" s="166">
        <f>DD56/(DD39+DD56)</f>
        <v/>
      </c>
      <c r="DE57" s="166">
        <f>DE56/(DE39+DE56)</f>
        <v/>
      </c>
      <c r="DF57" s="166">
        <f>DF56/(DF39+DF56)</f>
        <v/>
      </c>
      <c r="DG57" s="166">
        <f>DG56/(DG39+DG56)</f>
        <v/>
      </c>
      <c r="DH57" s="166">
        <f>DH56/(DH39+DH56)</f>
        <v/>
      </c>
      <c r="DI57" s="166">
        <f>DI56/(DI39+DI56)</f>
        <v/>
      </c>
      <c r="DJ57" s="166">
        <f>DJ56/(DJ39+DJ56)</f>
        <v/>
      </c>
      <c r="DK57" s="166">
        <f>DK56/(DK39+DK56)</f>
        <v/>
      </c>
      <c r="DL57" s="166">
        <f>DL56/(DL39+DL56)</f>
        <v/>
      </c>
      <c r="DM57" s="166">
        <f>DM56/(DM39+DM56)</f>
        <v/>
      </c>
      <c r="DN57" s="166">
        <f>DN56/(DN39+DN56)</f>
        <v/>
      </c>
      <c r="DO57" s="166">
        <f>DO56/(DO39+DO56)</f>
        <v/>
      </c>
      <c r="DP57" s="166">
        <f>DP56/(DP39+DP56)</f>
        <v/>
      </c>
      <c r="DQ57" s="152" t="n"/>
      <c r="DR57" s="152" t="n"/>
      <c r="DS57" s="152" t="n"/>
      <c r="DT57" s="152" t="n"/>
      <c r="DU57" s="152" t="n"/>
      <c r="DV57" s="152" t="n"/>
      <c r="DW57" s="152" t="n"/>
      <c r="DX57" s="152" t="n"/>
      <c r="DY57" s="152" t="n"/>
      <c r="DZ57" s="152" t="n"/>
      <c r="EA57" s="152" t="n"/>
      <c r="EB57" s="152" t="n"/>
      <c r="EC57" s="152" t="n"/>
      <c r="ED57" s="152" t="n"/>
      <c r="EE57" s="152" t="n"/>
      <c r="EF57" s="152" t="n"/>
      <c r="EG57" s="152" t="n"/>
      <c r="EH57" s="152" t="n"/>
      <c r="EI57" s="152" t="n"/>
      <c r="EJ57" s="152" t="n"/>
      <c r="EK57" s="152" t="n"/>
      <c r="EL57" s="152" t="n"/>
      <c r="EM57" s="152" t="n"/>
      <c r="EN57" s="152" t="n"/>
      <c r="EO57" s="152" t="n"/>
      <c r="EP57" s="152" t="n"/>
      <c r="EQ57" s="152" t="n"/>
      <c r="ER57" s="152" t="n"/>
      <c r="ES57" s="152" t="n"/>
      <c r="ET57" s="152" t="n"/>
      <c r="EU57" s="152" t="n"/>
      <c r="EV57" s="152" t="n"/>
      <c r="EW57" s="152" t="n"/>
      <c r="EX57" s="152" t="n"/>
      <c r="EY57" s="152" t="n"/>
      <c r="EZ57" s="152" t="n"/>
      <c r="FA57" s="152" t="n"/>
    </row>
    <row r="58" ht="15.75" customHeight="1">
      <c r="A58" s="71" t="inlineStr">
        <is>
          <t>Estimación de pérdidas crediticias</t>
        </is>
      </c>
      <c r="BY58" s="90">
        <f>-BY52/BY39*BY37</f>
        <v/>
      </c>
      <c r="BZ58" s="90">
        <f>-BZ52/BZ39*BZ37</f>
        <v/>
      </c>
      <c r="CA58" s="90">
        <f>-CA52/CA39*CA37</f>
        <v/>
      </c>
      <c r="CB58" s="90">
        <f>-CB52/CB39*CB37</f>
        <v/>
      </c>
      <c r="CC58" s="90">
        <f>-CC52/CC39*CC37</f>
        <v/>
      </c>
      <c r="CD58" s="90">
        <f>-CD52/CD39*CD37</f>
        <v/>
      </c>
      <c r="CE58" s="90">
        <f>-CE52/CE39*CE37</f>
        <v/>
      </c>
      <c r="CF58" s="90">
        <f>-CF52/CF39*CF37</f>
        <v/>
      </c>
      <c r="CG58" s="90">
        <f>-CG52/CG39*CG37</f>
        <v/>
      </c>
      <c r="CH58" s="90">
        <f>-CH52/CH39*CH37</f>
        <v/>
      </c>
      <c r="CI58" s="90">
        <f>-CI52/CI39*CI37</f>
        <v/>
      </c>
      <c r="CJ58" s="90">
        <f>-CJ52/CJ39*CJ37</f>
        <v/>
      </c>
      <c r="CK58" s="90">
        <f>-CK52/CK39*CK37</f>
        <v/>
      </c>
      <c r="CL58" s="90">
        <f>-CL52/CL39*CL37</f>
        <v/>
      </c>
      <c r="CM58" s="90">
        <f>-CM52/CM39*CM37</f>
        <v/>
      </c>
      <c r="CN58" s="90">
        <f>-CN52/CN39*CN37</f>
        <v/>
      </c>
      <c r="CO58" s="90">
        <f>-CO52/CO39*CO37</f>
        <v/>
      </c>
      <c r="CP58" s="90">
        <f>-CP52/CP39*CP37</f>
        <v/>
      </c>
      <c r="CQ58" s="162">
        <f>-CQ52/CQ39*CQ37</f>
        <v/>
      </c>
      <c r="CR58" s="90" t="n">
        <v>0</v>
      </c>
      <c r="CS58" s="90" t="n">
        <v>0</v>
      </c>
      <c r="CT58" s="90" t="n">
        <v>0</v>
      </c>
      <c r="CU58" s="90" t="n">
        <v>0</v>
      </c>
      <c r="CV58" s="90" t="n">
        <v>0</v>
      </c>
      <c r="CW58" s="90" t="n">
        <v>0</v>
      </c>
      <c r="CX58" s="90" t="n">
        <v>0</v>
      </c>
      <c r="CY58" s="90" t="n">
        <v>0</v>
      </c>
      <c r="CZ58" s="90" t="n">
        <v>0</v>
      </c>
      <c r="DA58" s="90" t="n">
        <v>0</v>
      </c>
      <c r="DB58" s="90" t="n">
        <v>0</v>
      </c>
      <c r="DC58" s="90" t="n">
        <v>0</v>
      </c>
      <c r="DD58" s="90" t="n">
        <v>0</v>
      </c>
      <c r="DE58" s="90" t="n">
        <v>0</v>
      </c>
      <c r="DF58" s="90" t="n">
        <v>0</v>
      </c>
      <c r="DG58" s="90" t="n">
        <v>0</v>
      </c>
      <c r="DH58" s="90" t="n">
        <v>0</v>
      </c>
      <c r="DI58" s="90" t="n">
        <v>0</v>
      </c>
      <c r="DJ58" s="90" t="n">
        <v>0</v>
      </c>
      <c r="DK58" s="90" t="n">
        <v>0</v>
      </c>
      <c r="DL58" s="90" t="n">
        <v>0</v>
      </c>
      <c r="DM58" s="90" t="n">
        <v>0</v>
      </c>
      <c r="DN58" s="90" t="n">
        <v>0</v>
      </c>
      <c r="DO58" s="90" t="n">
        <v>0</v>
      </c>
      <c r="DP58" s="90" t="n">
        <v>0</v>
      </c>
      <c r="DQ58" s="90" t="n">
        <v>0</v>
      </c>
      <c r="DR58" s="90" t="n">
        <v>0</v>
      </c>
      <c r="DS58" s="90" t="n">
        <v>0</v>
      </c>
      <c r="DT58" s="90" t="n">
        <v>0</v>
      </c>
      <c r="DU58" s="90" t="n">
        <v>0</v>
      </c>
      <c r="DV58" s="90" t="n">
        <v>0</v>
      </c>
      <c r="DW58" s="90" t="n">
        <v>0</v>
      </c>
      <c r="DX58" s="90" t="n">
        <v>0</v>
      </c>
      <c r="DY58" s="90" t="n">
        <v>0</v>
      </c>
      <c r="DZ58" s="90" t="n">
        <v>0</v>
      </c>
      <c r="EA58" s="90" t="n">
        <v>0</v>
      </c>
      <c r="EB58" s="90" t="n">
        <v>0</v>
      </c>
      <c r="EC58" s="90" t="n">
        <v>0</v>
      </c>
      <c r="ED58" s="90" t="n">
        <v>0</v>
      </c>
      <c r="EE58" s="90" t="n">
        <v>0</v>
      </c>
      <c r="EF58" s="90" t="n">
        <v>0</v>
      </c>
      <c r="EG58" s="90" t="n">
        <v>0</v>
      </c>
      <c r="EH58" s="90" t="n">
        <v>0</v>
      </c>
      <c r="EI58" s="90" t="n">
        <v>0</v>
      </c>
      <c r="EJ58" s="90" t="n">
        <v>0</v>
      </c>
      <c r="EK58" s="90" t="n">
        <v>0</v>
      </c>
      <c r="EL58" s="90" t="n">
        <v>0</v>
      </c>
      <c r="EM58" s="90" t="n">
        <v>0</v>
      </c>
      <c r="EN58" s="90" t="n">
        <v>0</v>
      </c>
      <c r="EO58" s="90" t="n">
        <v>0</v>
      </c>
      <c r="EP58" s="90" t="n">
        <v>0</v>
      </c>
      <c r="EQ58" s="90" t="n">
        <v>0</v>
      </c>
      <c r="ER58" s="90" t="n">
        <v>0</v>
      </c>
      <c r="ES58" s="90" t="n">
        <v>0</v>
      </c>
      <c r="ET58" s="90" t="n">
        <v>0</v>
      </c>
      <c r="EU58" s="90" t="n">
        <v>0</v>
      </c>
      <c r="EV58" s="90" t="n">
        <v>0</v>
      </c>
      <c r="EW58" s="90" t="n">
        <v>0</v>
      </c>
      <c r="EX58" s="90" t="n">
        <v>0</v>
      </c>
      <c r="EY58" s="90" t="n">
        <v>0</v>
      </c>
      <c r="EZ58" s="90" t="n">
        <v>0</v>
      </c>
      <c r="FA58" s="90" t="n">
        <v>0</v>
      </c>
    </row>
    <row r="59" ht="15.75" customHeight="1">
      <c r="A59" s="71" t="inlineStr">
        <is>
          <t>Cuentas por cobrar, neto</t>
        </is>
      </c>
      <c r="BY59" s="90">
        <f>Supuestos!$D2</f>
        <v/>
      </c>
      <c r="BZ59" s="90">
        <f>Supuestos!$D2</f>
        <v/>
      </c>
      <c r="CA59" s="90">
        <f>Supuestos!$D2</f>
        <v/>
      </c>
      <c r="CB59" s="90">
        <f>Supuestos!$D2</f>
        <v/>
      </c>
      <c r="CC59" s="90">
        <f>Supuestos!$D2</f>
        <v/>
      </c>
      <c r="CD59" s="90">
        <f>Supuestos!$D2</f>
        <v/>
      </c>
      <c r="CE59" s="90">
        <f>Supuestos!$D2</f>
        <v/>
      </c>
      <c r="CF59" s="90">
        <f>Supuestos!$D2</f>
        <v/>
      </c>
      <c r="CG59" s="90">
        <f>Supuestos!$D2</f>
        <v/>
      </c>
      <c r="CH59" s="90">
        <f>Supuestos!$D2</f>
        <v/>
      </c>
      <c r="CI59" s="90">
        <f>Supuestos!$D2</f>
        <v/>
      </c>
      <c r="CJ59" s="90">
        <f>Supuestos!$D2</f>
        <v/>
      </c>
      <c r="CK59" s="90">
        <f>Supuestos!$D2</f>
        <v/>
      </c>
      <c r="CL59" s="90">
        <f>Supuestos!$D2</f>
        <v/>
      </c>
      <c r="CM59" s="90">
        <f>Supuestos!$D2</f>
        <v/>
      </c>
      <c r="CN59" s="90">
        <f>Supuestos!$D2</f>
        <v/>
      </c>
      <c r="CO59" s="90">
        <f>Supuestos!$D2</f>
        <v/>
      </c>
      <c r="CP59" s="90">
        <f>Supuestos!$D2</f>
        <v/>
      </c>
      <c r="CQ59" s="162">
        <f>Supuestos!$D2</f>
        <v/>
      </c>
      <c r="CR59" s="90">
        <f>Supuestos!$D2</f>
        <v/>
      </c>
      <c r="CS59" s="90">
        <f>Supuestos!$D2</f>
        <v/>
      </c>
      <c r="CT59" s="90">
        <f>Supuestos!$D2</f>
        <v/>
      </c>
      <c r="CU59" s="90">
        <f>Supuestos!$D2</f>
        <v/>
      </c>
      <c r="CV59" s="90">
        <f>Supuestos!$D2</f>
        <v/>
      </c>
      <c r="CW59" s="90">
        <f>Supuestos!$D2</f>
        <v/>
      </c>
      <c r="CX59" s="90">
        <f>Supuestos!$D2</f>
        <v/>
      </c>
      <c r="CY59" s="90">
        <f>Supuestos!$D2</f>
        <v/>
      </c>
      <c r="CZ59" s="90">
        <f>Supuestos!$D2</f>
        <v/>
      </c>
      <c r="DA59" s="90">
        <f>Supuestos!$D2</f>
        <v/>
      </c>
      <c r="DB59" s="90">
        <f>Supuestos!$D2</f>
        <v/>
      </c>
      <c r="DC59" s="163">
        <f>Supuestos!$D2</f>
        <v/>
      </c>
      <c r="DD59" s="90">
        <f>Supuestos!$D2</f>
        <v/>
      </c>
      <c r="DE59" s="90">
        <f>Supuestos!$D2</f>
        <v/>
      </c>
      <c r="DF59" s="90">
        <f>Supuestos!$D2</f>
        <v/>
      </c>
      <c r="DG59" s="90">
        <f>Supuestos!$D2</f>
        <v/>
      </c>
      <c r="DH59" s="90">
        <f>Supuestos!$D2</f>
        <v/>
      </c>
      <c r="DI59" s="90">
        <f>Supuestos!$D2</f>
        <v/>
      </c>
      <c r="DJ59" s="90">
        <f>Supuestos!$D2</f>
        <v/>
      </c>
      <c r="DK59" s="90">
        <f>Supuestos!$D2</f>
        <v/>
      </c>
      <c r="DL59" s="90">
        <f>Supuestos!$D2</f>
        <v/>
      </c>
      <c r="DM59" s="90">
        <f>Supuestos!$D2</f>
        <v/>
      </c>
      <c r="DN59" s="90">
        <f>Supuestos!$D2</f>
        <v/>
      </c>
      <c r="DO59" s="90">
        <f>Supuestos!$D2</f>
        <v/>
      </c>
      <c r="DP59" s="90">
        <f>Supuestos!$D2</f>
        <v/>
      </c>
      <c r="DQ59" s="90">
        <f>Supuestos!$D2</f>
        <v/>
      </c>
      <c r="DR59" s="90">
        <f>Supuestos!$D2</f>
        <v/>
      </c>
      <c r="DS59" s="90">
        <f>Supuestos!$D2</f>
        <v/>
      </c>
      <c r="DT59" s="90">
        <f>Supuestos!$D2</f>
        <v/>
      </c>
      <c r="DU59" s="90">
        <f>Supuestos!$D2</f>
        <v/>
      </c>
      <c r="DV59" s="90">
        <f>Supuestos!$D2</f>
        <v/>
      </c>
      <c r="DW59" s="90">
        <f>Supuestos!$D2</f>
        <v/>
      </c>
      <c r="DX59" s="90">
        <f>Supuestos!$D2</f>
        <v/>
      </c>
      <c r="DY59" s="90">
        <f>Supuestos!$D2</f>
        <v/>
      </c>
      <c r="DZ59" s="90">
        <f>Supuestos!$D2</f>
        <v/>
      </c>
      <c r="EA59" s="90">
        <f>Supuestos!$D2</f>
        <v/>
      </c>
      <c r="EB59" s="90">
        <f>Supuestos!$D2</f>
        <v/>
      </c>
      <c r="EC59" s="90">
        <f>Supuestos!$D2</f>
        <v/>
      </c>
      <c r="ED59" s="90">
        <f>Supuestos!$D2</f>
        <v/>
      </c>
      <c r="EE59" s="90">
        <f>Supuestos!$D2</f>
        <v/>
      </c>
      <c r="EF59" s="90">
        <f>Supuestos!$D2</f>
        <v/>
      </c>
      <c r="EG59" s="90">
        <f>Supuestos!$D2</f>
        <v/>
      </c>
      <c r="EH59" s="90">
        <f>Supuestos!$D2</f>
        <v/>
      </c>
      <c r="EI59" s="90">
        <f>Supuestos!$D2</f>
        <v/>
      </c>
      <c r="EJ59" s="90">
        <f>Supuestos!$D2</f>
        <v/>
      </c>
      <c r="EK59" s="90">
        <f>Supuestos!$D2</f>
        <v/>
      </c>
      <c r="EL59" s="90">
        <f>Supuestos!$D2</f>
        <v/>
      </c>
      <c r="EM59" s="90">
        <f>Supuestos!$D2</f>
        <v/>
      </c>
      <c r="EN59" s="90">
        <f>Supuestos!$D2</f>
        <v/>
      </c>
      <c r="EO59" s="90">
        <f>Supuestos!$D2</f>
        <v/>
      </c>
      <c r="EP59" s="90">
        <f>Supuestos!$D2</f>
        <v/>
      </c>
      <c r="EQ59" s="90">
        <f>Supuestos!$D2</f>
        <v/>
      </c>
      <c r="ER59" s="90">
        <f>Supuestos!$D2</f>
        <v/>
      </c>
      <c r="ES59" s="90">
        <f>Supuestos!$D2</f>
        <v/>
      </c>
      <c r="ET59" s="90">
        <f>Supuestos!$D2</f>
        <v/>
      </c>
      <c r="EU59" s="90">
        <f>Supuestos!$D2</f>
        <v/>
      </c>
      <c r="EV59" s="90">
        <f>Supuestos!$D2</f>
        <v/>
      </c>
      <c r="EW59" s="90">
        <f>Supuestos!$D2</f>
        <v/>
      </c>
      <c r="EX59" s="90">
        <f>Supuestos!$D2</f>
        <v/>
      </c>
      <c r="EY59" s="90">
        <f>Supuestos!$D2</f>
        <v/>
      </c>
      <c r="EZ59" s="90">
        <f>Supuestos!$D2</f>
        <v/>
      </c>
      <c r="FA59" s="90">
        <f>Supuestos!$D2</f>
        <v/>
      </c>
    </row>
    <row r="60" ht="15.75" customHeight="1">
      <c r="A60" s="71" t="inlineStr">
        <is>
          <t>Pagos anticipados y otros activos, neto</t>
        </is>
      </c>
      <c r="BY60" s="90">
        <f>Supuestos!$D3</f>
        <v/>
      </c>
      <c r="BZ60" s="90">
        <f>Supuestos!$D3</f>
        <v/>
      </c>
      <c r="CA60" s="90">
        <f>Supuestos!$D3</f>
        <v/>
      </c>
      <c r="CB60" s="90">
        <f>Supuestos!$D3</f>
        <v/>
      </c>
      <c r="CC60" s="90">
        <f>Supuestos!$D3</f>
        <v/>
      </c>
      <c r="CD60" s="90">
        <f>Supuestos!$D3</f>
        <v/>
      </c>
      <c r="CE60" s="90">
        <f>Supuestos!$D3</f>
        <v/>
      </c>
      <c r="CF60" s="90">
        <f>Supuestos!$D3</f>
        <v/>
      </c>
      <c r="CG60" s="90">
        <f>Supuestos!$D3</f>
        <v/>
      </c>
      <c r="CH60" s="90">
        <f>Supuestos!$D3</f>
        <v/>
      </c>
      <c r="CI60" s="90">
        <f>Supuestos!$D3</f>
        <v/>
      </c>
      <c r="CJ60" s="90">
        <f>Supuestos!$D3</f>
        <v/>
      </c>
      <c r="CK60" s="90">
        <f>Supuestos!$D3</f>
        <v/>
      </c>
      <c r="CL60" s="90">
        <f>Supuestos!$D3</f>
        <v/>
      </c>
      <c r="CM60" s="90">
        <f>Supuestos!$D3</f>
        <v/>
      </c>
      <c r="CN60" s="90">
        <f>Supuestos!$D3</f>
        <v/>
      </c>
      <c r="CO60" s="90">
        <f>Supuestos!$D3</f>
        <v/>
      </c>
      <c r="CP60" s="90">
        <f>Supuestos!$D3</f>
        <v/>
      </c>
      <c r="CQ60" s="162">
        <f>Supuestos!$D3</f>
        <v/>
      </c>
      <c r="CR60" s="90">
        <f>Supuestos!$D3</f>
        <v/>
      </c>
      <c r="CS60" s="90">
        <f>Supuestos!$D3</f>
        <v/>
      </c>
      <c r="CT60" s="90">
        <f>Supuestos!$D3</f>
        <v/>
      </c>
      <c r="CU60" s="90">
        <f>Supuestos!$D3</f>
        <v/>
      </c>
      <c r="CV60" s="90">
        <f>Supuestos!$D3</f>
        <v/>
      </c>
      <c r="CW60" s="90">
        <f>Supuestos!$D3</f>
        <v/>
      </c>
      <c r="CX60" s="90">
        <f>Supuestos!$D3</f>
        <v/>
      </c>
      <c r="CY60" s="90">
        <f>Supuestos!$D3</f>
        <v/>
      </c>
      <c r="CZ60" s="90">
        <f>Supuestos!$D3</f>
        <v/>
      </c>
      <c r="DA60" s="90">
        <f>Supuestos!$D3</f>
        <v/>
      </c>
      <c r="DB60" s="90">
        <f>Supuestos!$D3</f>
        <v/>
      </c>
      <c r="DC60" s="163">
        <f>Supuestos!$D3</f>
        <v/>
      </c>
      <c r="DD60" s="90">
        <f>Supuestos!$D3</f>
        <v/>
      </c>
      <c r="DE60" s="90">
        <f>Supuestos!$D3</f>
        <v/>
      </c>
      <c r="DF60" s="90">
        <f>Supuestos!$D3</f>
        <v/>
      </c>
      <c r="DG60" s="90">
        <f>Supuestos!$D3</f>
        <v/>
      </c>
      <c r="DH60" s="90">
        <f>Supuestos!$D3</f>
        <v/>
      </c>
      <c r="DI60" s="90">
        <f>Supuestos!$D3</f>
        <v/>
      </c>
      <c r="DJ60" s="90">
        <f>Supuestos!$D3</f>
        <v/>
      </c>
      <c r="DK60" s="90">
        <f>Supuestos!$D3</f>
        <v/>
      </c>
      <c r="DL60" s="90">
        <f>Supuestos!$D3</f>
        <v/>
      </c>
      <c r="DM60" s="90">
        <f>Supuestos!$D3</f>
        <v/>
      </c>
      <c r="DN60" s="90">
        <f>Supuestos!$D3</f>
        <v/>
      </c>
      <c r="DO60" s="90">
        <f>Supuestos!$D3</f>
        <v/>
      </c>
      <c r="DP60" s="90">
        <f>Supuestos!$D3</f>
        <v/>
      </c>
      <c r="DQ60" s="90">
        <f>Supuestos!$D3</f>
        <v/>
      </c>
      <c r="DR60" s="90">
        <f>Supuestos!$D3</f>
        <v/>
      </c>
      <c r="DS60" s="90">
        <f>Supuestos!$D3</f>
        <v/>
      </c>
      <c r="DT60" s="90">
        <f>Supuestos!$D3</f>
        <v/>
      </c>
      <c r="DU60" s="90">
        <f>Supuestos!$D3</f>
        <v/>
      </c>
      <c r="DV60" s="90">
        <f>Supuestos!$D3</f>
        <v/>
      </c>
      <c r="DW60" s="90">
        <f>Supuestos!$D3</f>
        <v/>
      </c>
      <c r="DX60" s="90">
        <f>Supuestos!$D3</f>
        <v/>
      </c>
      <c r="DY60" s="90">
        <f>Supuestos!$D3</f>
        <v/>
      </c>
      <c r="DZ60" s="90">
        <f>Supuestos!$D3</f>
        <v/>
      </c>
      <c r="EA60" s="90">
        <f>Supuestos!$D3</f>
        <v/>
      </c>
      <c r="EB60" s="90">
        <f>Supuestos!$D3</f>
        <v/>
      </c>
      <c r="EC60" s="90">
        <f>Supuestos!$D3</f>
        <v/>
      </c>
      <c r="ED60" s="90">
        <f>Supuestos!$D3</f>
        <v/>
      </c>
      <c r="EE60" s="90">
        <f>Supuestos!$D3</f>
        <v/>
      </c>
      <c r="EF60" s="90">
        <f>Supuestos!$D3</f>
        <v/>
      </c>
      <c r="EG60" s="90">
        <f>Supuestos!$D3</f>
        <v/>
      </c>
      <c r="EH60" s="90">
        <f>Supuestos!$D3</f>
        <v/>
      </c>
      <c r="EI60" s="90">
        <f>Supuestos!$D3</f>
        <v/>
      </c>
      <c r="EJ60" s="90">
        <f>Supuestos!$D3</f>
        <v/>
      </c>
      <c r="EK60" s="90">
        <f>Supuestos!$D3</f>
        <v/>
      </c>
      <c r="EL60" s="90">
        <f>Supuestos!$D3</f>
        <v/>
      </c>
      <c r="EM60" s="90">
        <f>Supuestos!$D3</f>
        <v/>
      </c>
      <c r="EN60" s="90">
        <f>Supuestos!$D3</f>
        <v/>
      </c>
      <c r="EO60" s="90">
        <f>Supuestos!$D3</f>
        <v/>
      </c>
      <c r="EP60" s="90">
        <f>Supuestos!$D3</f>
        <v/>
      </c>
      <c r="EQ60" s="90">
        <f>Supuestos!$D3</f>
        <v/>
      </c>
      <c r="ER60" s="90">
        <f>Supuestos!$D3</f>
        <v/>
      </c>
      <c r="ES60" s="90">
        <f>Supuestos!$D3</f>
        <v/>
      </c>
      <c r="ET60" s="90">
        <f>Supuestos!$D3</f>
        <v/>
      </c>
      <c r="EU60" s="90">
        <f>Supuestos!$D3</f>
        <v/>
      </c>
      <c r="EV60" s="90">
        <f>Supuestos!$D3</f>
        <v/>
      </c>
      <c r="EW60" s="90">
        <f>Supuestos!$D3</f>
        <v/>
      </c>
      <c r="EX60" s="90">
        <f>Supuestos!$D3</f>
        <v/>
      </c>
      <c r="EY60" s="90">
        <f>Supuestos!$D3</f>
        <v/>
      </c>
      <c r="EZ60" s="90">
        <f>Supuestos!$D3</f>
        <v/>
      </c>
      <c r="FA60" s="90">
        <f>Supuestos!$D3</f>
        <v/>
      </c>
    </row>
    <row r="61" ht="15.75" customHeight="1">
      <c r="A61" s="71" t="inlineStr">
        <is>
          <t>Propiedades, mobiliario y equipo, neto</t>
        </is>
      </c>
      <c r="BY61" s="90">
        <f>Supuestos!$D4</f>
        <v/>
      </c>
      <c r="BZ61" s="90">
        <f>Supuestos!$D4</f>
        <v/>
      </c>
      <c r="CA61" s="90">
        <f>Supuestos!$D4</f>
        <v/>
      </c>
      <c r="CB61" s="90">
        <f>Supuestos!$D4</f>
        <v/>
      </c>
      <c r="CC61" s="90">
        <f>Supuestos!$D4</f>
        <v/>
      </c>
      <c r="CD61" s="90">
        <f>Supuestos!$D4</f>
        <v/>
      </c>
      <c r="CE61" s="90">
        <f>Supuestos!$D4</f>
        <v/>
      </c>
      <c r="CF61" s="90">
        <f>Supuestos!$D4</f>
        <v/>
      </c>
      <c r="CG61" s="90">
        <f>Supuestos!$D4</f>
        <v/>
      </c>
      <c r="CH61" s="90">
        <f>Supuestos!$D4</f>
        <v/>
      </c>
      <c r="CI61" s="90">
        <f>Supuestos!$D4</f>
        <v/>
      </c>
      <c r="CJ61" s="90">
        <f>Supuestos!$D4</f>
        <v/>
      </c>
      <c r="CK61" s="90">
        <f>Supuestos!$D4</f>
        <v/>
      </c>
      <c r="CL61" s="90">
        <f>Supuestos!$D4</f>
        <v/>
      </c>
      <c r="CM61" s="90">
        <f>Supuestos!$D4</f>
        <v/>
      </c>
      <c r="CN61" s="90">
        <f>Supuestos!$D4</f>
        <v/>
      </c>
      <c r="CO61" s="90">
        <f>Supuestos!$D4</f>
        <v/>
      </c>
      <c r="CP61" s="90">
        <f>Supuestos!$D4</f>
        <v/>
      </c>
      <c r="CQ61" s="162">
        <f>Supuestos!$D4</f>
        <v/>
      </c>
      <c r="CR61" s="90">
        <f>Supuestos!$D4</f>
        <v/>
      </c>
      <c r="CS61" s="90">
        <f>Supuestos!$D4</f>
        <v/>
      </c>
      <c r="CT61" s="90">
        <f>Supuestos!$D4</f>
        <v/>
      </c>
      <c r="CU61" s="90">
        <f>Supuestos!$D4</f>
        <v/>
      </c>
      <c r="CV61" s="90">
        <f>Supuestos!$D4</f>
        <v/>
      </c>
      <c r="CW61" s="90">
        <f>Supuestos!$D4</f>
        <v/>
      </c>
      <c r="CX61" s="90">
        <f>Supuestos!$D4</f>
        <v/>
      </c>
      <c r="CY61" s="90">
        <f>Supuestos!$D4</f>
        <v/>
      </c>
      <c r="CZ61" s="90">
        <f>Supuestos!$D4</f>
        <v/>
      </c>
      <c r="DA61" s="90">
        <f>Supuestos!$D4</f>
        <v/>
      </c>
      <c r="DB61" s="90">
        <f>Supuestos!$D4</f>
        <v/>
      </c>
      <c r="DC61" s="163">
        <f>Supuestos!$D4</f>
        <v/>
      </c>
      <c r="DD61" s="90">
        <f>Supuestos!$D4</f>
        <v/>
      </c>
      <c r="DE61" s="90">
        <f>Supuestos!$D4</f>
        <v/>
      </c>
      <c r="DF61" s="90">
        <f>Supuestos!$D4</f>
        <v/>
      </c>
      <c r="DG61" s="90">
        <f>Supuestos!$D4</f>
        <v/>
      </c>
      <c r="DH61" s="90">
        <f>Supuestos!$D4</f>
        <v/>
      </c>
      <c r="DI61" s="90">
        <f>Supuestos!$D4</f>
        <v/>
      </c>
      <c r="DJ61" s="90">
        <f>Supuestos!$D4</f>
        <v/>
      </c>
      <c r="DK61" s="90">
        <f>Supuestos!$D4</f>
        <v/>
      </c>
      <c r="DL61" s="90">
        <f>Supuestos!$D4</f>
        <v/>
      </c>
      <c r="DM61" s="90">
        <f>Supuestos!$D4</f>
        <v/>
      </c>
      <c r="DN61" s="90">
        <f>Supuestos!$D4</f>
        <v/>
      </c>
      <c r="DO61" s="90">
        <f>Supuestos!$D4</f>
        <v/>
      </c>
      <c r="DP61" s="90">
        <f>Supuestos!$D4</f>
        <v/>
      </c>
      <c r="DQ61" s="90">
        <f>Supuestos!$D4</f>
        <v/>
      </c>
      <c r="DR61" s="90">
        <f>Supuestos!$D4</f>
        <v/>
      </c>
      <c r="DS61" s="90">
        <f>Supuestos!$D4</f>
        <v/>
      </c>
      <c r="DT61" s="90">
        <f>Supuestos!$D4</f>
        <v/>
      </c>
      <c r="DU61" s="90">
        <f>Supuestos!$D4</f>
        <v/>
      </c>
      <c r="DV61" s="90">
        <f>Supuestos!$D4</f>
        <v/>
      </c>
      <c r="DW61" s="90">
        <f>Supuestos!$D4</f>
        <v/>
      </c>
      <c r="DX61" s="90">
        <f>Supuestos!$D4</f>
        <v/>
      </c>
      <c r="DY61" s="90">
        <f>Supuestos!$D4</f>
        <v/>
      </c>
      <c r="DZ61" s="90">
        <f>Supuestos!$D4</f>
        <v/>
      </c>
      <c r="EA61" s="90">
        <f>Supuestos!$D4</f>
        <v/>
      </c>
      <c r="EB61" s="90">
        <f>Supuestos!$D4</f>
        <v/>
      </c>
      <c r="EC61" s="90">
        <f>Supuestos!$D4</f>
        <v/>
      </c>
      <c r="ED61" s="90">
        <f>Supuestos!$D4</f>
        <v/>
      </c>
      <c r="EE61" s="90">
        <f>Supuestos!$D4</f>
        <v/>
      </c>
      <c r="EF61" s="90">
        <f>Supuestos!$D4</f>
        <v/>
      </c>
      <c r="EG61" s="90">
        <f>Supuestos!$D4</f>
        <v/>
      </c>
      <c r="EH61" s="90">
        <f>Supuestos!$D4</f>
        <v/>
      </c>
      <c r="EI61" s="90">
        <f>Supuestos!$D4</f>
        <v/>
      </c>
      <c r="EJ61" s="90">
        <f>Supuestos!$D4</f>
        <v/>
      </c>
      <c r="EK61" s="90">
        <f>Supuestos!$D4</f>
        <v/>
      </c>
      <c r="EL61" s="90">
        <f>Supuestos!$D4</f>
        <v/>
      </c>
      <c r="EM61" s="90">
        <f>Supuestos!$D4</f>
        <v/>
      </c>
      <c r="EN61" s="90">
        <f>Supuestos!$D4</f>
        <v/>
      </c>
      <c r="EO61" s="90">
        <f>Supuestos!$D4</f>
        <v/>
      </c>
      <c r="EP61" s="90">
        <f>Supuestos!$D4</f>
        <v/>
      </c>
      <c r="EQ61" s="90">
        <f>Supuestos!$D4</f>
        <v/>
      </c>
      <c r="ER61" s="90">
        <f>Supuestos!$D4</f>
        <v/>
      </c>
      <c r="ES61" s="90">
        <f>Supuestos!$D4</f>
        <v/>
      </c>
      <c r="ET61" s="90">
        <f>Supuestos!$D4</f>
        <v/>
      </c>
      <c r="EU61" s="90">
        <f>Supuestos!$D4</f>
        <v/>
      </c>
      <c r="EV61" s="90">
        <f>Supuestos!$D4</f>
        <v/>
      </c>
      <c r="EW61" s="90">
        <f>Supuestos!$D4</f>
        <v/>
      </c>
      <c r="EX61" s="90">
        <f>Supuestos!$D4</f>
        <v/>
      </c>
      <c r="EY61" s="90">
        <f>Supuestos!$D4</f>
        <v/>
      </c>
      <c r="EZ61" s="90">
        <f>Supuestos!$D4</f>
        <v/>
      </c>
      <c r="FA61" s="90">
        <f>Supuestos!$D4</f>
        <v/>
      </c>
    </row>
    <row r="62" ht="15.75" customHeight="1">
      <c r="A62" s="71" t="inlineStr">
        <is>
          <t>Activo por impuestos a la utilidad diferidos, neto</t>
        </is>
      </c>
      <c r="BY62" s="90">
        <f>Supuestos!$D5</f>
        <v/>
      </c>
      <c r="BZ62" s="90">
        <f>Supuestos!$D5</f>
        <v/>
      </c>
      <c r="CA62" s="90">
        <f>Supuestos!$D5</f>
        <v/>
      </c>
      <c r="CB62" s="90">
        <f>Supuestos!$D5</f>
        <v/>
      </c>
      <c r="CC62" s="90">
        <f>Supuestos!$D5</f>
        <v/>
      </c>
      <c r="CD62" s="90">
        <f>Supuestos!$D5</f>
        <v/>
      </c>
      <c r="CE62" s="90">
        <f>Supuestos!$D5</f>
        <v/>
      </c>
      <c r="CF62" s="90">
        <f>Supuestos!$D5</f>
        <v/>
      </c>
      <c r="CG62" s="90">
        <f>Supuestos!$D5</f>
        <v/>
      </c>
      <c r="CH62" s="90" t="n">
        <v>325000</v>
      </c>
      <c r="CI62" s="90" t="n">
        <v>325000</v>
      </c>
      <c r="CJ62" s="90" t="n">
        <v>325000</v>
      </c>
      <c r="CK62" s="90" t="n">
        <v>325000</v>
      </c>
      <c r="CL62" s="90" t="n">
        <v>325000</v>
      </c>
      <c r="CM62" s="90" t="n">
        <v>325000</v>
      </c>
      <c r="CN62" s="90" t="n">
        <v>325000</v>
      </c>
      <c r="CO62" s="90" t="n">
        <v>325000</v>
      </c>
      <c r="CP62" s="90" t="n">
        <v>325000</v>
      </c>
      <c r="CQ62" s="162" t="n">
        <v>325000</v>
      </c>
      <c r="CR62" s="90" t="n">
        <v>325000</v>
      </c>
      <c r="CS62" s="90" t="n">
        <v>325000</v>
      </c>
      <c r="CT62" s="90" t="n">
        <v>325000</v>
      </c>
      <c r="CU62" s="90" t="n">
        <v>325000</v>
      </c>
      <c r="CV62" s="90" t="n">
        <v>325000</v>
      </c>
      <c r="CW62" s="90" t="n">
        <v>325000</v>
      </c>
      <c r="CX62" s="90" t="n">
        <v>325000</v>
      </c>
      <c r="CY62" s="90" t="n">
        <v>325000</v>
      </c>
      <c r="CZ62" s="90" t="n">
        <v>325000</v>
      </c>
      <c r="DA62" s="90">
        <f>Supuestos!$D5</f>
        <v/>
      </c>
      <c r="DB62" s="90">
        <f>Supuestos!$D5</f>
        <v/>
      </c>
      <c r="DC62" s="163">
        <f>Supuestos!$D5</f>
        <v/>
      </c>
      <c r="DD62" s="90">
        <f>Supuestos!$D5</f>
        <v/>
      </c>
      <c r="DE62" s="90">
        <f>Supuestos!$D5</f>
        <v/>
      </c>
      <c r="DF62" s="90">
        <f>Supuestos!$D5</f>
        <v/>
      </c>
      <c r="DG62" s="90">
        <f>Supuestos!$D5</f>
        <v/>
      </c>
      <c r="DH62" s="90">
        <f>Supuestos!$D5</f>
        <v/>
      </c>
      <c r="DI62" s="90">
        <f>Supuestos!$D5</f>
        <v/>
      </c>
      <c r="DJ62" s="90">
        <f>Supuestos!$D5</f>
        <v/>
      </c>
      <c r="DK62" s="90">
        <f>Supuestos!$D5</f>
        <v/>
      </c>
      <c r="DL62" s="90">
        <f>Supuestos!$D5</f>
        <v/>
      </c>
      <c r="DM62" s="90">
        <f>Supuestos!$D5</f>
        <v/>
      </c>
      <c r="DN62" s="90">
        <f>Supuestos!$D5</f>
        <v/>
      </c>
      <c r="DO62" s="90">
        <f>Supuestos!$D5</f>
        <v/>
      </c>
      <c r="DP62" s="90">
        <f>Supuestos!$D5</f>
        <v/>
      </c>
      <c r="DQ62" s="90">
        <f>Supuestos!$D5</f>
        <v/>
      </c>
      <c r="DR62" s="90">
        <f>Supuestos!$D5</f>
        <v/>
      </c>
      <c r="DS62" s="90">
        <f>Supuestos!$D5</f>
        <v/>
      </c>
      <c r="DT62" s="90">
        <f>Supuestos!$D5</f>
        <v/>
      </c>
      <c r="DU62" s="90">
        <f>Supuestos!$D5</f>
        <v/>
      </c>
      <c r="DV62" s="90">
        <f>Supuestos!$D5</f>
        <v/>
      </c>
      <c r="DW62" s="90">
        <f>Supuestos!$D5</f>
        <v/>
      </c>
      <c r="DX62" s="90">
        <f>Supuestos!$D5</f>
        <v/>
      </c>
      <c r="DY62" s="90">
        <f>Supuestos!$D5</f>
        <v/>
      </c>
      <c r="DZ62" s="90">
        <f>Supuestos!$D5</f>
        <v/>
      </c>
      <c r="EA62" s="90">
        <f>Supuestos!$D5</f>
        <v/>
      </c>
      <c r="EB62" s="90">
        <f>Supuestos!$D5</f>
        <v/>
      </c>
      <c r="EC62" s="90">
        <f>Supuestos!$D5</f>
        <v/>
      </c>
      <c r="ED62" s="90">
        <f>Supuestos!$D5</f>
        <v/>
      </c>
      <c r="EE62" s="90">
        <f>Supuestos!$D5</f>
        <v/>
      </c>
      <c r="EF62" s="90">
        <f>Supuestos!$D5</f>
        <v/>
      </c>
      <c r="EG62" s="90">
        <f>Supuestos!$D5</f>
        <v/>
      </c>
      <c r="EH62" s="90">
        <f>Supuestos!$D5</f>
        <v/>
      </c>
      <c r="EI62" s="90">
        <f>Supuestos!$D5</f>
        <v/>
      </c>
      <c r="EJ62" s="90">
        <f>Supuestos!$D5</f>
        <v/>
      </c>
      <c r="EK62" s="90">
        <f>Supuestos!$D5</f>
        <v/>
      </c>
      <c r="EL62" s="90">
        <f>Supuestos!$D5</f>
        <v/>
      </c>
      <c r="EM62" s="90">
        <f>Supuestos!$D5</f>
        <v/>
      </c>
      <c r="EN62" s="90">
        <f>Supuestos!$D5</f>
        <v/>
      </c>
      <c r="EO62" s="90">
        <f>Supuestos!$D5</f>
        <v/>
      </c>
      <c r="EP62" s="90">
        <f>Supuestos!$D5</f>
        <v/>
      </c>
      <c r="EQ62" s="90">
        <f>Supuestos!$D5</f>
        <v/>
      </c>
      <c r="ER62" s="90">
        <f>Supuestos!$D5</f>
        <v/>
      </c>
      <c r="ES62" s="90">
        <f>Supuestos!$D5</f>
        <v/>
      </c>
      <c r="ET62" s="90">
        <f>Supuestos!$D5</f>
        <v/>
      </c>
      <c r="EU62" s="90">
        <f>Supuestos!$D5</f>
        <v/>
      </c>
      <c r="EV62" s="90">
        <f>Supuestos!$D5</f>
        <v/>
      </c>
      <c r="EW62" s="90">
        <f>Supuestos!$D5</f>
        <v/>
      </c>
      <c r="EX62" s="90">
        <f>Supuestos!$D5</f>
        <v/>
      </c>
      <c r="EY62" s="90">
        <f>Supuestos!$D5</f>
        <v/>
      </c>
      <c r="EZ62" s="90">
        <f>Supuestos!$D5</f>
        <v/>
      </c>
      <c r="FA62" s="90">
        <f>Supuestos!$D5</f>
        <v/>
      </c>
    </row>
    <row r="63" ht="15.75" customHeight="1">
      <c r="A63" s="89" t="inlineStr">
        <is>
          <t>Total Activo</t>
        </is>
      </c>
      <c r="B63" s="89" t="n"/>
      <c r="C63" s="89" t="n"/>
      <c r="D63" s="89" t="n"/>
      <c r="E63" s="89" t="n"/>
      <c r="F63" s="89" t="n"/>
      <c r="G63" s="89" t="n"/>
      <c r="H63" s="89" t="n"/>
      <c r="I63" s="89" t="n"/>
      <c r="J63" s="89" t="n"/>
      <c r="K63" s="89" t="n"/>
      <c r="L63" s="89" t="n"/>
      <c r="M63" s="89" t="n"/>
      <c r="N63" s="89" t="n"/>
      <c r="O63" s="89" t="n"/>
      <c r="P63" s="89" t="n"/>
      <c r="Q63" s="89" t="n"/>
      <c r="R63" s="89" t="n"/>
      <c r="S63" s="89" t="n"/>
      <c r="T63" s="89" t="n"/>
      <c r="U63" s="89" t="n"/>
      <c r="V63" s="89" t="n"/>
      <c r="W63" s="89" t="n"/>
      <c r="X63" s="89" t="n"/>
      <c r="Y63" s="89" t="n"/>
      <c r="Z63" s="89" t="n"/>
      <c r="AA63" s="89" t="n"/>
      <c r="AB63" s="89" t="n"/>
      <c r="AC63" s="89" t="n"/>
      <c r="AD63" s="89" t="n"/>
      <c r="AE63" s="89" t="n"/>
      <c r="AF63" s="89" t="n"/>
      <c r="AG63" s="89" t="n"/>
      <c r="AH63" s="89" t="n"/>
      <c r="AI63" s="89" t="n"/>
      <c r="AJ63" s="89" t="n"/>
      <c r="AK63" s="89" t="n"/>
      <c r="AL63" s="89" t="n"/>
      <c r="AM63" s="89" t="n"/>
      <c r="AN63" s="89" t="n"/>
      <c r="AO63" s="89" t="n"/>
      <c r="AP63" s="89" t="n"/>
      <c r="AQ63" s="89" t="n"/>
      <c r="AR63" s="89" t="n"/>
      <c r="AS63" s="89" t="n"/>
      <c r="AT63" s="89" t="n"/>
      <c r="AU63" s="89" t="n"/>
      <c r="AV63" s="89" t="n"/>
      <c r="AW63" s="89" t="n"/>
      <c r="AX63" s="89" t="n"/>
      <c r="AY63" s="89" t="n"/>
      <c r="AZ63" s="89" t="n"/>
      <c r="BA63" s="89" t="n"/>
      <c r="BB63" s="89" t="n"/>
      <c r="BC63" s="89" t="n"/>
      <c r="BD63" s="89" t="n"/>
      <c r="BE63" s="89" t="n"/>
      <c r="BF63" s="89" t="n"/>
      <c r="BG63" s="89" t="n"/>
      <c r="BH63" s="89" t="n"/>
      <c r="BI63" s="89" t="n"/>
      <c r="BJ63" s="89" t="n"/>
      <c r="BK63" s="89" t="n"/>
      <c r="BL63" s="89" t="n"/>
      <c r="BM63" s="89" t="n"/>
      <c r="BN63" s="89" t="n"/>
      <c r="BO63" s="89" t="n"/>
      <c r="BP63" s="89" t="n"/>
      <c r="BQ63" s="89" t="n"/>
      <c r="BR63" s="89" t="n"/>
      <c r="BS63" s="89" t="n"/>
      <c r="BT63" s="89" t="n"/>
      <c r="BU63" s="89" t="n"/>
      <c r="BV63" s="89" t="n"/>
      <c r="BW63" s="89" t="n"/>
      <c r="BX63" s="89" t="n"/>
      <c r="BY63" s="152">
        <f>SUM(BY50:BY62)</f>
        <v/>
      </c>
      <c r="BZ63" s="152">
        <f>SUM(BZ50:BZ62)</f>
        <v/>
      </c>
      <c r="CA63" s="152">
        <f>SUM(CA50:CA62)</f>
        <v/>
      </c>
      <c r="CB63" s="152">
        <f>SUM(CB50:CB62)</f>
        <v/>
      </c>
      <c r="CC63" s="152">
        <f>SUM(CC50:CC62)</f>
        <v/>
      </c>
      <c r="CD63" s="152">
        <f>SUM(CD50:CD62)</f>
        <v/>
      </c>
      <c r="CE63" s="152">
        <f>SUM(CE50:CE62)</f>
        <v/>
      </c>
      <c r="CF63" s="152">
        <f>SUM(CF50:CF62)</f>
        <v/>
      </c>
      <c r="CG63" s="152">
        <f>SUM(CG50:CG62)</f>
        <v/>
      </c>
      <c r="CH63" s="152">
        <f>SUM(CH58:CH62)+CH55+CH50</f>
        <v/>
      </c>
      <c r="CI63" s="152">
        <f>SUM(CI58:CI62)+CI55+CI50</f>
        <v/>
      </c>
      <c r="CJ63" s="152">
        <f>SUM(CJ58:CJ62)+CJ55+CJ50</f>
        <v/>
      </c>
      <c r="CK63" s="152">
        <f>SUM(CK58:CK62)+CK55+CK50</f>
        <v/>
      </c>
      <c r="CL63" s="152">
        <f>SUM(CL58:CL62)+CL55+CL50</f>
        <v/>
      </c>
      <c r="CM63" s="152">
        <f>SUM(CM58:CM62)+CM55+CM50</f>
        <v/>
      </c>
      <c r="CN63" s="152">
        <f>SUM(CN58:CN62)+CN55+CN50</f>
        <v/>
      </c>
      <c r="CO63" s="152">
        <f>SUM(CO58:CO62)+CO55+CO50</f>
        <v/>
      </c>
      <c r="CP63" s="152">
        <f>SUM(CP58:CP62)+CP55+CP50</f>
        <v/>
      </c>
      <c r="CQ63" s="157">
        <f>SUM(CQ58:CQ62)+CQ55+CQ50</f>
        <v/>
      </c>
      <c r="CR63" s="152">
        <f>SUM(CR58:CR62)+CR55+CR50</f>
        <v/>
      </c>
      <c r="CS63" s="152">
        <f>SUM(CS58:CS62)+CS55+CS50</f>
        <v/>
      </c>
      <c r="CT63" s="152">
        <f>SUM(CT58:CT62)+CT55+CT50</f>
        <v/>
      </c>
      <c r="CU63" s="152">
        <f>SUM(CU58:CU62)+CU55+CU50</f>
        <v/>
      </c>
      <c r="CV63" s="152">
        <f>SUM(CV58:CV62)+CV55+CV50</f>
        <v/>
      </c>
      <c r="CW63" s="152">
        <f>SUM(CW58:CW62)+CW55+CW50</f>
        <v/>
      </c>
      <c r="CX63" s="152">
        <f>SUM(CX58:CX62)+CX55+CX50</f>
        <v/>
      </c>
      <c r="CY63" s="152">
        <f>SUM(CY58:CY62)+CY55+CY50</f>
        <v/>
      </c>
      <c r="CZ63" s="152">
        <f>SUM(CZ58:CZ62)+CZ55+CZ50</f>
        <v/>
      </c>
      <c r="DA63" s="152">
        <f>SUM(DA58:DA62)+DA55+DA50</f>
        <v/>
      </c>
      <c r="DB63" s="152">
        <f>SUM(DB58:DB62)+DB55+DB50</f>
        <v/>
      </c>
      <c r="DC63" s="158">
        <f>SUM(DC58:DC62)+DC55+DC50</f>
        <v/>
      </c>
      <c r="DD63" s="152">
        <f>SUM(DD58:DD62)+DD55+DD50</f>
        <v/>
      </c>
      <c r="DE63" s="152">
        <f>SUM(DE58:DE62)+DE55+DE50</f>
        <v/>
      </c>
      <c r="DF63" s="152">
        <f>SUM(DF58:DF62)+DF55+DF50</f>
        <v/>
      </c>
      <c r="DG63" s="152">
        <f>SUM(DG58:DG62)+DG55+DG50</f>
        <v/>
      </c>
      <c r="DH63" s="152">
        <f>SUM(DH58:DH62)+DH55+DH50</f>
        <v/>
      </c>
      <c r="DI63" s="152">
        <f>SUM(DI58:DI62)+DI55+DI50</f>
        <v/>
      </c>
      <c r="DJ63" s="152">
        <f>SUM(DJ58:DJ62)+DJ55+DJ50</f>
        <v/>
      </c>
      <c r="DK63" s="152">
        <f>SUM(DK58:DK62)+DK55+DK50</f>
        <v/>
      </c>
      <c r="DL63" s="152">
        <f>SUM(DL58:DL62)+DL55+DL50</f>
        <v/>
      </c>
      <c r="DM63" s="152">
        <f>SUM(DM58:DM62)+DM55+DM50</f>
        <v/>
      </c>
      <c r="DN63" s="152">
        <f>SUM(DN58:DN62)+DN55+DN50</f>
        <v/>
      </c>
      <c r="DO63" s="152">
        <f>SUM(DO58:DO62)+DO55+DO50</f>
        <v/>
      </c>
      <c r="DP63" s="152">
        <f>SUM(DP58:DP62)+DP55+DP50</f>
        <v/>
      </c>
      <c r="DQ63" s="152">
        <f>SUM(DQ58:DQ62)+DQ55+DQ50</f>
        <v/>
      </c>
      <c r="DR63" s="152">
        <f>SUM(DR58:DR62)+DR55+DR50</f>
        <v/>
      </c>
      <c r="DS63" s="152">
        <f>SUM(DS58:DS62)+DS55+DS50</f>
        <v/>
      </c>
      <c r="DT63" s="152">
        <f>SUM(DT58:DT62)+DT55+DT50</f>
        <v/>
      </c>
      <c r="DU63" s="152">
        <f>SUM(DU58:DU62)+DU55+DU50</f>
        <v/>
      </c>
      <c r="DV63" s="152">
        <f>SUM(DV58:DV62)+DV55+DV50</f>
        <v/>
      </c>
      <c r="DW63" s="152">
        <f>SUM(DW58:DW62)+DW55+DW50</f>
        <v/>
      </c>
      <c r="DX63" s="152">
        <f>SUM(DX58:DX62)+DX55+DX50</f>
        <v/>
      </c>
      <c r="DY63" s="152">
        <f>SUM(DY58:DY62)+DY55+DY50</f>
        <v/>
      </c>
      <c r="DZ63" s="152">
        <f>SUM(DZ58:DZ62)+DZ55+DZ50</f>
        <v/>
      </c>
      <c r="EA63" s="152">
        <f>SUM(EA58:EA62)+EA55+EA50</f>
        <v/>
      </c>
      <c r="EB63" s="152">
        <f>SUM(EB58:EB62)+EB55+EB50</f>
        <v/>
      </c>
      <c r="EC63" s="152">
        <f>SUM(EC58:EC62)+EC55+EC50</f>
        <v/>
      </c>
      <c r="ED63" s="152">
        <f>SUM(ED58:ED62)+ED55+ED50</f>
        <v/>
      </c>
      <c r="EE63" s="152">
        <f>SUM(EE58:EE62)+EE55+EE50</f>
        <v/>
      </c>
      <c r="EF63" s="152">
        <f>SUM(EF58:EF62)+EF55+EF50</f>
        <v/>
      </c>
      <c r="EG63" s="152">
        <f>SUM(EG58:EG62)+EG55+EG50</f>
        <v/>
      </c>
      <c r="EH63" s="152">
        <f>SUM(EH58:EH62)+EH55+EH50</f>
        <v/>
      </c>
      <c r="EI63" s="152">
        <f>SUM(EI58:EI62)+EI55+EI50</f>
        <v/>
      </c>
      <c r="EJ63" s="152">
        <f>SUM(EJ58:EJ62)+EJ55+EJ50</f>
        <v/>
      </c>
      <c r="EK63" s="152">
        <f>SUM(EK58:EK62)+EK55+EK50</f>
        <v/>
      </c>
      <c r="EL63" s="152">
        <f>SUM(EL58:EL62)+EL55+EL50</f>
        <v/>
      </c>
      <c r="EM63" s="152">
        <f>SUM(EM58:EM62)+EM55+EM50</f>
        <v/>
      </c>
      <c r="EN63" s="152">
        <f>SUM(EN58:EN62)+EN55+EN50</f>
        <v/>
      </c>
      <c r="EO63" s="152">
        <f>SUM(EO58:EO62)+EO55+EO50</f>
        <v/>
      </c>
      <c r="EP63" s="152">
        <f>SUM(EP58:EP62)+EP55+EP50</f>
        <v/>
      </c>
      <c r="EQ63" s="152">
        <f>SUM(EQ58:EQ62)+EQ55+EQ50</f>
        <v/>
      </c>
      <c r="ER63" s="152">
        <f>SUM(ER58:ER62)+ER55+ER50</f>
        <v/>
      </c>
      <c r="ES63" s="152">
        <f>SUM(ES58:ES62)+ES55+ES50</f>
        <v/>
      </c>
      <c r="ET63" s="152">
        <f>SUM(ET58:ET62)+ET55+ET50</f>
        <v/>
      </c>
      <c r="EU63" s="152">
        <f>SUM(EU58:EU62)+EU55+EU50</f>
        <v/>
      </c>
      <c r="EV63" s="152">
        <f>SUM(EV58:EV62)+EV55+EV50</f>
        <v/>
      </c>
      <c r="EW63" s="152">
        <f>SUM(EW58:EW62)+EW55+EW50</f>
        <v/>
      </c>
      <c r="EX63" s="152">
        <f>SUM(EX58:EX62)+EX55+EX50</f>
        <v/>
      </c>
      <c r="EY63" s="152">
        <f>SUM(EY58:EY62)+EY55+EY50</f>
        <v/>
      </c>
      <c r="EZ63" s="152">
        <f>SUM(EZ58:EZ62)+EZ55+EZ50</f>
        <v/>
      </c>
      <c r="FA63" s="152">
        <f>SUM(FA58:FA62)+FA55+FA50</f>
        <v/>
      </c>
    </row>
    <row r="64" ht="15.75" customHeight="1">
      <c r="BY64" s="90" t="n"/>
      <c r="BZ64" s="90" t="n"/>
      <c r="CA64" s="90" t="n"/>
      <c r="CB64" s="90" t="n"/>
      <c r="CC64" s="90" t="n"/>
      <c r="CD64" s="90" t="n"/>
      <c r="CE64" s="90" t="n"/>
      <c r="CF64" s="90" t="n"/>
      <c r="CG64" s="90" t="n"/>
      <c r="CH64" s="90" t="n"/>
      <c r="CI64" s="90" t="n"/>
      <c r="CJ64" s="90" t="n"/>
      <c r="CK64" s="90" t="n"/>
      <c r="CL64" s="90" t="n"/>
      <c r="CM64" s="90" t="n"/>
      <c r="CN64" s="90" t="n"/>
      <c r="CO64" s="90" t="n"/>
      <c r="CP64" s="90" t="n"/>
      <c r="CQ64" s="162" t="n"/>
      <c r="CR64" s="90" t="n"/>
      <c r="CS64" s="90" t="n"/>
      <c r="CT64" s="90" t="n"/>
      <c r="CU64" s="90" t="n"/>
      <c r="CV64" s="90" t="n"/>
      <c r="CW64" s="90" t="n"/>
      <c r="CX64" s="90" t="n"/>
      <c r="CY64" s="90" t="n"/>
      <c r="CZ64" s="90" t="n"/>
      <c r="DA64" s="90" t="n"/>
      <c r="DB64" s="90" t="n"/>
      <c r="DC64" s="163" t="n"/>
      <c r="DD64" s="90" t="n"/>
      <c r="DE64" s="90" t="n"/>
      <c r="DF64" s="90" t="n"/>
      <c r="DG64" s="90" t="n"/>
      <c r="DH64" s="90" t="n"/>
      <c r="DI64" s="90" t="n"/>
      <c r="DJ64" s="90" t="n"/>
      <c r="DK64" s="90" t="n"/>
      <c r="DL64" s="90" t="n"/>
      <c r="DM64" s="90" t="n"/>
      <c r="DN64" s="90" t="n"/>
      <c r="DO64" s="90" t="n"/>
      <c r="DP64" s="90" t="n"/>
      <c r="DQ64" s="90" t="n"/>
      <c r="DR64" s="90" t="n"/>
      <c r="DS64" s="90" t="n"/>
      <c r="DT64" s="90" t="n"/>
      <c r="DU64" s="90" t="n"/>
      <c r="DV64" s="90" t="n"/>
      <c r="DW64" s="90" t="n"/>
      <c r="DX64" s="90" t="n"/>
      <c r="DY64" s="90" t="n"/>
      <c r="DZ64" s="90" t="n"/>
      <c r="EA64" s="90" t="n"/>
      <c r="EB64" s="90" t="n"/>
      <c r="EC64" s="90" t="n"/>
      <c r="ED64" s="90" t="n"/>
      <c r="EE64" s="90" t="n"/>
      <c r="EF64" s="90" t="n"/>
      <c r="EG64" s="90" t="n"/>
      <c r="EH64" s="90" t="n"/>
      <c r="EI64" s="90" t="n"/>
      <c r="EJ64" s="90" t="n"/>
      <c r="EK64" s="90" t="n"/>
      <c r="EL64" s="90" t="n"/>
      <c r="EM64" s="90" t="n"/>
      <c r="EN64" s="90" t="n"/>
      <c r="EO64" s="90" t="n"/>
      <c r="EP64" s="90" t="n"/>
      <c r="EQ64" s="90" t="n"/>
      <c r="ER64" s="90" t="n"/>
      <c r="ES64" s="90" t="n"/>
      <c r="ET64" s="90" t="n"/>
      <c r="EU64" s="90" t="n"/>
      <c r="EV64" s="90" t="n"/>
      <c r="EW64" s="90" t="n"/>
      <c r="EX64" s="90" t="n"/>
      <c r="EY64" s="90" t="n"/>
      <c r="EZ64" s="90" t="n"/>
      <c r="FA64" s="90" t="n"/>
    </row>
    <row r="65" ht="15.75" customHeight="1">
      <c r="A65" s="71" t="inlineStr">
        <is>
          <t>Préstamos de corto plazo</t>
        </is>
      </c>
      <c r="BY65" s="90" t="n">
        <v>150000</v>
      </c>
      <c r="BZ65" s="90" t="n">
        <v>150000</v>
      </c>
      <c r="CA65" s="90" t="n">
        <v>150000</v>
      </c>
      <c r="CB65" s="90" t="n">
        <v>150000</v>
      </c>
      <c r="CC65" s="90" t="n">
        <v>150000</v>
      </c>
      <c r="CD65" s="90" t="n">
        <v>150000</v>
      </c>
      <c r="CE65" s="90" t="n">
        <v>150000</v>
      </c>
      <c r="CF65" s="90" t="n">
        <v>150000</v>
      </c>
      <c r="CG65" s="90" t="n">
        <v>150000</v>
      </c>
      <c r="CH65" s="90" t="n">
        <v>150000</v>
      </c>
      <c r="CI65" s="90" t="n">
        <v>150000</v>
      </c>
      <c r="CJ65" s="90" t="n">
        <v>150000</v>
      </c>
      <c r="CK65" s="90" t="n">
        <v>150000</v>
      </c>
      <c r="CL65" s="90" t="n">
        <v>150000</v>
      </c>
      <c r="CM65" s="90" t="n">
        <v>150000</v>
      </c>
      <c r="CN65" s="90" t="n">
        <v>150000</v>
      </c>
      <c r="CO65" s="90" t="n">
        <v>150000</v>
      </c>
      <c r="CP65" s="90" t="n">
        <v>150000</v>
      </c>
      <c r="CQ65" s="162" t="n">
        <v>150000</v>
      </c>
      <c r="CR65" s="90" t="n">
        <v>150000</v>
      </c>
      <c r="CS65" s="90" t="n">
        <v>150000</v>
      </c>
      <c r="CT65" s="90" t="n">
        <v>150000</v>
      </c>
      <c r="CU65" s="90" t="n">
        <v>150000</v>
      </c>
      <c r="CV65" s="90" t="n">
        <v>150000</v>
      </c>
      <c r="CW65" s="90" t="n">
        <v>150000</v>
      </c>
      <c r="CX65" s="90" t="n">
        <v>150000</v>
      </c>
      <c r="CY65" s="90" t="n">
        <v>150000</v>
      </c>
      <c r="CZ65" s="90" t="n">
        <v>150000</v>
      </c>
      <c r="DA65" s="90" t="n">
        <v>150000</v>
      </c>
      <c r="DB65" s="90" t="n">
        <v>150000</v>
      </c>
      <c r="DC65" s="163" t="n">
        <v>150000</v>
      </c>
      <c r="DD65" s="90" t="n">
        <v>150000</v>
      </c>
      <c r="DE65" s="90" t="n">
        <v>150000</v>
      </c>
      <c r="DF65" s="90" t="n">
        <v>150000</v>
      </c>
      <c r="DG65" s="90" t="n">
        <v>150000</v>
      </c>
      <c r="DH65" s="90" t="n">
        <v>150000</v>
      </c>
      <c r="DI65" s="90" t="n">
        <v>150000</v>
      </c>
      <c r="DJ65" s="90" t="n">
        <v>150000</v>
      </c>
      <c r="DK65" s="90" t="n">
        <v>150000</v>
      </c>
      <c r="DL65" s="90" t="n">
        <v>150000</v>
      </c>
      <c r="DM65" s="90" t="n">
        <v>150000</v>
      </c>
      <c r="DN65" s="90" t="n">
        <v>150000</v>
      </c>
      <c r="DO65" s="90" t="n">
        <v>150000</v>
      </c>
      <c r="DP65" s="90" t="n">
        <v>150000</v>
      </c>
      <c r="DQ65" s="90" t="n">
        <v>150000</v>
      </c>
      <c r="DR65" s="90" t="n">
        <v>150000</v>
      </c>
      <c r="DS65" s="90" t="n">
        <v>150000</v>
      </c>
      <c r="DT65" s="90" t="n">
        <v>150000</v>
      </c>
      <c r="DU65" s="90" t="n">
        <v>150000</v>
      </c>
      <c r="DV65" s="90" t="n">
        <v>150000</v>
      </c>
      <c r="DW65" s="90" t="n">
        <v>150000</v>
      </c>
      <c r="DX65" s="90" t="n">
        <v>150000</v>
      </c>
      <c r="DY65" s="90" t="n">
        <v>150000</v>
      </c>
      <c r="DZ65" s="90" t="n">
        <v>150000</v>
      </c>
      <c r="EA65" s="90" t="n">
        <v>150000</v>
      </c>
      <c r="EB65" s="90" t="n">
        <v>150000</v>
      </c>
      <c r="EC65" s="90" t="n">
        <v>150000</v>
      </c>
      <c r="ED65" s="90" t="n">
        <v>150000</v>
      </c>
      <c r="EE65" s="90" t="n">
        <v>150000</v>
      </c>
      <c r="EF65" s="90" t="n">
        <v>150000</v>
      </c>
      <c r="EG65" s="90" t="n">
        <v>150000</v>
      </c>
      <c r="EH65" s="90" t="n">
        <v>150000</v>
      </c>
      <c r="EI65" s="90" t="n">
        <v>150000</v>
      </c>
      <c r="EJ65" s="90" t="n">
        <v>150000</v>
      </c>
      <c r="EK65" s="90" t="n">
        <v>150000</v>
      </c>
      <c r="EL65" s="90" t="n">
        <v>150000</v>
      </c>
      <c r="EM65" s="90" t="n">
        <v>150000</v>
      </c>
      <c r="EN65" s="90" t="n">
        <v>150000</v>
      </c>
      <c r="EO65" s="90" t="n">
        <v>150000</v>
      </c>
      <c r="EP65" s="90" t="n">
        <v>150000</v>
      </c>
      <c r="EQ65" s="90" t="n">
        <v>150000</v>
      </c>
      <c r="ER65" s="90" t="n">
        <v>150000</v>
      </c>
      <c r="ES65" s="90" t="n">
        <v>150000</v>
      </c>
      <c r="ET65" s="90" t="n">
        <v>150000</v>
      </c>
      <c r="EU65" s="90" t="n">
        <v>150000</v>
      </c>
      <c r="EV65" s="90" t="n">
        <v>150000</v>
      </c>
      <c r="EW65" s="90" t="n">
        <v>150000</v>
      </c>
      <c r="EX65" s="90" t="n">
        <v>150000</v>
      </c>
      <c r="EY65" s="90" t="n">
        <v>150000</v>
      </c>
      <c r="EZ65" s="90" t="n">
        <v>150000</v>
      </c>
      <c r="FA65" s="90" t="n">
        <v>150000</v>
      </c>
    </row>
    <row r="66" ht="15.75" customHeight="1">
      <c r="A66" s="71" t="inlineStr">
        <is>
          <t>Préstamos de largo plazo</t>
        </is>
      </c>
      <c r="BY66" s="90" t="n">
        <v>7500000</v>
      </c>
      <c r="BZ66" s="90" t="n">
        <v>7500000</v>
      </c>
      <c r="CA66" s="90" t="n">
        <v>7500000</v>
      </c>
      <c r="CB66" s="90" t="n">
        <v>7500000</v>
      </c>
      <c r="CC66" s="90" t="n">
        <v>7500000</v>
      </c>
      <c r="CD66" s="90" t="n">
        <v>7500000</v>
      </c>
      <c r="CE66" s="90" t="n">
        <v>7500000</v>
      </c>
      <c r="CF66" s="90" t="n">
        <v>7500000</v>
      </c>
      <c r="CG66" s="90" t="n">
        <v>7500000</v>
      </c>
      <c r="CH66" s="90" t="n">
        <v>7500000</v>
      </c>
      <c r="CI66" s="90" t="n">
        <v>7500000</v>
      </c>
      <c r="CJ66" s="90" t="n">
        <v>7500000</v>
      </c>
      <c r="CK66" s="90" t="n">
        <v>7500000</v>
      </c>
      <c r="CL66" s="90" t="n">
        <v>7500000</v>
      </c>
      <c r="CM66" s="90" t="n">
        <v>7500000</v>
      </c>
      <c r="CN66" s="90" t="n">
        <v>7500000</v>
      </c>
      <c r="CO66" s="90" t="n">
        <v>7500000</v>
      </c>
      <c r="CP66" s="90" t="n">
        <v>11265000</v>
      </c>
      <c r="CQ66" s="162" t="n">
        <v>11100000</v>
      </c>
      <c r="CR66" s="90">
        <f>CQ66/CP66*CQ66</f>
        <v/>
      </c>
      <c r="CS66" s="90">
        <f>CR66/CQ66*CR66</f>
        <v/>
      </c>
      <c r="CT66" s="90">
        <f>CS66/CR66*CS66</f>
        <v/>
      </c>
      <c r="CU66" s="90">
        <f>CT66/CS66*CT66</f>
        <v/>
      </c>
      <c r="CV66" s="90">
        <f>CU66/CT66*CU66</f>
        <v/>
      </c>
      <c r="CW66" s="90">
        <f>CV66/CU66*CV66</f>
        <v/>
      </c>
      <c r="CX66" s="90">
        <f>CW66/CV66*CW66</f>
        <v/>
      </c>
      <c r="CY66" s="90">
        <f>CX66/CW66*CX66</f>
        <v/>
      </c>
      <c r="CZ66" s="90">
        <f>CY66/CX66*CY66</f>
        <v/>
      </c>
      <c r="DA66" s="90">
        <f>CZ66/CY66*CZ66</f>
        <v/>
      </c>
      <c r="DB66" s="90">
        <f>DA66/CZ66*DA66</f>
        <v/>
      </c>
      <c r="DC66" s="163">
        <f>DB66/DA66*DB66</f>
        <v/>
      </c>
      <c r="DD66" s="90">
        <f>DC66/DB66*DC66</f>
        <v/>
      </c>
      <c r="DE66" s="90">
        <f>DD66/DC66*DD66</f>
        <v/>
      </c>
      <c r="DF66" s="90">
        <f>DE66/DD66*DE66</f>
        <v/>
      </c>
      <c r="DG66" s="90">
        <f>DF66/DE66*DF66</f>
        <v/>
      </c>
      <c r="DH66" s="90">
        <f>DG66/DF66*DG66</f>
        <v/>
      </c>
      <c r="DI66" s="90">
        <f>DH66/DG66*DH66</f>
        <v/>
      </c>
      <c r="DJ66" s="90">
        <f>DI66/DH66*DI66</f>
        <v/>
      </c>
      <c r="DK66" s="90">
        <f>DJ66/DI66*DJ66</f>
        <v/>
      </c>
      <c r="DL66" s="90">
        <f>DK66/DJ66*DK66</f>
        <v/>
      </c>
      <c r="DM66" s="90">
        <f>DL66/DK66*DL66</f>
        <v/>
      </c>
      <c r="DN66" s="90">
        <f>DM66/DL66*DM66</f>
        <v/>
      </c>
      <c r="DO66" s="90">
        <f>DN66/DM66*DN66</f>
        <v/>
      </c>
      <c r="DP66" s="90">
        <f>DO66/DN66*DO66</f>
        <v/>
      </c>
      <c r="DQ66" s="90">
        <f>DP66/DO66*DP66</f>
        <v/>
      </c>
      <c r="DR66" s="90">
        <f>DQ66/DP66*DQ66</f>
        <v/>
      </c>
      <c r="DS66" s="90">
        <f>DR66/DQ66*DR66</f>
        <v/>
      </c>
      <c r="DT66" s="90">
        <f>DS66/DR66*DS66</f>
        <v/>
      </c>
      <c r="DU66" s="90">
        <f>DT66/DS66*DT66</f>
        <v/>
      </c>
      <c r="DV66" s="90">
        <f>DU66/DT66*DU66</f>
        <v/>
      </c>
      <c r="DW66" s="90">
        <f>DV66/DU66*DV66</f>
        <v/>
      </c>
      <c r="DX66" s="90">
        <f>DW66/DV66*DW66</f>
        <v/>
      </c>
      <c r="DY66" s="90">
        <f>DX66/DW66*DX66</f>
        <v/>
      </c>
      <c r="DZ66" s="90">
        <f>DY66/DX66*DY66</f>
        <v/>
      </c>
      <c r="EA66" s="90">
        <f>DZ66/DY66*DZ66</f>
        <v/>
      </c>
      <c r="EB66" s="90">
        <f>EA66/DZ66*EA66</f>
        <v/>
      </c>
      <c r="EC66" s="90">
        <f>EB66/EA66*EB66</f>
        <v/>
      </c>
      <c r="ED66" s="90">
        <f>EC66/EB66*EC66</f>
        <v/>
      </c>
      <c r="EE66" s="90">
        <f>ED66/EC66*ED66</f>
        <v/>
      </c>
      <c r="EF66" s="90">
        <f>EE66/ED66*EE66</f>
        <v/>
      </c>
      <c r="EG66" s="90">
        <f>EF66/EE66*EF66</f>
        <v/>
      </c>
      <c r="EH66" s="90">
        <f>EG66/EF66*EG66</f>
        <v/>
      </c>
      <c r="EI66" s="90">
        <f>EH66/EG66*EH66</f>
        <v/>
      </c>
      <c r="EJ66" s="90">
        <f>EI66/EH66*EI66</f>
        <v/>
      </c>
      <c r="EK66" s="90">
        <f>EJ66/EI66*EJ66</f>
        <v/>
      </c>
      <c r="EL66" s="90">
        <f>EK66/EJ66*EK66</f>
        <v/>
      </c>
      <c r="EM66" s="90">
        <f>EL66/EK66*EL66</f>
        <v/>
      </c>
      <c r="EN66" s="90">
        <f>EM66/EL66*EM66</f>
        <v/>
      </c>
      <c r="EO66" s="90">
        <f>EN66/EM66*EN66</f>
        <v/>
      </c>
      <c r="EP66" s="90">
        <f>EO66/EN66*EO66</f>
        <v/>
      </c>
      <c r="EQ66" s="90">
        <f>EP66/EO66*EP66</f>
        <v/>
      </c>
      <c r="ER66" s="90">
        <f>EQ66/EP66*EQ66</f>
        <v/>
      </c>
      <c r="ES66" s="90">
        <f>ER66/EQ66*ER66</f>
        <v/>
      </c>
      <c r="ET66" s="90">
        <f>ES66/ER66*ES66</f>
        <v/>
      </c>
      <c r="EU66" s="90">
        <f>ET66/ES66*ET66</f>
        <v/>
      </c>
      <c r="EV66" s="90">
        <f>EU66/ET66*EU66</f>
        <v/>
      </c>
      <c r="EW66" s="90">
        <f>EV66/EU66*EV66</f>
        <v/>
      </c>
      <c r="EX66" s="90">
        <f>EW66/EV66*EW66</f>
        <v/>
      </c>
      <c r="EY66" s="90">
        <f>EX66/EW66*EX66</f>
        <v/>
      </c>
      <c r="EZ66" s="90">
        <f>EY66/EX66*EY66</f>
        <v/>
      </c>
      <c r="FA66" s="90">
        <f>EZ66/EY66*EZ66</f>
        <v/>
      </c>
    </row>
    <row r="67" ht="15.75" customHeight="1">
      <c r="A67" s="89" t="inlineStr">
        <is>
          <t>Crédito Fondeador 2</t>
        </is>
      </c>
      <c r="B67" s="89" t="n"/>
      <c r="C67" s="89" t="n"/>
      <c r="D67" s="89" t="n"/>
      <c r="E67" s="89" t="n"/>
      <c r="F67" s="89" t="n"/>
      <c r="G67" s="89" t="n"/>
      <c r="H67" s="89" t="n"/>
      <c r="I67" s="89" t="n"/>
      <c r="J67" s="89" t="n"/>
      <c r="K67" s="89" t="n"/>
      <c r="L67" s="89" t="n"/>
      <c r="M67" s="89" t="n"/>
      <c r="N67" s="89" t="n"/>
      <c r="O67" s="89" t="n"/>
      <c r="P67" s="89" t="n"/>
      <c r="Q67" s="89" t="n"/>
      <c r="R67" s="89" t="n"/>
      <c r="S67" s="89" t="n"/>
      <c r="T67" s="89" t="n"/>
      <c r="U67" s="89" t="n"/>
      <c r="V67" s="89" t="n"/>
      <c r="W67" s="89" t="n"/>
      <c r="X67" s="89" t="n"/>
      <c r="Y67" s="89" t="n"/>
      <c r="Z67" s="89" t="n"/>
      <c r="AA67" s="89" t="n"/>
      <c r="AB67" s="89" t="n"/>
      <c r="AC67" s="89" t="n"/>
      <c r="AD67" s="89" t="n"/>
      <c r="AE67" s="89" t="n"/>
      <c r="AF67" s="89" t="n"/>
      <c r="AG67" s="89" t="n"/>
      <c r="AH67" s="89" t="n"/>
      <c r="AI67" s="89" t="n"/>
      <c r="AJ67" s="89" t="n"/>
      <c r="AK67" s="89" t="n"/>
      <c r="AL67" s="89" t="n"/>
      <c r="AM67" s="89" t="n"/>
      <c r="AN67" s="89" t="n"/>
      <c r="AO67" s="89" t="n"/>
      <c r="AP67" s="89" t="n"/>
      <c r="AQ67" s="89" t="n"/>
      <c r="AR67" s="89" t="n"/>
      <c r="AS67" s="89" t="n"/>
      <c r="AT67" s="89" t="n"/>
      <c r="AU67" s="89" t="n"/>
      <c r="AV67" s="89" t="n"/>
      <c r="AW67" s="89" t="n"/>
      <c r="AX67" s="89" t="n"/>
      <c r="AY67" s="89" t="n"/>
      <c r="AZ67" s="89" t="n"/>
      <c r="BA67" s="89" t="n"/>
      <c r="BB67" s="89" t="n"/>
      <c r="BC67" s="89" t="n"/>
      <c r="BD67" s="89" t="n"/>
      <c r="BE67" s="89" t="n"/>
      <c r="BF67" s="89" t="n"/>
      <c r="BG67" s="89" t="n"/>
      <c r="BH67" s="89" t="n"/>
      <c r="BI67" s="89" t="n"/>
      <c r="BJ67" s="89" t="n"/>
      <c r="BK67" s="89" t="n"/>
      <c r="BL67" s="89" t="n"/>
      <c r="BM67" s="89" t="n"/>
      <c r="BN67" s="89" t="n"/>
      <c r="BO67" s="89" t="n"/>
      <c r="BP67" s="89" t="n"/>
      <c r="BQ67" s="89" t="n"/>
      <c r="BR67" s="89" t="n"/>
      <c r="BS67" s="89" t="n"/>
      <c r="BT67" s="89" t="n"/>
      <c r="BU67" s="89" t="n"/>
      <c r="BV67" s="89" t="n"/>
      <c r="BW67" s="89" t="n"/>
      <c r="BX67" s="89" t="n"/>
      <c r="BY67" s="152" t="n"/>
      <c r="BZ67" s="152" t="n"/>
      <c r="CA67" s="152" t="n"/>
      <c r="CB67" s="152" t="n"/>
      <c r="CC67" s="152" t="n"/>
      <c r="CD67" s="152" t="n"/>
      <c r="CE67" s="152" t="n"/>
      <c r="CF67" s="152" t="n"/>
      <c r="CG67" s="152" t="n"/>
      <c r="CH67" s="152" t="n">
        <v>0</v>
      </c>
      <c r="CI67" s="152" t="n">
        <v>0</v>
      </c>
      <c r="CJ67" s="152" t="n">
        <v>0</v>
      </c>
      <c r="CK67" s="152" t="n">
        <v>0</v>
      </c>
      <c r="CL67" s="152" t="n">
        <v>0</v>
      </c>
      <c r="CM67" s="152" t="n">
        <v>0</v>
      </c>
      <c r="CN67" s="152" t="n">
        <v>0</v>
      </c>
      <c r="CO67" s="152" t="n">
        <v>0</v>
      </c>
      <c r="CP67" s="152" t="n">
        <v>0</v>
      </c>
      <c r="CQ67" s="157" t="n">
        <v>0</v>
      </c>
      <c r="CR67" s="152" t="n">
        <v>0</v>
      </c>
      <c r="CS67" s="152" t="n"/>
      <c r="CT67" s="152" t="n"/>
      <c r="CU67" s="152" t="n"/>
      <c r="CV67" s="152" t="n"/>
      <c r="CW67" s="152">
        <f t="array" ref="CW67:EF67">TRANSPOSE('Crédito Syscap'!B3:B38)</f>
        <v/>
      </c>
      <c r="CX67" s="152" t="n">
        <v>35000000</v>
      </c>
      <c r="CY67" s="152" t="n">
        <v>50000000</v>
      </c>
      <c r="CZ67" s="152" t="n">
        <v>50000000</v>
      </c>
      <c r="DA67" s="152" t="n">
        <v>50000000</v>
      </c>
      <c r="DB67" s="152" t="n">
        <v>50000000</v>
      </c>
      <c r="DC67" s="158" t="n">
        <v>50000000</v>
      </c>
      <c r="DD67" s="152" t="n">
        <v>48718512.25352295</v>
      </c>
      <c r="DE67" s="152" t="n">
        <v>47414598.47148256</v>
      </c>
      <c r="DF67" s="152" t="n">
        <v>46087866.19825646</v>
      </c>
      <c r="DG67" s="152" t="n">
        <v>44737916.11024891</v>
      </c>
      <c r="DH67" s="152" t="n">
        <v>43364341.89570122</v>
      </c>
      <c r="DI67" s="152" t="n">
        <v>41966730.13239895</v>
      </c>
      <c r="DJ67" s="152" t="n">
        <v>40544660.16323888</v>
      </c>
      <c r="DK67" s="152" t="n">
        <v>39097703.96961851</v>
      </c>
      <c r="DL67" s="152" t="n">
        <v>37625426.0426098</v>
      </c>
      <c r="DM67" s="152" t="n">
        <v>36127383.25187842</v>
      </c>
      <c r="DN67" s="152" t="n">
        <v>34603124.71230924</v>
      </c>
      <c r="DO67" s="152" t="n">
        <v>33052191.64829761</v>
      </c>
      <c r="DP67" s="152" t="n">
        <v>31474117.25566577</v>
      </c>
      <c r="DQ67" s="152" t="n">
        <v>29868426.56116287</v>
      </c>
      <c r="DR67" s="152" t="n">
        <v>28234636.27950617</v>
      </c>
      <c r="DS67" s="152" t="n">
        <v>26572254.66792048</v>
      </c>
      <c r="DT67" s="152" t="n">
        <v>24880781.37813204</v>
      </c>
      <c r="DU67" s="152" t="n">
        <v>23159707.3057723</v>
      </c>
      <c r="DV67" s="152" t="n">
        <v>21408514.43714627</v>
      </c>
      <c r="DW67" s="152" t="n">
        <v>19626675.69331927</v>
      </c>
      <c r="DX67" s="152" t="n">
        <v>17813654.77147531</v>
      </c>
      <c r="DY67" s="152" t="n">
        <v>15968905.98349907</v>
      </c>
      <c r="DZ67" s="152" t="n">
        <v>14091874.09173325</v>
      </c>
      <c r="EA67" s="152" t="n">
        <v>12181994.14186153</v>
      </c>
      <c r="EB67" s="152" t="n">
        <v>10238691.29286705</v>
      </c>
      <c r="EC67" s="152" t="n">
        <v>8261380.64401517</v>
      </c>
      <c r="ED67" s="152" t="n">
        <v>6249467.058808375</v>
      </c>
      <c r="EE67" s="152" t="n">
        <v>4202344.985860455</v>
      </c>
      <c r="EF67" s="152" t="n">
        <v>2119398.276635949</v>
      </c>
      <c r="EG67" s="152" t="n"/>
      <c r="EH67" s="152" t="n"/>
      <c r="EI67" s="152" t="n"/>
      <c r="EJ67" s="152" t="n"/>
      <c r="EK67" s="152" t="n"/>
      <c r="EL67" s="152" t="n"/>
      <c r="EM67" s="152" t="n"/>
      <c r="EN67" s="152" t="n"/>
      <c r="EO67" s="152" t="n"/>
      <c r="EP67" s="152" t="n"/>
      <c r="EQ67" s="152" t="n"/>
      <c r="ER67" s="152" t="n"/>
      <c r="ES67" s="152" t="n"/>
      <c r="ET67" s="152" t="n"/>
      <c r="EU67" s="152" t="n"/>
      <c r="EV67" s="152" t="n"/>
      <c r="EW67" s="152" t="n"/>
      <c r="EX67" s="152" t="n"/>
      <c r="EY67" s="152" t="n"/>
      <c r="EZ67" s="152" t="n"/>
      <c r="FA67" s="152" t="n"/>
    </row>
    <row r="68" ht="15.75" customHeight="1">
      <c r="A68" s="89" t="inlineStr">
        <is>
          <t>Crédito Syscap</t>
        </is>
      </c>
      <c r="B68" s="89" t="n"/>
      <c r="C68" s="89" t="n"/>
      <c r="D68" s="89" t="n"/>
      <c r="E68" s="89" t="n"/>
      <c r="F68" s="89" t="n"/>
      <c r="G68" s="89" t="n"/>
      <c r="H68" s="89" t="n"/>
      <c r="I68" s="89" t="n"/>
      <c r="J68" s="89" t="n"/>
      <c r="K68" s="89" t="n"/>
      <c r="L68" s="89" t="n"/>
      <c r="M68" s="89" t="n"/>
      <c r="N68" s="89" t="n"/>
      <c r="O68" s="89" t="n"/>
      <c r="P68" s="89" t="n"/>
      <c r="Q68" s="89" t="n"/>
      <c r="R68" s="89" t="n"/>
      <c r="S68" s="89" t="n"/>
      <c r="T68" s="89" t="n"/>
      <c r="U68" s="89" t="n"/>
      <c r="V68" s="89" t="n"/>
      <c r="W68" s="89" t="n"/>
      <c r="X68" s="89" t="n"/>
      <c r="Y68" s="89" t="n"/>
      <c r="Z68" s="89" t="n"/>
      <c r="AA68" s="89" t="n"/>
      <c r="AB68" s="89" t="n"/>
      <c r="AC68" s="89" t="n"/>
      <c r="AD68" s="89" t="n"/>
      <c r="AE68" s="89" t="n"/>
      <c r="AF68" s="89" t="n"/>
      <c r="AG68" s="89" t="n"/>
      <c r="AH68" s="89" t="n"/>
      <c r="AI68" s="89" t="n"/>
      <c r="AJ68" s="89" t="n"/>
      <c r="AK68" s="89" t="n"/>
      <c r="AL68" s="89" t="n"/>
      <c r="AM68" s="89" t="n"/>
      <c r="AN68" s="89" t="n"/>
      <c r="AO68" s="89" t="n"/>
      <c r="AP68" s="89" t="n"/>
      <c r="AQ68" s="89" t="n"/>
      <c r="AR68" s="89" t="n"/>
      <c r="AS68" s="89" t="n"/>
      <c r="AT68" s="89" t="n"/>
      <c r="AU68" s="89" t="n"/>
      <c r="AV68" s="89" t="n"/>
      <c r="AW68" s="89" t="n"/>
      <c r="AX68" s="89" t="n"/>
      <c r="AY68" s="89" t="n"/>
      <c r="AZ68" s="89" t="n"/>
      <c r="BA68" s="89" t="n"/>
      <c r="BB68" s="89" t="n"/>
      <c r="BC68" s="89" t="n"/>
      <c r="BD68" s="89" t="n"/>
      <c r="BE68" s="89" t="n"/>
      <c r="BF68" s="89" t="n"/>
      <c r="BG68" s="89" t="n"/>
      <c r="BH68" s="89" t="n"/>
      <c r="BI68" s="89" t="n"/>
      <c r="BJ68" s="89" t="n"/>
      <c r="BK68" s="89" t="n"/>
      <c r="BL68" s="89" t="n"/>
      <c r="BM68" s="89" t="n"/>
      <c r="BN68" s="89" t="n"/>
      <c r="BO68" s="89" t="n"/>
      <c r="BP68" s="89" t="n"/>
      <c r="BQ68" s="89" t="n"/>
      <c r="BR68" s="89" t="n"/>
      <c r="BS68" s="89" t="n"/>
      <c r="BT68" s="89" t="n"/>
      <c r="BU68" s="89" t="n"/>
      <c r="BV68" s="89" t="n"/>
      <c r="BW68" s="89" t="n"/>
      <c r="BX68" s="89" t="n"/>
      <c r="BY68" s="152" t="n"/>
      <c r="BZ68" s="152" t="n"/>
      <c r="CA68" s="152" t="n"/>
      <c r="CB68" s="152" t="n"/>
      <c r="CC68" s="152" t="n"/>
      <c r="CD68" s="152" t="n"/>
      <c r="CE68" s="152" t="n"/>
      <c r="CF68" s="152" t="n"/>
      <c r="CG68" s="152" t="n"/>
      <c r="CH68" s="152" t="n">
        <v>0</v>
      </c>
      <c r="CI68" s="152" t="n">
        <v>0</v>
      </c>
      <c r="CJ68" s="152" t="n">
        <v>0</v>
      </c>
      <c r="CK68" s="152" t="n">
        <v>0</v>
      </c>
      <c r="CL68" s="152" t="n">
        <v>0</v>
      </c>
      <c r="CM68" s="152" t="n">
        <v>0</v>
      </c>
      <c r="CN68" s="152" t="n">
        <v>0</v>
      </c>
      <c r="CO68" s="152" t="n">
        <v>0</v>
      </c>
      <c r="CP68" s="152" t="n">
        <v>0</v>
      </c>
      <c r="CQ68" s="157" t="n">
        <v>0</v>
      </c>
      <c r="CR68" s="152" t="n">
        <v>0</v>
      </c>
      <c r="CS68" s="152" t="n"/>
      <c r="CT68" s="152" t="n"/>
      <c r="CU68" s="152">
        <f t="array" ref="CU68:ED68">TRANSPOSE('Crédito Syscap'!B3:B38)</f>
        <v/>
      </c>
      <c r="CV68" s="152" t="n">
        <v>35000000</v>
      </c>
      <c r="CW68" s="152" t="n">
        <v>50000000</v>
      </c>
      <c r="CX68" s="152" t="n">
        <v>50000000</v>
      </c>
      <c r="CY68" s="152" t="n">
        <v>50000000</v>
      </c>
      <c r="CZ68" s="152" t="n">
        <v>50000000</v>
      </c>
      <c r="DA68" s="152" t="n">
        <v>50000000</v>
      </c>
      <c r="DB68" s="152" t="n">
        <v>48718512.25352295</v>
      </c>
      <c r="DC68" s="158" t="n">
        <v>47414598.47148256</v>
      </c>
      <c r="DD68" s="152" t="n">
        <v>46087866.19825646</v>
      </c>
      <c r="DE68" s="152" t="n">
        <v>44737916.11024891</v>
      </c>
      <c r="DF68" s="152" t="n">
        <v>43364341.89570122</v>
      </c>
      <c r="DG68" s="152" t="n">
        <v>41966730.13239895</v>
      </c>
      <c r="DH68" s="152" t="n">
        <v>40544660.16323888</v>
      </c>
      <c r="DI68" s="152" t="n">
        <v>39097703.96961851</v>
      </c>
      <c r="DJ68" s="152" t="n">
        <v>37625426.0426098</v>
      </c>
      <c r="DK68" s="152" t="n">
        <v>36127383.25187842</v>
      </c>
      <c r="DL68" s="152" t="n">
        <v>34603124.71230924</v>
      </c>
      <c r="DM68" s="152" t="n">
        <v>33052191.64829761</v>
      </c>
      <c r="DN68" s="152" t="n">
        <v>31474117.25566577</v>
      </c>
      <c r="DO68" s="152" t="n">
        <v>29868426.56116287</v>
      </c>
      <c r="DP68" s="152" t="n">
        <v>28234636.27950617</v>
      </c>
      <c r="DQ68" s="152" t="n">
        <v>26572254.66792048</v>
      </c>
      <c r="DR68" s="152" t="n">
        <v>24880781.37813204</v>
      </c>
      <c r="DS68" s="152" t="n">
        <v>23159707.3057723</v>
      </c>
      <c r="DT68" s="152" t="n">
        <v>21408514.43714627</v>
      </c>
      <c r="DU68" s="152" t="n">
        <v>19626675.69331927</v>
      </c>
      <c r="DV68" s="152" t="n">
        <v>17813654.77147531</v>
      </c>
      <c r="DW68" s="152" t="n">
        <v>15968905.98349907</v>
      </c>
      <c r="DX68" s="152" t="n">
        <v>14091874.09173325</v>
      </c>
      <c r="DY68" s="152" t="n">
        <v>12181994.14186153</v>
      </c>
      <c r="DZ68" s="152" t="n">
        <v>10238691.29286705</v>
      </c>
      <c r="EA68" s="152" t="n">
        <v>8261380.64401517</v>
      </c>
      <c r="EB68" s="152" t="n">
        <v>6249467.058808375</v>
      </c>
      <c r="EC68" s="152" t="n">
        <v>4202344.985860455</v>
      </c>
      <c r="ED68" s="152" t="n">
        <v>2119398.276635949</v>
      </c>
      <c r="EE68" s="152" t="n"/>
      <c r="EF68" s="152" t="n"/>
      <c r="EG68" s="152" t="n"/>
      <c r="EH68" s="152" t="n"/>
      <c r="EI68" s="152" t="n"/>
      <c r="EJ68" s="152" t="n"/>
      <c r="EK68" s="152" t="n"/>
      <c r="EL68" s="152" t="n"/>
      <c r="EM68" s="152" t="n"/>
      <c r="EN68" s="152" t="n"/>
      <c r="EO68" s="152" t="n"/>
      <c r="EP68" s="152" t="n"/>
      <c r="EQ68" s="152" t="n"/>
      <c r="ER68" s="152" t="n"/>
      <c r="ES68" s="152" t="n"/>
      <c r="ET68" s="152" t="n"/>
      <c r="EU68" s="152" t="n"/>
      <c r="EV68" s="152" t="n"/>
      <c r="EW68" s="152" t="n"/>
      <c r="EX68" s="152" t="n"/>
      <c r="EY68" s="152" t="n"/>
      <c r="EZ68" s="152" t="n"/>
      <c r="FA68" s="152" t="n"/>
    </row>
    <row r="69" ht="15.75" customHeight="1">
      <c r="A69" s="71" t="inlineStr">
        <is>
          <t>Contribuciones por pagar</t>
        </is>
      </c>
      <c r="BY69" s="90" t="n">
        <v>750000</v>
      </c>
      <c r="BZ69" s="90" t="n">
        <v>750000</v>
      </c>
      <c r="CA69" s="90" t="n">
        <v>750000</v>
      </c>
      <c r="CB69" s="90" t="n">
        <v>750000</v>
      </c>
      <c r="CC69" s="90" t="n">
        <v>750000</v>
      </c>
      <c r="CD69" s="90" t="n">
        <v>750000</v>
      </c>
      <c r="CE69" s="90" t="n">
        <v>750000</v>
      </c>
      <c r="CF69" s="90" t="n">
        <v>750000</v>
      </c>
      <c r="CG69" s="90" t="n">
        <v>750000</v>
      </c>
      <c r="CH69" s="90" t="n">
        <v>750000</v>
      </c>
      <c r="CI69" s="90" t="n">
        <v>750000</v>
      </c>
      <c r="CJ69" s="90" t="n">
        <v>750000</v>
      </c>
      <c r="CK69" s="90" t="n">
        <v>750000</v>
      </c>
      <c r="CL69" s="90" t="n">
        <v>750000</v>
      </c>
      <c r="CM69" s="90" t="n">
        <v>750000</v>
      </c>
      <c r="CN69" s="90" t="n">
        <v>750000</v>
      </c>
      <c r="CO69" s="90" t="n">
        <v>750000</v>
      </c>
      <c r="CP69" s="90" t="n">
        <v>750000</v>
      </c>
      <c r="CQ69" s="162" t="n">
        <v>750000</v>
      </c>
      <c r="CR69" s="90" t="n">
        <v>750000</v>
      </c>
      <c r="CS69" s="90" t="n">
        <v>750000</v>
      </c>
      <c r="CT69" s="90" t="n">
        <v>750000</v>
      </c>
      <c r="CU69" s="90" t="n">
        <v>750000</v>
      </c>
      <c r="CV69" s="90" t="n">
        <v>750000</v>
      </c>
      <c r="CW69" s="90" t="n">
        <v>750000</v>
      </c>
      <c r="CX69" s="90" t="n">
        <v>750000</v>
      </c>
      <c r="CY69" s="90" t="n">
        <v>750000</v>
      </c>
      <c r="CZ69" s="90" t="n">
        <v>750000</v>
      </c>
      <c r="DA69" s="90" t="n">
        <v>750000</v>
      </c>
      <c r="DB69" s="90" t="n">
        <v>750000</v>
      </c>
      <c r="DC69" s="163" t="n">
        <v>750000</v>
      </c>
      <c r="DD69" s="90" t="n">
        <v>750000</v>
      </c>
      <c r="DE69" s="90" t="n">
        <v>750000</v>
      </c>
      <c r="DF69" s="90" t="n">
        <v>750000</v>
      </c>
      <c r="DG69" s="90" t="n">
        <v>750000</v>
      </c>
      <c r="DH69" s="90" t="n">
        <v>750000</v>
      </c>
      <c r="DI69" s="90" t="n">
        <v>750000</v>
      </c>
      <c r="DJ69" s="90" t="n">
        <v>750000</v>
      </c>
      <c r="DK69" s="90" t="n">
        <v>750000</v>
      </c>
      <c r="DL69" s="90" t="n">
        <v>750000</v>
      </c>
      <c r="DM69" s="90" t="n">
        <v>750000</v>
      </c>
      <c r="DN69" s="90" t="n">
        <v>750000</v>
      </c>
      <c r="DO69" s="90" t="n">
        <v>750000</v>
      </c>
      <c r="DP69" s="90" t="n">
        <v>750000</v>
      </c>
      <c r="DQ69" s="90" t="n">
        <v>750000</v>
      </c>
      <c r="DR69" s="90" t="n">
        <v>750000</v>
      </c>
      <c r="DS69" s="90" t="n">
        <v>750000</v>
      </c>
      <c r="DT69" s="90" t="n">
        <v>750000</v>
      </c>
      <c r="DU69" s="90" t="n">
        <v>750000</v>
      </c>
      <c r="DV69" s="90" t="n">
        <v>750000</v>
      </c>
      <c r="DW69" s="90" t="n">
        <v>750000</v>
      </c>
      <c r="DX69" s="90" t="n">
        <v>750000</v>
      </c>
      <c r="DY69" s="90" t="n">
        <v>750000</v>
      </c>
      <c r="DZ69" s="90" t="n">
        <v>750000</v>
      </c>
      <c r="EA69" s="90" t="n">
        <v>750000</v>
      </c>
      <c r="EB69" s="90" t="n">
        <v>750000</v>
      </c>
      <c r="EC69" s="90" t="n">
        <v>750000</v>
      </c>
      <c r="ED69" s="90" t="n">
        <v>750000</v>
      </c>
      <c r="EE69" s="90" t="n">
        <v>750000</v>
      </c>
      <c r="EF69" s="90" t="n">
        <v>750000</v>
      </c>
      <c r="EG69" s="90" t="n">
        <v>750000</v>
      </c>
      <c r="EH69" s="90" t="n">
        <v>750000</v>
      </c>
      <c r="EI69" s="90" t="n">
        <v>750000</v>
      </c>
      <c r="EJ69" s="90" t="n">
        <v>750000</v>
      </c>
      <c r="EK69" s="90" t="n">
        <v>750000</v>
      </c>
      <c r="EL69" s="90" t="n">
        <v>750000</v>
      </c>
      <c r="EM69" s="90" t="n">
        <v>750000</v>
      </c>
      <c r="EN69" s="90" t="n">
        <v>750000</v>
      </c>
      <c r="EO69" s="90" t="n">
        <v>750000</v>
      </c>
      <c r="EP69" s="90" t="n">
        <v>750000</v>
      </c>
      <c r="EQ69" s="90" t="n">
        <v>750000</v>
      </c>
      <c r="ER69" s="90" t="n">
        <v>750000</v>
      </c>
      <c r="ES69" s="90" t="n">
        <v>750000</v>
      </c>
      <c r="ET69" s="90" t="n">
        <v>750000</v>
      </c>
      <c r="EU69" s="90" t="n">
        <v>750000</v>
      </c>
      <c r="EV69" s="90" t="n">
        <v>750000</v>
      </c>
      <c r="EW69" s="90" t="n">
        <v>750000</v>
      </c>
      <c r="EX69" s="90" t="n">
        <v>750000</v>
      </c>
      <c r="EY69" s="90" t="n">
        <v>750000</v>
      </c>
      <c r="EZ69" s="90" t="n">
        <v>750000</v>
      </c>
      <c r="FA69" s="90" t="n">
        <v>750000</v>
      </c>
    </row>
    <row r="70" ht="15.75" customHeight="1">
      <c r="A70" s="71" t="inlineStr">
        <is>
          <t>Acreedores diversas y otras cuentas por pagar</t>
        </is>
      </c>
      <c r="BY70" s="90" t="n">
        <v>200000</v>
      </c>
      <c r="BZ70" s="90" t="n">
        <v>200000</v>
      </c>
      <c r="CA70" s="90" t="n">
        <v>200000</v>
      </c>
      <c r="CB70" s="90" t="n">
        <v>200000</v>
      </c>
      <c r="CC70" s="90" t="n">
        <v>200000</v>
      </c>
      <c r="CD70" s="90" t="n">
        <v>200000</v>
      </c>
      <c r="CE70" s="90" t="n">
        <v>200000</v>
      </c>
      <c r="CF70" s="90" t="n">
        <v>200000</v>
      </c>
      <c r="CG70" s="90" t="n">
        <v>200000</v>
      </c>
      <c r="CH70" s="90" t="n">
        <v>200000</v>
      </c>
      <c r="CI70" s="90" t="n">
        <v>200000</v>
      </c>
      <c r="CJ70" s="90" t="n">
        <v>200000</v>
      </c>
      <c r="CK70" s="90" t="n">
        <v>200000</v>
      </c>
      <c r="CL70" s="90" t="n">
        <v>200000</v>
      </c>
      <c r="CM70" s="90" t="n">
        <v>200000</v>
      </c>
      <c r="CN70" s="90" t="n">
        <v>200000</v>
      </c>
      <c r="CO70" s="90" t="n">
        <v>200000</v>
      </c>
      <c r="CP70" s="90" t="n">
        <v>200000</v>
      </c>
      <c r="CQ70" s="162" t="n">
        <v>200000</v>
      </c>
      <c r="CR70" s="90" t="n">
        <v>200000</v>
      </c>
      <c r="CS70" s="90" t="n">
        <v>200000</v>
      </c>
      <c r="CT70" s="90" t="n">
        <v>200000</v>
      </c>
      <c r="CU70" s="90" t="n">
        <v>200000</v>
      </c>
      <c r="CV70" s="90" t="n">
        <v>200000</v>
      </c>
      <c r="CW70" s="90" t="n">
        <v>200000</v>
      </c>
      <c r="CX70" s="90" t="n">
        <v>200000</v>
      </c>
      <c r="CY70" s="90" t="n">
        <v>200000</v>
      </c>
      <c r="CZ70" s="90" t="n">
        <v>200000</v>
      </c>
      <c r="DA70" s="90" t="n">
        <v>200000</v>
      </c>
      <c r="DB70" s="90" t="n">
        <v>200000</v>
      </c>
      <c r="DC70" s="163" t="n">
        <v>200000</v>
      </c>
      <c r="DD70" s="90" t="n">
        <v>200000</v>
      </c>
      <c r="DE70" s="90" t="n">
        <v>200000</v>
      </c>
      <c r="DF70" s="90" t="n">
        <v>200000</v>
      </c>
      <c r="DG70" s="90" t="n">
        <v>200000</v>
      </c>
      <c r="DH70" s="90" t="n">
        <v>200000</v>
      </c>
      <c r="DI70" s="90" t="n">
        <v>200000</v>
      </c>
      <c r="DJ70" s="90" t="n">
        <v>200000</v>
      </c>
      <c r="DK70" s="90" t="n">
        <v>200000</v>
      </c>
      <c r="DL70" s="90" t="n">
        <v>200000</v>
      </c>
      <c r="DM70" s="90" t="n">
        <v>200000</v>
      </c>
      <c r="DN70" s="90" t="n">
        <v>200000</v>
      </c>
      <c r="DO70" s="90" t="n">
        <v>200000</v>
      </c>
      <c r="DP70" s="90" t="n">
        <v>200000</v>
      </c>
      <c r="DQ70" s="90" t="n">
        <v>200000</v>
      </c>
      <c r="DR70" s="90" t="n">
        <v>200000</v>
      </c>
      <c r="DS70" s="90" t="n">
        <v>200000</v>
      </c>
      <c r="DT70" s="90" t="n">
        <v>200000</v>
      </c>
      <c r="DU70" s="90" t="n">
        <v>200000</v>
      </c>
      <c r="DV70" s="90" t="n">
        <v>200000</v>
      </c>
      <c r="DW70" s="90" t="n">
        <v>200000</v>
      </c>
      <c r="DX70" s="90" t="n">
        <v>200000</v>
      </c>
      <c r="DY70" s="90" t="n">
        <v>200000</v>
      </c>
      <c r="DZ70" s="90" t="n">
        <v>200000</v>
      </c>
      <c r="EA70" s="90" t="n">
        <v>200000</v>
      </c>
      <c r="EB70" s="90" t="n">
        <v>200000</v>
      </c>
      <c r="EC70" s="90" t="n">
        <v>200000</v>
      </c>
      <c r="ED70" s="90" t="n">
        <v>200000</v>
      </c>
      <c r="EE70" s="90" t="n">
        <v>200000</v>
      </c>
      <c r="EF70" s="90" t="n">
        <v>200000</v>
      </c>
      <c r="EG70" s="90" t="n">
        <v>200000</v>
      </c>
      <c r="EH70" s="90" t="n">
        <v>200000</v>
      </c>
      <c r="EI70" s="90" t="n">
        <v>200000</v>
      </c>
      <c r="EJ70" s="90" t="n">
        <v>200000</v>
      </c>
      <c r="EK70" s="90" t="n">
        <v>200000</v>
      </c>
      <c r="EL70" s="90" t="n">
        <v>200000</v>
      </c>
      <c r="EM70" s="90" t="n">
        <v>200000</v>
      </c>
      <c r="EN70" s="90" t="n">
        <v>200000</v>
      </c>
      <c r="EO70" s="90" t="n">
        <v>200000</v>
      </c>
      <c r="EP70" s="90" t="n">
        <v>200000</v>
      </c>
      <c r="EQ70" s="90" t="n">
        <v>200000</v>
      </c>
      <c r="ER70" s="90" t="n">
        <v>200000</v>
      </c>
      <c r="ES70" s="90" t="n">
        <v>200000</v>
      </c>
      <c r="ET70" s="90" t="n">
        <v>200000</v>
      </c>
      <c r="EU70" s="90" t="n">
        <v>200000</v>
      </c>
      <c r="EV70" s="90" t="n">
        <v>200000</v>
      </c>
      <c r="EW70" s="90" t="n">
        <v>200000</v>
      </c>
      <c r="EX70" s="90" t="n">
        <v>200000</v>
      </c>
      <c r="EY70" s="90" t="n">
        <v>200000</v>
      </c>
      <c r="EZ70" s="90" t="n">
        <v>200000</v>
      </c>
      <c r="FA70" s="90" t="n">
        <v>200000</v>
      </c>
    </row>
    <row r="71" ht="15.75" customHeight="1">
      <c r="A71" s="71" t="inlineStr">
        <is>
          <t>Pasivo por impuestos a la utilidad</t>
        </is>
      </c>
      <c r="BY71" s="90" t="n">
        <v>230000</v>
      </c>
      <c r="BZ71" s="90" t="n">
        <v>230000</v>
      </c>
      <c r="CA71" s="90" t="n">
        <v>230000</v>
      </c>
      <c r="CB71" s="90" t="n">
        <v>230000</v>
      </c>
      <c r="CC71" s="90" t="n">
        <v>230000</v>
      </c>
      <c r="CD71" s="90" t="n">
        <v>230000</v>
      </c>
      <c r="CE71" s="90" t="n">
        <v>230000</v>
      </c>
      <c r="CF71" s="90" t="n">
        <v>230000</v>
      </c>
      <c r="CG71" s="90" t="n">
        <v>230000</v>
      </c>
      <c r="CH71" s="90" t="n">
        <v>230000</v>
      </c>
      <c r="CI71" s="90" t="n">
        <v>230000</v>
      </c>
      <c r="CJ71" s="90" t="n">
        <v>230000</v>
      </c>
      <c r="CK71" s="90" t="n">
        <v>230000</v>
      </c>
      <c r="CL71" s="90" t="n">
        <v>230000</v>
      </c>
      <c r="CM71" s="90" t="n">
        <v>230000</v>
      </c>
      <c r="CN71" s="90" t="n">
        <v>230000</v>
      </c>
      <c r="CO71" s="90" t="n">
        <v>230000</v>
      </c>
      <c r="CP71" s="90" t="n">
        <v>230000</v>
      </c>
      <c r="CQ71" s="162" t="n">
        <v>230000</v>
      </c>
      <c r="CR71" s="90" t="n">
        <v>230000</v>
      </c>
      <c r="CS71" s="90" t="n">
        <v>230000</v>
      </c>
      <c r="CT71" s="90" t="n">
        <v>230000</v>
      </c>
      <c r="CU71" s="90" t="n">
        <v>230000</v>
      </c>
      <c r="CV71" s="90" t="n">
        <v>230000</v>
      </c>
      <c r="CW71" s="90" t="n">
        <v>230000</v>
      </c>
      <c r="CX71" s="90" t="n">
        <v>230000</v>
      </c>
      <c r="CY71" s="90" t="n">
        <v>230000</v>
      </c>
      <c r="CZ71" s="90" t="n">
        <v>230000</v>
      </c>
      <c r="DA71" s="90" t="n">
        <v>230000</v>
      </c>
      <c r="DB71" s="90" t="n">
        <v>230000</v>
      </c>
      <c r="DC71" s="163" t="n">
        <v>230000</v>
      </c>
      <c r="DD71" s="90" t="n">
        <v>230000</v>
      </c>
      <c r="DE71" s="90" t="n">
        <v>230000</v>
      </c>
      <c r="DF71" s="90" t="n">
        <v>230000</v>
      </c>
      <c r="DG71" s="90" t="n">
        <v>230000</v>
      </c>
      <c r="DH71" s="90" t="n">
        <v>230000</v>
      </c>
      <c r="DI71" s="90" t="n">
        <v>230000</v>
      </c>
      <c r="DJ71" s="90" t="n">
        <v>230000</v>
      </c>
      <c r="DK71" s="90" t="n">
        <v>230000</v>
      </c>
      <c r="DL71" s="90" t="n">
        <v>230000</v>
      </c>
      <c r="DM71" s="90" t="n">
        <v>230000</v>
      </c>
      <c r="DN71" s="90" t="n">
        <v>230000</v>
      </c>
      <c r="DO71" s="90" t="n">
        <v>230000</v>
      </c>
      <c r="DP71" s="90" t="n">
        <v>230000</v>
      </c>
      <c r="DQ71" s="90" t="n">
        <v>230000</v>
      </c>
      <c r="DR71" s="90" t="n">
        <v>230000</v>
      </c>
      <c r="DS71" s="90" t="n">
        <v>230000</v>
      </c>
      <c r="DT71" s="90" t="n">
        <v>230000</v>
      </c>
      <c r="DU71" s="90" t="n">
        <v>230000</v>
      </c>
      <c r="DV71" s="90" t="n">
        <v>230000</v>
      </c>
      <c r="DW71" s="90" t="n">
        <v>230000</v>
      </c>
      <c r="DX71" s="90" t="n">
        <v>230000</v>
      </c>
      <c r="DY71" s="90" t="n">
        <v>230000</v>
      </c>
      <c r="DZ71" s="90" t="n">
        <v>230000</v>
      </c>
      <c r="EA71" s="90" t="n">
        <v>230000</v>
      </c>
      <c r="EB71" s="90" t="n">
        <v>230000</v>
      </c>
      <c r="EC71" s="90" t="n">
        <v>230000</v>
      </c>
      <c r="ED71" s="90" t="n">
        <v>230000</v>
      </c>
      <c r="EE71" s="90" t="n">
        <v>230000</v>
      </c>
      <c r="EF71" s="90" t="n">
        <v>230000</v>
      </c>
      <c r="EG71" s="90" t="n">
        <v>230000</v>
      </c>
      <c r="EH71" s="90" t="n">
        <v>230000</v>
      </c>
      <c r="EI71" s="90" t="n">
        <v>230000</v>
      </c>
      <c r="EJ71" s="90" t="n">
        <v>230000</v>
      </c>
      <c r="EK71" s="90" t="n">
        <v>230000</v>
      </c>
      <c r="EL71" s="90" t="n">
        <v>230000</v>
      </c>
      <c r="EM71" s="90" t="n">
        <v>230000</v>
      </c>
      <c r="EN71" s="90" t="n">
        <v>230000</v>
      </c>
      <c r="EO71" s="90" t="n">
        <v>230000</v>
      </c>
      <c r="EP71" s="90" t="n">
        <v>230000</v>
      </c>
      <c r="EQ71" s="90" t="n">
        <v>230000</v>
      </c>
      <c r="ER71" s="90" t="n">
        <v>230000</v>
      </c>
      <c r="ES71" s="90" t="n">
        <v>230000</v>
      </c>
      <c r="ET71" s="90" t="n">
        <v>230000</v>
      </c>
      <c r="EU71" s="90" t="n">
        <v>230000</v>
      </c>
      <c r="EV71" s="90" t="n">
        <v>230000</v>
      </c>
      <c r="EW71" s="90" t="n">
        <v>230000</v>
      </c>
      <c r="EX71" s="90" t="n">
        <v>230000</v>
      </c>
      <c r="EY71" s="90" t="n">
        <v>230000</v>
      </c>
      <c r="EZ71" s="90" t="n">
        <v>230000</v>
      </c>
      <c r="FA71" s="90" t="n">
        <v>230000</v>
      </c>
    </row>
    <row r="72" ht="15.75" customHeight="1">
      <c r="A72" s="71" t="inlineStr">
        <is>
          <t>Pasivo por Beneficios a Empleados</t>
        </is>
      </c>
      <c r="BY72" s="90" t="n">
        <v>400000</v>
      </c>
      <c r="BZ72" s="90" t="n">
        <v>400000</v>
      </c>
      <c r="CA72" s="90" t="n">
        <v>400000</v>
      </c>
      <c r="CB72" s="90" t="n">
        <v>400000</v>
      </c>
      <c r="CC72" s="90" t="n">
        <v>400000</v>
      </c>
      <c r="CD72" s="90" t="n">
        <v>400000</v>
      </c>
      <c r="CE72" s="90" t="n">
        <v>400000</v>
      </c>
      <c r="CF72" s="90" t="n">
        <v>400000</v>
      </c>
      <c r="CG72" s="90" t="n">
        <v>400000</v>
      </c>
      <c r="CH72" s="90" t="n">
        <v>400000</v>
      </c>
      <c r="CI72" s="90" t="n">
        <v>400000</v>
      </c>
      <c r="CJ72" s="90" t="n">
        <v>400000</v>
      </c>
      <c r="CK72" s="90" t="n">
        <v>400000</v>
      </c>
      <c r="CL72" s="90" t="n">
        <v>400000</v>
      </c>
      <c r="CM72" s="90" t="n">
        <v>400000</v>
      </c>
      <c r="CN72" s="90" t="n">
        <v>400000</v>
      </c>
      <c r="CO72" s="90" t="n">
        <v>400000</v>
      </c>
      <c r="CP72" s="90" t="n">
        <v>400000</v>
      </c>
      <c r="CQ72" s="162" t="n">
        <v>400000</v>
      </c>
      <c r="CR72" s="90" t="n">
        <v>400000</v>
      </c>
      <c r="CS72" s="90" t="n">
        <v>400000</v>
      </c>
      <c r="CT72" s="90" t="n">
        <v>400000</v>
      </c>
      <c r="CU72" s="90" t="n">
        <v>400000</v>
      </c>
      <c r="CV72" s="90" t="n">
        <v>400000</v>
      </c>
      <c r="CW72" s="90" t="n">
        <v>400000</v>
      </c>
      <c r="CX72" s="90" t="n">
        <v>400000</v>
      </c>
      <c r="CY72" s="90" t="n">
        <v>400000</v>
      </c>
      <c r="CZ72" s="90" t="n">
        <v>400000</v>
      </c>
      <c r="DA72" s="90" t="n">
        <v>400000</v>
      </c>
      <c r="DB72" s="90" t="n">
        <v>400000</v>
      </c>
      <c r="DC72" s="163" t="n">
        <v>400000</v>
      </c>
      <c r="DD72" s="90" t="n">
        <v>400000</v>
      </c>
      <c r="DE72" s="90" t="n">
        <v>400000</v>
      </c>
      <c r="DF72" s="90" t="n">
        <v>400000</v>
      </c>
      <c r="DG72" s="90" t="n">
        <v>400000</v>
      </c>
      <c r="DH72" s="90" t="n">
        <v>400000</v>
      </c>
      <c r="DI72" s="90" t="n">
        <v>400000</v>
      </c>
      <c r="DJ72" s="90" t="n">
        <v>400000</v>
      </c>
      <c r="DK72" s="90" t="n">
        <v>400000</v>
      </c>
      <c r="DL72" s="90" t="n">
        <v>400000</v>
      </c>
      <c r="DM72" s="90" t="n">
        <v>400000</v>
      </c>
      <c r="DN72" s="90" t="n">
        <v>400000</v>
      </c>
      <c r="DO72" s="90" t="n">
        <v>400000</v>
      </c>
      <c r="DP72" s="90" t="n">
        <v>400000</v>
      </c>
      <c r="DQ72" s="90" t="n">
        <v>400000</v>
      </c>
      <c r="DR72" s="90" t="n">
        <v>400000</v>
      </c>
      <c r="DS72" s="90" t="n">
        <v>400000</v>
      </c>
      <c r="DT72" s="90" t="n">
        <v>400000</v>
      </c>
      <c r="DU72" s="90" t="n">
        <v>400000</v>
      </c>
      <c r="DV72" s="90" t="n">
        <v>400000</v>
      </c>
      <c r="DW72" s="90" t="n">
        <v>400000</v>
      </c>
      <c r="DX72" s="90" t="n">
        <v>400000</v>
      </c>
      <c r="DY72" s="90" t="n">
        <v>400000</v>
      </c>
      <c r="DZ72" s="90" t="n">
        <v>400000</v>
      </c>
      <c r="EA72" s="90" t="n">
        <v>400000</v>
      </c>
      <c r="EB72" s="90" t="n">
        <v>400000</v>
      </c>
      <c r="EC72" s="90" t="n">
        <v>400000</v>
      </c>
      <c r="ED72" s="90" t="n">
        <v>400000</v>
      </c>
      <c r="EE72" s="90" t="n">
        <v>400000</v>
      </c>
      <c r="EF72" s="90" t="n">
        <v>400000</v>
      </c>
      <c r="EG72" s="90" t="n">
        <v>400000</v>
      </c>
      <c r="EH72" s="90" t="n">
        <v>400000</v>
      </c>
      <c r="EI72" s="90" t="n">
        <v>400000</v>
      </c>
      <c r="EJ72" s="90" t="n">
        <v>400000</v>
      </c>
      <c r="EK72" s="90" t="n">
        <v>400000</v>
      </c>
      <c r="EL72" s="90" t="n">
        <v>400000</v>
      </c>
      <c r="EM72" s="90" t="n">
        <v>400000</v>
      </c>
      <c r="EN72" s="90" t="n">
        <v>400000</v>
      </c>
      <c r="EO72" s="90" t="n">
        <v>400000</v>
      </c>
      <c r="EP72" s="90" t="n">
        <v>400000</v>
      </c>
      <c r="EQ72" s="90" t="n">
        <v>400000</v>
      </c>
      <c r="ER72" s="90" t="n">
        <v>400000</v>
      </c>
      <c r="ES72" s="90" t="n">
        <v>400000</v>
      </c>
      <c r="ET72" s="90" t="n">
        <v>400000</v>
      </c>
      <c r="EU72" s="90" t="n">
        <v>400000</v>
      </c>
      <c r="EV72" s="90" t="n">
        <v>400000</v>
      </c>
      <c r="EW72" s="90" t="n">
        <v>400000</v>
      </c>
      <c r="EX72" s="90" t="n">
        <v>400000</v>
      </c>
      <c r="EY72" s="90" t="n">
        <v>400000</v>
      </c>
      <c r="EZ72" s="90" t="n">
        <v>400000</v>
      </c>
      <c r="FA72" s="90" t="n">
        <v>400000</v>
      </c>
    </row>
    <row r="73" ht="15.75" customHeight="1">
      <c r="A73" s="89" t="inlineStr">
        <is>
          <t>Total Pasivo</t>
        </is>
      </c>
      <c r="B73" s="89" t="n"/>
      <c r="C73" s="89" t="n"/>
      <c r="D73" s="89" t="n"/>
      <c r="E73" s="89" t="n"/>
      <c r="F73" s="89" t="n"/>
      <c r="G73" s="89" t="n"/>
      <c r="H73" s="89" t="n"/>
      <c r="I73" s="89" t="n"/>
      <c r="J73" s="89" t="n"/>
      <c r="K73" s="89" t="n"/>
      <c r="L73" s="89" t="n"/>
      <c r="M73" s="89" t="n"/>
      <c r="N73" s="89" t="n"/>
      <c r="O73" s="89" t="n"/>
      <c r="P73" s="89" t="n"/>
      <c r="Q73" s="89" t="n"/>
      <c r="R73" s="89" t="n"/>
      <c r="S73" s="89" t="n"/>
      <c r="T73" s="89" t="n"/>
      <c r="U73" s="89" t="n"/>
      <c r="V73" s="89" t="n"/>
      <c r="W73" s="89" t="n"/>
      <c r="X73" s="89" t="n"/>
      <c r="Y73" s="89" t="n"/>
      <c r="Z73" s="89" t="n"/>
      <c r="AA73" s="89" t="n"/>
      <c r="AB73" s="89" t="n"/>
      <c r="AC73" s="89" t="n"/>
      <c r="AD73" s="89" t="n"/>
      <c r="AE73" s="89" t="n"/>
      <c r="AF73" s="89" t="n"/>
      <c r="AG73" s="89" t="n"/>
      <c r="AH73" s="89" t="n"/>
      <c r="AI73" s="89" t="n"/>
      <c r="AJ73" s="89" t="n"/>
      <c r="AK73" s="89" t="n"/>
      <c r="AL73" s="89" t="n"/>
      <c r="AM73" s="89" t="n"/>
      <c r="AN73" s="89" t="n"/>
      <c r="AO73" s="89" t="n"/>
      <c r="AP73" s="89" t="n"/>
      <c r="AQ73" s="89" t="n"/>
      <c r="AR73" s="89" t="n"/>
      <c r="AS73" s="89" t="n"/>
      <c r="AT73" s="89" t="n"/>
      <c r="AU73" s="89" t="n"/>
      <c r="AV73" s="89" t="n"/>
      <c r="AW73" s="89" t="n"/>
      <c r="AX73" s="89" t="n"/>
      <c r="AY73" s="89" t="n"/>
      <c r="AZ73" s="89" t="n"/>
      <c r="BA73" s="89" t="n"/>
      <c r="BB73" s="89" t="n"/>
      <c r="BC73" s="89" t="n"/>
      <c r="BD73" s="89" t="n"/>
      <c r="BE73" s="89" t="n"/>
      <c r="BF73" s="89" t="n"/>
      <c r="BG73" s="89" t="n"/>
      <c r="BH73" s="89" t="n"/>
      <c r="BI73" s="89" t="n"/>
      <c r="BJ73" s="89" t="n"/>
      <c r="BK73" s="89" t="n"/>
      <c r="BL73" s="89" t="n"/>
      <c r="BM73" s="89" t="n"/>
      <c r="BN73" s="89" t="n"/>
      <c r="BO73" s="89" t="n"/>
      <c r="BP73" s="89" t="n"/>
      <c r="BQ73" s="89" t="n"/>
      <c r="BR73" s="89" t="n"/>
      <c r="BS73" s="89" t="n"/>
      <c r="BT73" s="89" t="n"/>
      <c r="BU73" s="89" t="n"/>
      <c r="BV73" s="89" t="n"/>
      <c r="BW73" s="89" t="n"/>
      <c r="BX73" s="89" t="n"/>
      <c r="BY73" s="152">
        <f>SUM(BY65:BY72)</f>
        <v/>
      </c>
      <c r="BZ73" s="152">
        <f>SUM(BZ65:BZ72)</f>
        <v/>
      </c>
      <c r="CA73" s="152">
        <f>SUM(CA65:CA72)</f>
        <v/>
      </c>
      <c r="CB73" s="152">
        <f>SUM(CB65:CB72)</f>
        <v/>
      </c>
      <c r="CC73" s="152">
        <f>SUM(CC65:CC72)</f>
        <v/>
      </c>
      <c r="CD73" s="152">
        <f>SUM(CD65:CD72)</f>
        <v/>
      </c>
      <c r="CE73" s="152">
        <f>SUM(CE65:CE72)</f>
        <v/>
      </c>
      <c r="CF73" s="152">
        <f>SUM(CF65:CF72)</f>
        <v/>
      </c>
      <c r="CG73" s="152">
        <f>SUM(CG65:CG72)</f>
        <v/>
      </c>
      <c r="CH73" s="152">
        <f>SUM(CH65:CH72)</f>
        <v/>
      </c>
      <c r="CI73" s="152">
        <f>SUM(CI65:CI72)</f>
        <v/>
      </c>
      <c r="CJ73" s="152">
        <f>SUM(CJ65:CJ72)</f>
        <v/>
      </c>
      <c r="CK73" s="152">
        <f>SUM(CK65:CK72)</f>
        <v/>
      </c>
      <c r="CL73" s="152">
        <f>SUM(CL65:CL72)</f>
        <v/>
      </c>
      <c r="CM73" s="152">
        <f>SUM(CM65:CM72)</f>
        <v/>
      </c>
      <c r="CN73" s="152">
        <f>SUM(CN65:CN72)</f>
        <v/>
      </c>
      <c r="CO73" s="152">
        <f>SUM(CO65:CO72)</f>
        <v/>
      </c>
      <c r="CP73" s="152">
        <f>SUM(CP65:CP72)</f>
        <v/>
      </c>
      <c r="CQ73" s="157">
        <f>SUM(CQ65:CQ72)</f>
        <v/>
      </c>
      <c r="CR73" s="152">
        <f>SUM(CR65:CR72)</f>
        <v/>
      </c>
      <c r="CS73" s="152">
        <f>SUM(CS65:CS72)</f>
        <v/>
      </c>
      <c r="CT73" s="152">
        <f>SUM(CT65:CT72)</f>
        <v/>
      </c>
      <c r="CU73" s="152">
        <f>SUM(CU65:CU72)</f>
        <v/>
      </c>
      <c r="CV73" s="152">
        <f>SUM(CV65:CV72)</f>
        <v/>
      </c>
      <c r="CW73" s="152">
        <f>SUM(CW65:CW72)</f>
        <v/>
      </c>
      <c r="CX73" s="152">
        <f>SUM(CX65:CX72)</f>
        <v/>
      </c>
      <c r="CY73" s="152">
        <f>SUM(CY65:CY72)</f>
        <v/>
      </c>
      <c r="CZ73" s="152">
        <f>SUM(CZ65:CZ72)</f>
        <v/>
      </c>
      <c r="DA73" s="152">
        <f>SUM(DA65:DA72)</f>
        <v/>
      </c>
      <c r="DB73" s="152">
        <f>SUM(DB65:DB72)</f>
        <v/>
      </c>
      <c r="DC73" s="158">
        <f>SUM(DC65:DC72)</f>
        <v/>
      </c>
      <c r="DD73" s="152">
        <f>SUM(DD65:DD72)</f>
        <v/>
      </c>
      <c r="DE73" s="152">
        <f>SUM(DE65:DE72)</f>
        <v/>
      </c>
      <c r="DF73" s="152">
        <f>SUM(DF65:DF72)</f>
        <v/>
      </c>
      <c r="DG73" s="152">
        <f>SUM(DG65:DG72)</f>
        <v/>
      </c>
      <c r="DH73" s="152">
        <f>SUM(DH65:DH72)</f>
        <v/>
      </c>
      <c r="DI73" s="152">
        <f>SUM(DI65:DI72)</f>
        <v/>
      </c>
      <c r="DJ73" s="152">
        <f>SUM(DJ65:DJ72)</f>
        <v/>
      </c>
      <c r="DK73" s="152">
        <f>SUM(DK65:DK72)</f>
        <v/>
      </c>
      <c r="DL73" s="152">
        <f>SUM(DL65:DL72)</f>
        <v/>
      </c>
      <c r="DM73" s="152">
        <f>SUM(DM65:DM72)</f>
        <v/>
      </c>
      <c r="DN73" s="152">
        <f>SUM(DN65:DN72)</f>
        <v/>
      </c>
      <c r="DO73" s="152">
        <f>SUM(DO65:DO72)</f>
        <v/>
      </c>
      <c r="DP73" s="152">
        <f>SUM(DP65:DP72)</f>
        <v/>
      </c>
      <c r="DQ73" s="152">
        <f>SUM(DQ65:DQ72)</f>
        <v/>
      </c>
      <c r="DR73" s="152">
        <f>SUM(DR65:DR72)</f>
        <v/>
      </c>
      <c r="DS73" s="152">
        <f>SUM(DS65:DS72)</f>
        <v/>
      </c>
      <c r="DT73" s="152">
        <f>SUM(DT65:DT72)</f>
        <v/>
      </c>
      <c r="DU73" s="152">
        <f>SUM(DU65:DU72)</f>
        <v/>
      </c>
      <c r="DV73" s="152">
        <f>SUM(DV65:DV72)</f>
        <v/>
      </c>
      <c r="DW73" s="152">
        <f>SUM(DW65:DW72)</f>
        <v/>
      </c>
      <c r="DX73" s="152">
        <f>SUM(DX65:DX72)</f>
        <v/>
      </c>
      <c r="DY73" s="152">
        <f>SUM(DY65:DY72)</f>
        <v/>
      </c>
      <c r="DZ73" s="152">
        <f>SUM(DZ65:DZ72)</f>
        <v/>
      </c>
      <c r="EA73" s="152">
        <f>SUM(EA65:EA72)</f>
        <v/>
      </c>
      <c r="EB73" s="152">
        <f>SUM(EB65:EB72)</f>
        <v/>
      </c>
      <c r="EC73" s="152">
        <f>SUM(EC65:EC72)</f>
        <v/>
      </c>
      <c r="ED73" s="152">
        <f>SUM(ED65:ED72)</f>
        <v/>
      </c>
      <c r="EE73" s="152">
        <f>SUM(EE65:EE72)</f>
        <v/>
      </c>
      <c r="EF73" s="152">
        <f>SUM(EF65:EF72)</f>
        <v/>
      </c>
      <c r="EG73" s="152">
        <f>SUM(EG65:EG72)</f>
        <v/>
      </c>
      <c r="EH73" s="152">
        <f>SUM(EH65:EH72)</f>
        <v/>
      </c>
      <c r="EI73" s="152">
        <f>SUM(EI65:EI72)</f>
        <v/>
      </c>
      <c r="EJ73" s="152">
        <f>SUM(EJ65:EJ72)</f>
        <v/>
      </c>
      <c r="EK73" s="152">
        <f>SUM(EK65:EK72)</f>
        <v/>
      </c>
      <c r="EL73" s="152">
        <f>SUM(EL65:EL72)</f>
        <v/>
      </c>
      <c r="EM73" s="152">
        <f>SUM(EM65:EM72)</f>
        <v/>
      </c>
      <c r="EN73" s="152">
        <f>SUM(EN65:EN72)</f>
        <v/>
      </c>
      <c r="EO73" s="152">
        <f>SUM(EO65:EO72)</f>
        <v/>
      </c>
      <c r="EP73" s="152">
        <f>SUM(EP65:EP72)</f>
        <v/>
      </c>
      <c r="EQ73" s="152">
        <f>SUM(EQ65:EQ72)</f>
        <v/>
      </c>
      <c r="ER73" s="152">
        <f>SUM(ER65:ER72)</f>
        <v/>
      </c>
      <c r="ES73" s="152">
        <f>SUM(ES65:ES72)</f>
        <v/>
      </c>
      <c r="ET73" s="152">
        <f>SUM(ET65:ET72)</f>
        <v/>
      </c>
      <c r="EU73" s="152">
        <f>SUM(EU65:EU72)</f>
        <v/>
      </c>
      <c r="EV73" s="152">
        <f>SUM(EV65:EV72)</f>
        <v/>
      </c>
      <c r="EW73" s="152">
        <f>SUM(EW65:EW72)</f>
        <v/>
      </c>
      <c r="EX73" s="152">
        <f>SUM(EX65:EX72)</f>
        <v/>
      </c>
      <c r="EY73" s="152">
        <f>SUM(EY65:EY72)</f>
        <v/>
      </c>
      <c r="EZ73" s="152">
        <f>SUM(EZ65:EZ72)</f>
        <v/>
      </c>
      <c r="FA73" s="152">
        <f>SUM(FA65:FA72)</f>
        <v/>
      </c>
    </row>
    <row r="74" ht="15.75" customHeight="1">
      <c r="BY74" s="90" t="n"/>
      <c r="BZ74" s="90" t="n"/>
      <c r="CA74" s="90" t="n"/>
      <c r="CB74" s="90" t="n"/>
      <c r="CC74" s="90" t="n"/>
      <c r="CD74" s="90" t="n"/>
      <c r="CE74" s="90" t="n"/>
      <c r="CF74" s="90" t="n"/>
      <c r="CG74" s="90" t="n"/>
      <c r="CH74" s="90" t="n"/>
      <c r="CI74" s="90" t="n"/>
      <c r="CJ74" s="90" t="n"/>
      <c r="CK74" s="90" t="n"/>
      <c r="CL74" s="90" t="n"/>
      <c r="CM74" s="90" t="n"/>
      <c r="CN74" s="90" t="n"/>
      <c r="CO74" s="90" t="n"/>
      <c r="CP74" s="90" t="n"/>
      <c r="CQ74" s="162" t="n"/>
      <c r="CR74" s="90" t="n"/>
      <c r="CS74" s="90" t="n"/>
      <c r="CT74" s="90" t="n"/>
      <c r="CU74" s="90" t="n"/>
      <c r="CV74" s="90" t="n"/>
      <c r="CW74" s="90" t="n"/>
      <c r="CX74" s="90" t="n"/>
      <c r="CY74" s="90" t="n"/>
      <c r="CZ74" s="90" t="n"/>
      <c r="DA74" s="90" t="n"/>
      <c r="DB74" s="90" t="n"/>
      <c r="DC74" s="163" t="n"/>
      <c r="DD74" s="90" t="n"/>
      <c r="DE74" s="90" t="n"/>
      <c r="DF74" s="90" t="n"/>
      <c r="DG74" s="90" t="n"/>
      <c r="DH74" s="90" t="n"/>
      <c r="DI74" s="90" t="n"/>
      <c r="DJ74" s="90" t="n"/>
      <c r="DK74" s="90" t="n"/>
      <c r="DL74" s="90" t="n"/>
      <c r="DM74" s="90" t="n"/>
      <c r="DN74" s="90" t="n"/>
      <c r="DO74" s="90" t="n"/>
      <c r="DP74" s="90" t="n"/>
      <c r="DQ74" s="90" t="n"/>
      <c r="DR74" s="90" t="n"/>
      <c r="DS74" s="90" t="n"/>
      <c r="DT74" s="90" t="n"/>
      <c r="DU74" s="90" t="n"/>
      <c r="DV74" s="90" t="n"/>
      <c r="DW74" s="90" t="n"/>
      <c r="DX74" s="90" t="n"/>
      <c r="DY74" s="90" t="n"/>
      <c r="DZ74" s="90" t="n"/>
      <c r="EA74" s="90" t="n"/>
      <c r="EB74" s="90" t="n"/>
      <c r="EC74" s="90" t="n"/>
      <c r="ED74" s="90" t="n"/>
      <c r="EE74" s="90" t="n"/>
      <c r="EF74" s="90" t="n"/>
      <c r="EG74" s="90" t="n"/>
      <c r="EH74" s="90" t="n"/>
      <c r="EI74" s="90" t="n"/>
      <c r="EJ74" s="90" t="n"/>
      <c r="EK74" s="90" t="n"/>
      <c r="EL74" s="90" t="n"/>
      <c r="EM74" s="90" t="n"/>
      <c r="EN74" s="90" t="n"/>
      <c r="EO74" s="90" t="n"/>
      <c r="EP74" s="90" t="n"/>
      <c r="EQ74" s="90" t="n"/>
      <c r="ER74" s="90" t="n"/>
      <c r="ES74" s="90" t="n"/>
      <c r="ET74" s="90" t="n"/>
      <c r="EU74" s="90" t="n"/>
      <c r="EV74" s="90" t="n"/>
      <c r="EW74" s="90" t="n"/>
      <c r="EX74" s="90" t="n"/>
      <c r="EY74" s="90" t="n"/>
      <c r="EZ74" s="90" t="n"/>
      <c r="FA74" s="90" t="n"/>
    </row>
    <row r="75" ht="15.75" customHeight="1">
      <c r="A75" s="71" t="inlineStr">
        <is>
          <t>Capital Social</t>
        </is>
      </c>
      <c r="BY75" s="90" t="n">
        <v>3564000</v>
      </c>
      <c r="BZ75" s="90" t="n">
        <v>3564000</v>
      </c>
      <c r="CA75" s="90" t="n">
        <v>3564000</v>
      </c>
      <c r="CB75" s="90" t="n">
        <v>3564000</v>
      </c>
      <c r="CC75" s="90" t="n">
        <v>3564000</v>
      </c>
      <c r="CD75" s="90" t="n">
        <v>3564000</v>
      </c>
      <c r="CE75" s="90" t="n">
        <v>3564000</v>
      </c>
      <c r="CF75" s="90" t="n">
        <v>3564000</v>
      </c>
      <c r="CG75" s="90" t="n">
        <v>3564000</v>
      </c>
      <c r="CH75" s="90" t="n">
        <v>3564000</v>
      </c>
      <c r="CI75" s="90" t="n">
        <v>3564000</v>
      </c>
      <c r="CJ75" s="90" t="n">
        <v>3564000</v>
      </c>
      <c r="CK75" s="90" t="n">
        <v>3564000</v>
      </c>
      <c r="CL75" s="90" t="n">
        <v>3564000</v>
      </c>
      <c r="CM75" s="90" t="n">
        <v>3564000</v>
      </c>
      <c r="CN75" s="90" t="n">
        <v>3564000</v>
      </c>
      <c r="CO75" s="90" t="n">
        <v>3564000</v>
      </c>
      <c r="CP75" s="90" t="n">
        <v>3564000</v>
      </c>
      <c r="CQ75" s="162" t="n">
        <v>3564000</v>
      </c>
      <c r="CR75" s="90" t="n">
        <v>3564000</v>
      </c>
      <c r="CS75" s="90" t="n">
        <v>3564000</v>
      </c>
      <c r="CT75" s="90" t="n">
        <v>3564000</v>
      </c>
      <c r="CU75" s="90" t="n">
        <v>3564000</v>
      </c>
      <c r="CV75" s="90" t="n">
        <v>3564000</v>
      </c>
      <c r="CW75" s="90" t="n">
        <v>3564000</v>
      </c>
      <c r="CX75" s="90" t="n">
        <v>3564000</v>
      </c>
      <c r="CY75" s="90" t="n">
        <v>3564000</v>
      </c>
      <c r="CZ75" s="90" t="n">
        <v>3564000</v>
      </c>
      <c r="DA75" s="90" t="n">
        <v>3564000</v>
      </c>
      <c r="DB75" s="90" t="n">
        <v>3564000</v>
      </c>
      <c r="DC75" s="163" t="n">
        <v>3564000</v>
      </c>
      <c r="DD75" s="90" t="n">
        <v>3564000</v>
      </c>
      <c r="DE75" s="90" t="n">
        <v>3564000</v>
      </c>
      <c r="DF75" s="90" t="n">
        <v>3564000</v>
      </c>
      <c r="DG75" s="90" t="n">
        <v>3564000</v>
      </c>
      <c r="DH75" s="90" t="n">
        <v>3564000</v>
      </c>
      <c r="DI75" s="90" t="n">
        <v>3564000</v>
      </c>
      <c r="DJ75" s="90" t="n">
        <v>3564000</v>
      </c>
      <c r="DK75" s="90" t="n">
        <v>3564000</v>
      </c>
      <c r="DL75" s="90" t="n">
        <v>3564000</v>
      </c>
      <c r="DM75" s="90" t="n">
        <v>3564000</v>
      </c>
      <c r="DN75" s="90" t="n">
        <v>3564000</v>
      </c>
      <c r="DO75" s="90" t="n">
        <v>3564000</v>
      </c>
      <c r="DP75" s="90" t="n">
        <v>3564000</v>
      </c>
      <c r="DQ75" s="90" t="n">
        <v>3564000</v>
      </c>
      <c r="DR75" s="90" t="n">
        <v>3564000</v>
      </c>
      <c r="DS75" s="90" t="n">
        <v>3564000</v>
      </c>
      <c r="DT75" s="90" t="n">
        <v>3564000</v>
      </c>
      <c r="DU75" s="90" t="n">
        <v>3564000</v>
      </c>
      <c r="DV75" s="90" t="n">
        <v>3564000</v>
      </c>
      <c r="DW75" s="90" t="n">
        <v>3564000</v>
      </c>
      <c r="DX75" s="90" t="n">
        <v>3564000</v>
      </c>
      <c r="DY75" s="90" t="n">
        <v>3564000</v>
      </c>
      <c r="DZ75" s="90" t="n">
        <v>3564000</v>
      </c>
      <c r="EA75" s="90" t="n">
        <v>3564000</v>
      </c>
      <c r="EB75" s="90" t="n">
        <v>3564000</v>
      </c>
      <c r="EC75" s="90" t="n">
        <v>3564000</v>
      </c>
      <c r="ED75" s="90" t="n">
        <v>3564000</v>
      </c>
      <c r="EE75" s="90" t="n">
        <v>3564000</v>
      </c>
      <c r="EF75" s="90" t="n">
        <v>3564000</v>
      </c>
      <c r="EG75" s="90" t="n">
        <v>3564000</v>
      </c>
      <c r="EH75" s="90" t="n">
        <v>3564000</v>
      </c>
      <c r="EI75" s="90" t="n">
        <v>3564000</v>
      </c>
      <c r="EJ75" s="90" t="n">
        <v>3564000</v>
      </c>
      <c r="EK75" s="90" t="n">
        <v>3564000</v>
      </c>
      <c r="EL75" s="90" t="n">
        <v>3564000</v>
      </c>
      <c r="EM75" s="90" t="n">
        <v>3564000</v>
      </c>
      <c r="EN75" s="90" t="n">
        <v>3564000</v>
      </c>
      <c r="EO75" s="90" t="n">
        <v>3564000</v>
      </c>
      <c r="EP75" s="90" t="n">
        <v>3564000</v>
      </c>
      <c r="EQ75" s="90" t="n">
        <v>3564000</v>
      </c>
      <c r="ER75" s="90" t="n">
        <v>3564000</v>
      </c>
      <c r="ES75" s="90" t="n">
        <v>3564000</v>
      </c>
      <c r="ET75" s="90" t="n">
        <v>3564000</v>
      </c>
      <c r="EU75" s="90" t="n">
        <v>3564000</v>
      </c>
      <c r="EV75" s="90" t="n">
        <v>3564000</v>
      </c>
      <c r="EW75" s="90" t="n">
        <v>3564000</v>
      </c>
      <c r="EX75" s="90" t="n">
        <v>3564000</v>
      </c>
      <c r="EY75" s="90" t="n">
        <v>3564000</v>
      </c>
      <c r="EZ75" s="90" t="n">
        <v>3564000</v>
      </c>
      <c r="FA75" s="90" t="n">
        <v>3564000</v>
      </c>
    </row>
    <row r="76" ht="15.75" customHeight="1">
      <c r="A76" s="71" t="inlineStr">
        <is>
          <t>Aportaciones para futuros aumentos de capital</t>
        </is>
      </c>
      <c r="BY76" s="90" t="n"/>
      <c r="BZ76" s="90" t="n"/>
      <c r="CA76" s="90" t="n"/>
      <c r="CB76" s="90" t="n"/>
      <c r="CC76" s="90" t="n"/>
      <c r="CD76" s="90" t="n"/>
      <c r="CE76" s="90" t="n"/>
      <c r="CF76" s="90" t="n"/>
      <c r="CG76" s="90" t="n"/>
      <c r="CH76" s="90" t="n">
        <v>22768000</v>
      </c>
      <c r="CI76" s="90" t="n">
        <v>22768000</v>
      </c>
      <c r="CJ76" s="90" t="n">
        <v>22768000</v>
      </c>
      <c r="CK76" s="90" t="n">
        <v>22768000</v>
      </c>
      <c r="CL76" s="90" t="n">
        <v>22768000</v>
      </c>
      <c r="CM76" s="90" t="n">
        <v>22768000</v>
      </c>
      <c r="CN76" s="90" t="n">
        <v>22768000</v>
      </c>
      <c r="CO76" s="90" t="n">
        <v>22768000</v>
      </c>
      <c r="CP76" s="90" t="n">
        <v>22768000</v>
      </c>
      <c r="CQ76" s="162" t="n">
        <v>22768000</v>
      </c>
      <c r="CR76" s="90" t="n">
        <v>22768000</v>
      </c>
      <c r="CS76" s="90" t="n">
        <v>22768000</v>
      </c>
      <c r="CT76" s="90" t="n">
        <v>22768000</v>
      </c>
      <c r="CU76" s="90" t="n">
        <v>22768000</v>
      </c>
      <c r="CV76" s="90" t="n">
        <v>22768000</v>
      </c>
      <c r="CW76" s="90" t="n">
        <v>22768000</v>
      </c>
      <c r="CX76" s="90" t="n">
        <v>22768000</v>
      </c>
      <c r="CY76" s="90" t="n">
        <v>22768000</v>
      </c>
      <c r="CZ76" s="90" t="n">
        <v>22768000</v>
      </c>
      <c r="DA76" s="90" t="n">
        <v>22768000</v>
      </c>
      <c r="DB76" s="90" t="n">
        <v>22768000</v>
      </c>
      <c r="DC76" s="163" t="n">
        <v>22768000</v>
      </c>
      <c r="DD76" s="90" t="n">
        <v>22768000</v>
      </c>
      <c r="DE76" s="90" t="n">
        <v>22768000</v>
      </c>
      <c r="DF76" s="90" t="n">
        <v>22768000</v>
      </c>
      <c r="DG76" s="90" t="n">
        <v>22768000</v>
      </c>
      <c r="DH76" s="90" t="n">
        <v>22768000</v>
      </c>
      <c r="DI76" s="90" t="n">
        <v>22768000</v>
      </c>
      <c r="DJ76" s="90" t="n">
        <v>22768000</v>
      </c>
      <c r="DK76" s="90" t="n">
        <v>22768000</v>
      </c>
      <c r="DL76" s="90" t="n">
        <v>22768000</v>
      </c>
      <c r="DM76" s="90" t="n">
        <v>22768000</v>
      </c>
      <c r="DN76" s="90" t="n">
        <v>22768000</v>
      </c>
      <c r="DO76" s="90" t="n">
        <v>22768000</v>
      </c>
      <c r="DP76" s="90" t="n">
        <v>22768000</v>
      </c>
      <c r="DQ76" s="90" t="n">
        <v>22768000</v>
      </c>
      <c r="DR76" s="90" t="n">
        <v>22768000</v>
      </c>
      <c r="DS76" s="90" t="n">
        <v>22768000</v>
      </c>
      <c r="DT76" s="90" t="n">
        <v>22768000</v>
      </c>
      <c r="DU76" s="90" t="n">
        <v>22768000</v>
      </c>
      <c r="DV76" s="90" t="n">
        <v>22768000</v>
      </c>
      <c r="DW76" s="90" t="n">
        <v>22768000</v>
      </c>
      <c r="DX76" s="90" t="n">
        <v>22768000</v>
      </c>
      <c r="DY76" s="90" t="n">
        <v>22768000</v>
      </c>
      <c r="DZ76" s="90" t="n">
        <v>22768000</v>
      </c>
      <c r="EA76" s="90" t="n">
        <v>22768000</v>
      </c>
      <c r="EB76" s="90" t="n">
        <v>22768000</v>
      </c>
      <c r="EC76" s="90" t="n">
        <v>22768000</v>
      </c>
      <c r="ED76" s="90" t="n">
        <v>22768000</v>
      </c>
      <c r="EE76" s="90" t="n">
        <v>22768000</v>
      </c>
      <c r="EF76" s="90" t="n">
        <v>22768000</v>
      </c>
      <c r="EG76" s="90" t="n">
        <v>22768000</v>
      </c>
      <c r="EH76" s="90" t="n">
        <v>22768000</v>
      </c>
      <c r="EI76" s="90" t="n">
        <v>22768000</v>
      </c>
      <c r="EJ76" s="90" t="n">
        <v>22768000</v>
      </c>
      <c r="EK76" s="90" t="n">
        <v>22768000</v>
      </c>
      <c r="EL76" s="90" t="n">
        <v>22768000</v>
      </c>
      <c r="EM76" s="90" t="n">
        <v>22768000</v>
      </c>
      <c r="EN76" s="90" t="n">
        <v>22768000</v>
      </c>
      <c r="EO76" s="90" t="n">
        <v>22768000</v>
      </c>
      <c r="EP76" s="90" t="n">
        <v>22768000</v>
      </c>
      <c r="EQ76" s="90" t="n">
        <v>22768000</v>
      </c>
      <c r="ER76" s="90" t="n">
        <v>22768000</v>
      </c>
      <c r="ES76" s="90" t="n">
        <v>22768000</v>
      </c>
      <c r="ET76" s="90" t="n">
        <v>22768000</v>
      </c>
      <c r="EU76" s="90" t="n">
        <v>22768000</v>
      </c>
      <c r="EV76" s="90" t="n">
        <v>22768000</v>
      </c>
      <c r="EW76" s="90" t="n">
        <v>22768000</v>
      </c>
      <c r="EX76" s="90" t="n">
        <v>22768000</v>
      </c>
      <c r="EY76" s="90" t="n">
        <v>22768000</v>
      </c>
      <c r="EZ76" s="90" t="n">
        <v>22768000</v>
      </c>
      <c r="FA76" s="90" t="n">
        <v>22768000</v>
      </c>
    </row>
    <row r="77" ht="15.75" customHeight="1">
      <c r="A77" s="71" t="inlineStr">
        <is>
          <t>Resultados acumulados</t>
        </is>
      </c>
      <c r="BY77" s="90" t="n"/>
      <c r="BZ77" s="90" t="n"/>
      <c r="CA77" s="90" t="n"/>
      <c r="CB77" s="90" t="n"/>
      <c r="CC77" s="90" t="n"/>
      <c r="CD77" s="90" t="n"/>
      <c r="CE77" s="90" t="n"/>
      <c r="CF77" s="90" t="n"/>
      <c r="CG77" s="90" t="n"/>
      <c r="CH77" s="90" t="n">
        <v>-17000000</v>
      </c>
      <c r="CI77" s="90" t="n">
        <v>-17500000</v>
      </c>
      <c r="CJ77" s="90" t="n">
        <v>-18000000</v>
      </c>
      <c r="CK77" s="90" t="n">
        <v>-18500000</v>
      </c>
      <c r="CL77" s="90" t="n">
        <v>-19000000</v>
      </c>
      <c r="CM77" s="90" t="n">
        <v>-19500000</v>
      </c>
      <c r="CN77" s="90" t="n">
        <v>-20000000</v>
      </c>
      <c r="CO77" s="90" t="n">
        <v>-20500000</v>
      </c>
      <c r="CP77" s="90" t="n">
        <v>-20000000</v>
      </c>
      <c r="CQ77" s="162" t="n">
        <v>-20500000</v>
      </c>
      <c r="CR77" s="90" t="n">
        <v>-21000000</v>
      </c>
      <c r="CS77" s="90">
        <f>CR77+CR78</f>
        <v/>
      </c>
      <c r="CT77" s="90">
        <f>CS77+CS78</f>
        <v/>
      </c>
      <c r="CU77" s="90">
        <f>CT77+CT78</f>
        <v/>
      </c>
      <c r="CV77" s="90">
        <f>CU77+CU78</f>
        <v/>
      </c>
      <c r="CW77" s="90">
        <f>CV77+CV78</f>
        <v/>
      </c>
      <c r="CX77" s="90">
        <f>CW77+CW78</f>
        <v/>
      </c>
      <c r="CY77" s="90">
        <f>CX77+CX78</f>
        <v/>
      </c>
      <c r="CZ77" s="90">
        <f>CY77+CY78</f>
        <v/>
      </c>
      <c r="DA77" s="90">
        <f>CZ77+CZ78</f>
        <v/>
      </c>
      <c r="DB77" s="90">
        <f>DA77+DA78</f>
        <v/>
      </c>
      <c r="DC77" s="163">
        <f>DB77+DB78</f>
        <v/>
      </c>
      <c r="DD77" s="90">
        <f>DC77+DC78</f>
        <v/>
      </c>
      <c r="DE77" s="90">
        <f>DD77+DD78</f>
        <v/>
      </c>
      <c r="DF77" s="90">
        <f>DE77+DE78</f>
        <v/>
      </c>
      <c r="DG77" s="90">
        <f>DF77+DF78</f>
        <v/>
      </c>
      <c r="DH77" s="90">
        <f>DG77+DG78</f>
        <v/>
      </c>
      <c r="DI77" s="90">
        <f>DH77+DH78</f>
        <v/>
      </c>
      <c r="DJ77" s="90">
        <f>DI77+DI78</f>
        <v/>
      </c>
      <c r="DK77" s="90">
        <f>DJ77+DJ78</f>
        <v/>
      </c>
      <c r="DL77" s="90">
        <f>DK77+DK78</f>
        <v/>
      </c>
      <c r="DM77" s="90">
        <f>DL77+DL78</f>
        <v/>
      </c>
      <c r="DN77" s="90">
        <f>DM77+DM78</f>
        <v/>
      </c>
      <c r="DO77" s="90">
        <f>DN77+DN78</f>
        <v/>
      </c>
      <c r="DP77" s="90">
        <f>DO77+DO78</f>
        <v/>
      </c>
      <c r="DQ77" s="90">
        <f>DP77+DP78</f>
        <v/>
      </c>
      <c r="DR77" s="90">
        <f>DQ77+DQ78</f>
        <v/>
      </c>
      <c r="DS77" s="90">
        <f>DR77+DR78</f>
        <v/>
      </c>
      <c r="DT77" s="90">
        <f>DS77+DS78</f>
        <v/>
      </c>
      <c r="DU77" s="90">
        <f>DT77+DT78</f>
        <v/>
      </c>
      <c r="DV77" s="90">
        <f>DU77+DU78</f>
        <v/>
      </c>
      <c r="DW77" s="90">
        <f>DV77+DV78</f>
        <v/>
      </c>
      <c r="DX77" s="90">
        <f>DW77+DW78</f>
        <v/>
      </c>
      <c r="DY77" s="90">
        <f>DX77+DX78</f>
        <v/>
      </c>
      <c r="DZ77" s="90">
        <f>DY77+DY78</f>
        <v/>
      </c>
      <c r="EA77" s="90">
        <f>DZ77+DZ78</f>
        <v/>
      </c>
      <c r="EB77" s="90">
        <f>EA77+EA78</f>
        <v/>
      </c>
      <c r="EC77" s="90">
        <f>EB77+EB78</f>
        <v/>
      </c>
      <c r="ED77" s="90">
        <f>EC77+EC78</f>
        <v/>
      </c>
      <c r="EE77" s="90">
        <f>ED77+ED78</f>
        <v/>
      </c>
      <c r="EF77" s="90">
        <f>EE77+EE78</f>
        <v/>
      </c>
      <c r="EG77" s="90">
        <f>EF77+EF78</f>
        <v/>
      </c>
      <c r="EH77" s="90">
        <f>EG77+EG78</f>
        <v/>
      </c>
      <c r="EI77" s="90">
        <f>EH77+EH78</f>
        <v/>
      </c>
      <c r="EJ77" s="90">
        <f>EI77+EI78</f>
        <v/>
      </c>
      <c r="EK77" s="90">
        <f>EJ77+EJ78</f>
        <v/>
      </c>
      <c r="EL77" s="90">
        <f>EK77+EK78</f>
        <v/>
      </c>
      <c r="EM77" s="90">
        <f>EL77+EL78</f>
        <v/>
      </c>
      <c r="EN77" s="90">
        <f>EM77+EM78</f>
        <v/>
      </c>
      <c r="EO77" s="90">
        <f>EN77+EN78</f>
        <v/>
      </c>
      <c r="EP77" s="90">
        <f>EO77+EO78</f>
        <v/>
      </c>
      <c r="EQ77" s="90">
        <f>EP77+EP78</f>
        <v/>
      </c>
      <c r="ER77" s="90">
        <f>EQ77+EQ78</f>
        <v/>
      </c>
      <c r="ES77" s="90">
        <f>ER77+ER78</f>
        <v/>
      </c>
      <c r="ET77" s="90">
        <f>ES77+ES78</f>
        <v/>
      </c>
      <c r="EU77" s="90">
        <f>ET77+ET78</f>
        <v/>
      </c>
      <c r="EV77" s="90">
        <f>EU77+EU78</f>
        <v/>
      </c>
      <c r="EW77" s="90">
        <f>EV77+EV78</f>
        <v/>
      </c>
      <c r="EX77" s="90">
        <f>EW77+EW78</f>
        <v/>
      </c>
      <c r="EY77" s="90">
        <f>EX77+EX78</f>
        <v/>
      </c>
      <c r="EZ77" s="90">
        <f>EY77+EY78</f>
        <v/>
      </c>
      <c r="FA77" s="90">
        <f>EZ77+EZ78</f>
        <v/>
      </c>
    </row>
    <row r="78" ht="15.75" customHeight="1">
      <c r="A78" s="71" t="inlineStr">
        <is>
          <t>Resultado del Ejercicio</t>
        </is>
      </c>
      <c r="BY78" s="90" t="n"/>
      <c r="BZ78" s="90" t="n"/>
      <c r="CA78" s="90" t="n"/>
      <c r="CB78" s="90" t="n"/>
      <c r="CC78" s="90" t="n"/>
      <c r="CD78" s="90" t="n"/>
      <c r="CE78" s="90" t="n"/>
      <c r="CF78" s="90" t="n"/>
      <c r="CG78" s="90" t="n"/>
      <c r="CH78" s="90" t="n"/>
      <c r="CI78" s="90" t="n"/>
      <c r="CJ78" s="90" t="n"/>
      <c r="CK78" s="90" t="n"/>
      <c r="CL78" s="90" t="n"/>
      <c r="CM78" s="90" t="n"/>
      <c r="CN78" s="90" t="n"/>
      <c r="CO78" s="90" t="n"/>
      <c r="CP78" s="90">
        <f>CP31</f>
        <v/>
      </c>
      <c r="CQ78" s="162" t="n"/>
      <c r="CR78" s="90">
        <f>CR31</f>
        <v/>
      </c>
      <c r="CS78" s="90">
        <f>CS31</f>
        <v/>
      </c>
      <c r="CT78" s="90">
        <f>CT31</f>
        <v/>
      </c>
      <c r="CU78" s="90">
        <f>CU31</f>
        <v/>
      </c>
      <c r="CV78" s="90">
        <f>CV31</f>
        <v/>
      </c>
      <c r="CW78" s="90">
        <f>CW31</f>
        <v/>
      </c>
      <c r="CX78" s="90">
        <f>CX31</f>
        <v/>
      </c>
      <c r="CY78" s="90">
        <f>CY31</f>
        <v/>
      </c>
      <c r="CZ78" s="90">
        <f>CZ31</f>
        <v/>
      </c>
      <c r="DA78" s="90">
        <f>DA31</f>
        <v/>
      </c>
      <c r="DB78" s="90">
        <f>DB31</f>
        <v/>
      </c>
      <c r="DC78" s="163">
        <f>DC31</f>
        <v/>
      </c>
      <c r="DD78" s="90">
        <f>DD31</f>
        <v/>
      </c>
      <c r="DE78" s="90">
        <f>DE31</f>
        <v/>
      </c>
      <c r="DF78" s="90">
        <f>DF31</f>
        <v/>
      </c>
      <c r="DG78" s="90">
        <f>DG31</f>
        <v/>
      </c>
      <c r="DH78" s="90">
        <f>DH31</f>
        <v/>
      </c>
      <c r="DI78" s="90">
        <f>DI31</f>
        <v/>
      </c>
      <c r="DJ78" s="90">
        <f>DJ31</f>
        <v/>
      </c>
      <c r="DK78" s="90">
        <f>DK31</f>
        <v/>
      </c>
      <c r="DL78" s="90">
        <f>DL31</f>
        <v/>
      </c>
      <c r="DM78" s="90">
        <f>DM31</f>
        <v/>
      </c>
      <c r="DN78" s="90">
        <f>DN31</f>
        <v/>
      </c>
      <c r="DO78" s="90">
        <f>DO31</f>
        <v/>
      </c>
      <c r="DP78" s="90">
        <f>DP31</f>
        <v/>
      </c>
      <c r="DQ78" s="90">
        <f>DQ31</f>
        <v/>
      </c>
      <c r="DR78" s="90">
        <f>DR31</f>
        <v/>
      </c>
      <c r="DS78" s="90">
        <f>DS31</f>
        <v/>
      </c>
      <c r="DT78" s="90">
        <f>DT31</f>
        <v/>
      </c>
      <c r="DU78" s="90">
        <f>DU31</f>
        <v/>
      </c>
      <c r="DV78" s="90">
        <f>DV31</f>
        <v/>
      </c>
      <c r="DW78" s="90">
        <f>DW31</f>
        <v/>
      </c>
      <c r="DX78" s="90">
        <f>DX31</f>
        <v/>
      </c>
      <c r="DY78" s="90">
        <f>DY31</f>
        <v/>
      </c>
      <c r="DZ78" s="90">
        <f>DZ31</f>
        <v/>
      </c>
      <c r="EA78" s="90">
        <f>EA31</f>
        <v/>
      </c>
      <c r="EB78" s="90">
        <f>EB31</f>
        <v/>
      </c>
      <c r="EC78" s="90">
        <f>EC31</f>
        <v/>
      </c>
      <c r="ED78" s="90">
        <f>ED31</f>
        <v/>
      </c>
      <c r="EE78" s="90">
        <f>EE31</f>
        <v/>
      </c>
      <c r="EF78" s="90">
        <f>EF31</f>
        <v/>
      </c>
      <c r="EG78" s="90">
        <f>EG31</f>
        <v/>
      </c>
      <c r="EH78" s="90">
        <f>EH31</f>
        <v/>
      </c>
      <c r="EI78" s="90">
        <f>EI31</f>
        <v/>
      </c>
      <c r="EJ78" s="90">
        <f>EJ31</f>
        <v/>
      </c>
      <c r="EK78" s="90">
        <f>EK31</f>
        <v/>
      </c>
      <c r="EL78" s="90">
        <f>EL31</f>
        <v/>
      </c>
      <c r="EM78" s="90">
        <f>EM31</f>
        <v/>
      </c>
      <c r="EN78" s="90">
        <f>EN31</f>
        <v/>
      </c>
      <c r="EO78" s="90">
        <f>EO31</f>
        <v/>
      </c>
      <c r="EP78" s="90">
        <f>EP31</f>
        <v/>
      </c>
      <c r="EQ78" s="90">
        <f>EQ31</f>
        <v/>
      </c>
      <c r="ER78" s="90">
        <f>ER31</f>
        <v/>
      </c>
      <c r="ES78" s="90">
        <f>ES31</f>
        <v/>
      </c>
      <c r="ET78" s="90">
        <f>ET31</f>
        <v/>
      </c>
      <c r="EU78" s="90">
        <f>EU31</f>
        <v/>
      </c>
      <c r="EV78" s="90">
        <f>EV31</f>
        <v/>
      </c>
      <c r="EW78" s="90">
        <f>EW31</f>
        <v/>
      </c>
      <c r="EX78" s="90">
        <f>EX31</f>
        <v/>
      </c>
      <c r="EY78" s="90">
        <f>EY31</f>
        <v/>
      </c>
      <c r="EZ78" s="90">
        <f>EZ31</f>
        <v/>
      </c>
      <c r="FA78" s="90">
        <f>FA31</f>
        <v/>
      </c>
    </row>
    <row r="79" ht="15.75" customHeight="1">
      <c r="A79" s="71" t="inlineStr">
        <is>
          <t>Capitalización Adicional</t>
        </is>
      </c>
      <c r="BY79" s="90" t="n"/>
      <c r="BZ79" s="90" t="n"/>
      <c r="CA79" s="90" t="n"/>
      <c r="CB79" s="90" t="n"/>
      <c r="CC79" s="90" t="n"/>
      <c r="CD79" s="90" t="n"/>
      <c r="CE79" s="90" t="n"/>
      <c r="CF79" s="90" t="n"/>
      <c r="CG79" s="90" t="n"/>
      <c r="CH79" s="90" t="n"/>
      <c r="CI79" s="90" t="n"/>
      <c r="CJ79" s="90" t="n"/>
      <c r="CK79" s="90" t="n"/>
      <c r="CL79" s="90" t="n"/>
      <c r="CM79" s="90" t="n"/>
      <c r="CN79" s="90" t="n"/>
      <c r="CO79" s="90" t="n"/>
      <c r="CP79" s="90" t="n">
        <v>0</v>
      </c>
      <c r="CQ79" s="162" t="n"/>
      <c r="CR79" s="90">
        <f>Supuestos!$D$5</f>
        <v/>
      </c>
      <c r="CS79" s="90">
        <f>Supuestos!$D$5</f>
        <v/>
      </c>
      <c r="CT79" s="90">
        <f>Supuestos!$D$5</f>
        <v/>
      </c>
      <c r="CU79" s="90">
        <f>Supuestos!$D$5</f>
        <v/>
      </c>
      <c r="CV79" s="90">
        <f>Supuestos!$D$5</f>
        <v/>
      </c>
      <c r="CW79" s="90">
        <f>Supuestos!$D$5</f>
        <v/>
      </c>
      <c r="CX79" s="90">
        <f>Supuestos!$D$5</f>
        <v/>
      </c>
      <c r="CY79" s="90">
        <f>Supuestos!$D$5</f>
        <v/>
      </c>
      <c r="CZ79" s="90">
        <f>Supuestos!$D$5</f>
        <v/>
      </c>
      <c r="DA79" s="90">
        <f>Supuestos!$D$5</f>
        <v/>
      </c>
      <c r="DB79" s="90">
        <f>Supuestos!$D$5</f>
        <v/>
      </c>
      <c r="DC79" s="163">
        <f>Supuestos!$D$5</f>
        <v/>
      </c>
      <c r="DD79" s="90">
        <f>Supuestos!$D$5</f>
        <v/>
      </c>
      <c r="DE79" s="90">
        <f>Supuestos!$D$5</f>
        <v/>
      </c>
      <c r="DF79" s="90">
        <f>Supuestos!$D$5</f>
        <v/>
      </c>
      <c r="DG79" s="90">
        <f>Supuestos!$D$5</f>
        <v/>
      </c>
      <c r="DH79" s="90">
        <f>Supuestos!$D$5</f>
        <v/>
      </c>
      <c r="DI79" s="90">
        <f>Supuestos!$D$5</f>
        <v/>
      </c>
      <c r="DJ79" s="90">
        <f>Supuestos!$D$5</f>
        <v/>
      </c>
      <c r="DK79" s="90">
        <f>Supuestos!$D$5</f>
        <v/>
      </c>
      <c r="DL79" s="90">
        <f>Supuestos!$D$5</f>
        <v/>
      </c>
      <c r="DM79" s="90">
        <f>Supuestos!$D$5</f>
        <v/>
      </c>
      <c r="DN79" s="90">
        <f>Supuestos!$D$5</f>
        <v/>
      </c>
      <c r="DO79" s="90">
        <f>Supuestos!$D$5</f>
        <v/>
      </c>
      <c r="DP79" s="90">
        <f>Supuestos!$D$5</f>
        <v/>
      </c>
      <c r="DQ79" s="90">
        <f>Supuestos!$D$5</f>
        <v/>
      </c>
      <c r="DR79" s="90">
        <f>Supuestos!$D$5</f>
        <v/>
      </c>
      <c r="DS79" s="90">
        <f>Supuestos!$D$5</f>
        <v/>
      </c>
      <c r="DT79" s="90">
        <f>Supuestos!$D$5</f>
        <v/>
      </c>
      <c r="DU79" s="90">
        <f>Supuestos!$D$5</f>
        <v/>
      </c>
      <c r="DV79" s="90">
        <f>Supuestos!$D$5</f>
        <v/>
      </c>
      <c r="DW79" s="90">
        <f>Supuestos!$D$5</f>
        <v/>
      </c>
      <c r="DX79" s="90">
        <f>Supuestos!$D$5</f>
        <v/>
      </c>
      <c r="DY79" s="90">
        <f>Supuestos!$D$5</f>
        <v/>
      </c>
      <c r="DZ79" s="90">
        <f>Supuestos!$D$5</f>
        <v/>
      </c>
      <c r="EA79" s="90">
        <f>Supuestos!$D$5</f>
        <v/>
      </c>
      <c r="EB79" s="90">
        <f>Supuestos!$D$5</f>
        <v/>
      </c>
      <c r="EC79" s="90">
        <f>Supuestos!$D$5</f>
        <v/>
      </c>
      <c r="ED79" s="90">
        <f>Supuestos!$D$5</f>
        <v/>
      </c>
      <c r="EE79" s="90">
        <f>Supuestos!$D$5</f>
        <v/>
      </c>
      <c r="EF79" s="90">
        <f>Supuestos!$D$5</f>
        <v/>
      </c>
      <c r="EG79" s="90">
        <f>Supuestos!$D$5</f>
        <v/>
      </c>
      <c r="EH79" s="90">
        <f>Supuestos!$D$5</f>
        <v/>
      </c>
      <c r="EI79" s="90">
        <f>Supuestos!$D$5</f>
        <v/>
      </c>
      <c r="EJ79" s="90">
        <f>Supuestos!$D$5</f>
        <v/>
      </c>
      <c r="EK79" s="90">
        <f>Supuestos!$D$5</f>
        <v/>
      </c>
      <c r="EL79" s="90">
        <f>Supuestos!$D$5</f>
        <v/>
      </c>
      <c r="EM79" s="90">
        <f>Supuestos!$D$5</f>
        <v/>
      </c>
      <c r="EN79" s="90">
        <f>Supuestos!$D$5</f>
        <v/>
      </c>
      <c r="EO79" s="90">
        <f>Supuestos!$D$5</f>
        <v/>
      </c>
      <c r="EP79" s="90">
        <f>Supuestos!$D$5</f>
        <v/>
      </c>
      <c r="EQ79" s="90">
        <f>Supuestos!$D$5</f>
        <v/>
      </c>
      <c r="ER79" s="90">
        <f>Supuestos!$D$5</f>
        <v/>
      </c>
      <c r="ES79" s="90">
        <f>Supuestos!$D$5</f>
        <v/>
      </c>
      <c r="ET79" s="90">
        <f>Supuestos!$D$5</f>
        <v/>
      </c>
      <c r="EU79" s="90">
        <f>Supuestos!$D$5</f>
        <v/>
      </c>
      <c r="EV79" s="90">
        <f>Supuestos!$D$5</f>
        <v/>
      </c>
      <c r="EW79" s="90">
        <f>Supuestos!$D$5</f>
        <v/>
      </c>
      <c r="EX79" s="90">
        <f>Supuestos!$D$5</f>
        <v/>
      </c>
      <c r="EY79" s="90">
        <f>Supuestos!$D$5</f>
        <v/>
      </c>
      <c r="EZ79" s="90">
        <f>Supuestos!$D$5</f>
        <v/>
      </c>
      <c r="FA79" s="90">
        <f>Supuestos!$D$5</f>
        <v/>
      </c>
    </row>
    <row r="80" ht="15.75" customHeight="1">
      <c r="A80" s="71" t="inlineStr">
        <is>
          <t>Castigo por Vesting</t>
        </is>
      </c>
      <c r="BY80" s="90" t="n"/>
      <c r="BZ80" s="90" t="n"/>
      <c r="CA80" s="90" t="n"/>
      <c r="CB80" s="90" t="n"/>
      <c r="CC80" s="90" t="n"/>
      <c r="CD80" s="90" t="n"/>
      <c r="CE80" s="90" t="n"/>
      <c r="CF80" s="90" t="n"/>
      <c r="CG80" s="90" t="n"/>
      <c r="CH80" s="90" t="n"/>
      <c r="CI80" s="90" t="n"/>
      <c r="CJ80" s="90" t="n"/>
      <c r="CK80" s="90" t="n"/>
      <c r="CL80" s="90" t="n"/>
      <c r="CM80" s="90" t="n"/>
      <c r="CN80" s="90" t="n"/>
      <c r="CO80" s="90" t="n"/>
      <c r="CP80" s="90" t="n">
        <v>-10200000</v>
      </c>
      <c r="CQ80" s="162" t="n"/>
      <c r="CR80" s="90" t="n">
        <v>-10200000</v>
      </c>
      <c r="CS80" s="90" t="n">
        <v>-10200000</v>
      </c>
      <c r="CT80" s="90" t="n">
        <v>-10200000</v>
      </c>
      <c r="CU80" s="90" t="n">
        <v>-10200000</v>
      </c>
      <c r="CV80" s="90" t="n">
        <v>-10200000</v>
      </c>
      <c r="CW80" s="90" t="n">
        <v>-10200000</v>
      </c>
      <c r="CX80" s="90" t="n">
        <v>-10200000</v>
      </c>
      <c r="CY80" s="90" t="n">
        <v>-10200000</v>
      </c>
      <c r="CZ80" s="90" t="n">
        <v>-10200000</v>
      </c>
      <c r="DA80" s="90" t="n">
        <v>-10200000</v>
      </c>
      <c r="DB80" s="90" t="n">
        <v>-10200000</v>
      </c>
      <c r="DC80" s="90" t="n">
        <v>-10200000</v>
      </c>
      <c r="DD80" s="90" t="n">
        <v>-10200000</v>
      </c>
      <c r="DE80" s="90" t="n">
        <v>-10200000</v>
      </c>
      <c r="DF80" s="90" t="n">
        <v>-10200000</v>
      </c>
      <c r="DG80" s="90" t="n">
        <v>-10200000</v>
      </c>
      <c r="DH80" s="90" t="n">
        <v>-10200000</v>
      </c>
      <c r="DI80" s="90" t="n">
        <v>-10200000</v>
      </c>
      <c r="DJ80" s="90" t="n">
        <v>-10200000</v>
      </c>
      <c r="DK80" s="90" t="n">
        <v>-10200000</v>
      </c>
      <c r="DL80" s="90" t="n">
        <v>-10200000</v>
      </c>
      <c r="DM80" s="90" t="n">
        <v>-10200000</v>
      </c>
      <c r="DN80" s="90" t="n">
        <v>-10200000</v>
      </c>
      <c r="DO80" s="90" t="n">
        <v>-10200000</v>
      </c>
      <c r="DP80" s="90" t="n">
        <v>-10200000</v>
      </c>
      <c r="DQ80" s="90" t="n">
        <v>-10200000</v>
      </c>
      <c r="DR80" s="90" t="n">
        <v>-10200000</v>
      </c>
      <c r="DS80" s="90" t="n">
        <v>-10200000</v>
      </c>
      <c r="DT80" s="90" t="n">
        <v>-10200000</v>
      </c>
      <c r="DU80" s="90" t="n">
        <v>-10200000</v>
      </c>
      <c r="DV80" s="90" t="n">
        <v>-10200000</v>
      </c>
      <c r="DW80" s="90" t="n">
        <v>-10200000</v>
      </c>
      <c r="DX80" s="90" t="n">
        <v>-10200000</v>
      </c>
      <c r="DY80" s="90" t="n">
        <v>-10200000</v>
      </c>
      <c r="DZ80" s="90" t="n">
        <v>-10200000</v>
      </c>
      <c r="EA80" s="90" t="n">
        <v>-10200000</v>
      </c>
      <c r="EB80" s="90" t="n">
        <v>-10200000</v>
      </c>
      <c r="EC80" s="90" t="n">
        <v>-10200000</v>
      </c>
      <c r="ED80" s="90" t="n">
        <v>-10200000</v>
      </c>
      <c r="EE80" s="90" t="n">
        <v>-10200000</v>
      </c>
      <c r="EF80" s="90" t="n">
        <v>-10200000</v>
      </c>
      <c r="EG80" s="90" t="n">
        <v>-10200000</v>
      </c>
      <c r="EH80" s="90" t="n">
        <v>-10200000</v>
      </c>
      <c r="EI80" s="90" t="n">
        <v>-10200000</v>
      </c>
      <c r="EJ80" s="90" t="n">
        <v>-10200000</v>
      </c>
      <c r="EK80" s="90" t="n">
        <v>-10200000</v>
      </c>
      <c r="EL80" s="90" t="n">
        <v>-10200000</v>
      </c>
      <c r="EM80" s="90" t="n">
        <v>-10200000</v>
      </c>
      <c r="EN80" s="90" t="n">
        <v>-10200000</v>
      </c>
      <c r="EO80" s="90" t="n">
        <v>-10200000</v>
      </c>
      <c r="EP80" s="90" t="n">
        <v>-10200000</v>
      </c>
      <c r="EQ80" s="90" t="n">
        <v>-10200000</v>
      </c>
      <c r="ER80" s="90" t="n">
        <v>-10200000</v>
      </c>
      <c r="ES80" s="90" t="n">
        <v>-10200000</v>
      </c>
      <c r="ET80" s="90" t="n">
        <v>-10200000</v>
      </c>
      <c r="EU80" s="90" t="n">
        <v>-10200000</v>
      </c>
      <c r="EV80" s="90" t="n">
        <v>-10200000</v>
      </c>
      <c r="EW80" s="90" t="n">
        <v>-10200000</v>
      </c>
      <c r="EX80" s="90" t="n">
        <v>-10200000</v>
      </c>
      <c r="EY80" s="90" t="n">
        <v>-10200000</v>
      </c>
      <c r="EZ80" s="90" t="n">
        <v>-10200000</v>
      </c>
      <c r="FA80" s="90" t="n">
        <v>-10200000</v>
      </c>
    </row>
    <row r="81" ht="15.75" customHeight="1">
      <c r="A81" s="89" t="inlineStr">
        <is>
          <t>Total Capital</t>
        </is>
      </c>
      <c r="B81" s="89" t="n"/>
      <c r="C81" s="89" t="n"/>
      <c r="D81" s="89" t="n"/>
      <c r="E81" s="89" t="n"/>
      <c r="F81" s="89" t="n"/>
      <c r="G81" s="89" t="n"/>
      <c r="H81" s="89" t="n"/>
      <c r="I81" s="89" t="n"/>
      <c r="J81" s="89" t="n"/>
      <c r="K81" s="89" t="n"/>
      <c r="L81" s="89" t="n"/>
      <c r="M81" s="89" t="n"/>
      <c r="N81" s="89" t="n"/>
      <c r="O81" s="89" t="n"/>
      <c r="P81" s="89" t="n"/>
      <c r="Q81" s="89" t="n"/>
      <c r="R81" s="89" t="n"/>
      <c r="S81" s="89" t="n"/>
      <c r="T81" s="89" t="n"/>
      <c r="U81" s="89" t="n"/>
      <c r="V81" s="89" t="n"/>
      <c r="W81" s="89" t="n"/>
      <c r="X81" s="89" t="n"/>
      <c r="Y81" s="89" t="n"/>
      <c r="Z81" s="89" t="n"/>
      <c r="AA81" s="89" t="n"/>
      <c r="AB81" s="89" t="n"/>
      <c r="AC81" s="89" t="n"/>
      <c r="AD81" s="89" t="n"/>
      <c r="AE81" s="89" t="n"/>
      <c r="AF81" s="89" t="n"/>
      <c r="AG81" s="89" t="n"/>
      <c r="AH81" s="89" t="n"/>
      <c r="AI81" s="89" t="n"/>
      <c r="AJ81" s="89" t="n"/>
      <c r="AK81" s="89" t="n"/>
      <c r="AL81" s="89" t="n"/>
      <c r="AM81" s="89" t="n"/>
      <c r="AN81" s="89" t="n"/>
      <c r="AO81" s="89" t="n"/>
      <c r="AP81" s="89" t="n"/>
      <c r="AQ81" s="89" t="n"/>
      <c r="AR81" s="89" t="n"/>
      <c r="AS81" s="89" t="n"/>
      <c r="AT81" s="89" t="n"/>
      <c r="AU81" s="89" t="n"/>
      <c r="AV81" s="89" t="n"/>
      <c r="AW81" s="89" t="n"/>
      <c r="AX81" s="89" t="n"/>
      <c r="AY81" s="89" t="n"/>
      <c r="AZ81" s="89" t="n"/>
      <c r="BA81" s="89" t="n"/>
      <c r="BB81" s="89" t="n"/>
      <c r="BC81" s="89" t="n"/>
      <c r="BD81" s="89" t="n"/>
      <c r="BE81" s="89" t="n"/>
      <c r="BF81" s="89" t="n"/>
      <c r="BG81" s="89" t="n"/>
      <c r="BH81" s="89" t="n"/>
      <c r="BI81" s="89" t="n"/>
      <c r="BJ81" s="89" t="n"/>
      <c r="BK81" s="89" t="n"/>
      <c r="BL81" s="89" t="n"/>
      <c r="BM81" s="89" t="n"/>
      <c r="BN81" s="89" t="n"/>
      <c r="BO81" s="89" t="n"/>
      <c r="BP81" s="89" t="n"/>
      <c r="BQ81" s="89" t="n"/>
      <c r="BR81" s="89" t="n"/>
      <c r="BS81" s="89" t="n"/>
      <c r="BT81" s="89" t="n"/>
      <c r="BU81" s="89" t="n"/>
      <c r="BV81" s="89" t="n"/>
      <c r="BW81" s="89" t="n"/>
      <c r="BX81" s="89" t="n"/>
      <c r="BY81" s="152" t="n"/>
      <c r="BZ81" s="152" t="n"/>
      <c r="CA81" s="152" t="n"/>
      <c r="CB81" s="152" t="n"/>
      <c r="CC81" s="152" t="n"/>
      <c r="CD81" s="152" t="n"/>
      <c r="CE81" s="152" t="n"/>
      <c r="CF81" s="152" t="n"/>
      <c r="CG81" s="152" t="n"/>
      <c r="CH81" s="152" t="n"/>
      <c r="CI81" s="152" t="n"/>
      <c r="CJ81" s="152" t="n"/>
      <c r="CK81" s="152" t="n"/>
      <c r="CL81" s="152" t="n"/>
      <c r="CM81" s="152" t="n"/>
      <c r="CN81" s="152" t="n"/>
      <c r="CO81" s="152" t="n"/>
      <c r="CP81" s="152">
        <f>SUM(CP75:CP80)</f>
        <v/>
      </c>
      <c r="CQ81" s="157" t="n"/>
      <c r="CR81" s="152">
        <f>SUM(CR75:CR80)+CR82</f>
        <v/>
      </c>
      <c r="CS81" s="152">
        <f>SUM(CS75:CS80)+CS82</f>
        <v/>
      </c>
      <c r="CT81" s="152">
        <f>SUM(CT75:CT80)+CT82</f>
        <v/>
      </c>
      <c r="CU81" s="152">
        <f>SUM(CU75:CU80)+CU82</f>
        <v/>
      </c>
      <c r="CV81" s="152">
        <f>SUM(CV75:CV80)+CV82</f>
        <v/>
      </c>
      <c r="CW81" s="152">
        <f>SUM(CW75:CW80)+CW82</f>
        <v/>
      </c>
      <c r="CX81" s="152">
        <f>SUM(CX75:CX80)+CX82</f>
        <v/>
      </c>
      <c r="CY81" s="152">
        <f>SUM(CY75:CY80)+CY82</f>
        <v/>
      </c>
      <c r="CZ81" s="152">
        <f>SUM(CZ75:CZ80)+CZ82</f>
        <v/>
      </c>
      <c r="DA81" s="152">
        <f>SUM(DA75:DA80)+DA82</f>
        <v/>
      </c>
      <c r="DB81" s="152">
        <f>SUM(DB75:DB80)+DB82</f>
        <v/>
      </c>
      <c r="DC81" s="152">
        <f>SUM(DC75:DC80)+DC82</f>
        <v/>
      </c>
      <c r="DD81" s="152">
        <f>SUM(DD75:DD80)+DD82</f>
        <v/>
      </c>
      <c r="DE81" s="152">
        <f>SUM(DE75:DE80)+DE82</f>
        <v/>
      </c>
      <c r="DF81" s="152">
        <f>SUM(DF75:DF80)+DF82</f>
        <v/>
      </c>
      <c r="DG81" s="152">
        <f>SUM(DG75:DG80)+DG82</f>
        <v/>
      </c>
      <c r="DH81" s="152">
        <f>SUM(DH75:DH80)+DH82</f>
        <v/>
      </c>
      <c r="DI81" s="152">
        <f>SUM(DI75:DI80)+DI82</f>
        <v/>
      </c>
      <c r="DJ81" s="152">
        <f>SUM(DJ75:DJ80)+DJ82</f>
        <v/>
      </c>
      <c r="DK81" s="152">
        <f>SUM(DK75:DK80)+DK82</f>
        <v/>
      </c>
      <c r="DL81" s="152">
        <f>SUM(DL75:DL80)+DL82</f>
        <v/>
      </c>
      <c r="DM81" s="152">
        <f>SUM(DM75:DM80)+DM82</f>
        <v/>
      </c>
      <c r="DN81" s="152">
        <f>SUM(DN75:DN80)+DN82</f>
        <v/>
      </c>
      <c r="DO81" s="152">
        <f>SUM(DO75:DO80)+DO82</f>
        <v/>
      </c>
      <c r="DP81" s="152">
        <f>SUM(DP75:DP80)+DP82</f>
        <v/>
      </c>
      <c r="DQ81" s="152">
        <f>SUM(DQ75:DQ80)+DQ82</f>
        <v/>
      </c>
      <c r="DR81" s="152">
        <f>SUM(DR75:DR80)+DR82</f>
        <v/>
      </c>
      <c r="DS81" s="152">
        <f>SUM(DS75:DS80)+DS82</f>
        <v/>
      </c>
      <c r="DT81" s="152">
        <f>SUM(DT75:DT80)+DT82</f>
        <v/>
      </c>
      <c r="DU81" s="152">
        <f>SUM(DU75:DU80)+DU82</f>
        <v/>
      </c>
      <c r="DV81" s="152">
        <f>SUM(DV75:DV80)+DV82</f>
        <v/>
      </c>
      <c r="DW81" s="152">
        <f>SUM(DW75:DW80)+DW82</f>
        <v/>
      </c>
      <c r="DX81" s="152">
        <f>SUM(DX75:DX80)+DX82</f>
        <v/>
      </c>
      <c r="DY81" s="152">
        <f>SUM(DY75:DY80)+DY82</f>
        <v/>
      </c>
      <c r="DZ81" s="152">
        <f>SUM(DZ75:DZ80)+DZ82</f>
        <v/>
      </c>
      <c r="EA81" s="152">
        <f>SUM(EA75:EA80)+EA82</f>
        <v/>
      </c>
      <c r="EB81" s="152">
        <f>SUM(EB75:EB80)+EB82</f>
        <v/>
      </c>
      <c r="EC81" s="152">
        <f>SUM(EC75:EC80)+EC82</f>
        <v/>
      </c>
      <c r="ED81" s="152">
        <f>SUM(ED75:ED80)+ED82</f>
        <v/>
      </c>
      <c r="EE81" s="152">
        <f>SUM(EE75:EE80)+EE82</f>
        <v/>
      </c>
      <c r="EF81" s="152">
        <f>SUM(EF75:EF80)+EF82</f>
        <v/>
      </c>
      <c r="EG81" s="152">
        <f>SUM(EG75:EG80)+EG82</f>
        <v/>
      </c>
      <c r="EH81" s="152">
        <f>SUM(EH75:EH80)+EH82</f>
        <v/>
      </c>
      <c r="EI81" s="152">
        <f>SUM(EI75:EI80)+EI82</f>
        <v/>
      </c>
      <c r="EJ81" s="152">
        <f>SUM(EJ75:EJ80)+EJ82</f>
        <v/>
      </c>
      <c r="EK81" s="152">
        <f>SUM(EK75:EK80)+EK82</f>
        <v/>
      </c>
      <c r="EL81" s="152">
        <f>SUM(EL75:EL80)+EL82</f>
        <v/>
      </c>
      <c r="EM81" s="152">
        <f>SUM(EM75:EM80)+EM82</f>
        <v/>
      </c>
      <c r="EN81" s="152">
        <f>SUM(EN75:EN80)+EN82</f>
        <v/>
      </c>
      <c r="EO81" s="152">
        <f>SUM(EO75:EO80)+EO82</f>
        <v/>
      </c>
      <c r="EP81" s="152">
        <f>SUM(EP75:EP80)+EP82</f>
        <v/>
      </c>
      <c r="EQ81" s="152">
        <f>SUM(EQ75:EQ80)+EQ82</f>
        <v/>
      </c>
      <c r="ER81" s="152">
        <f>SUM(ER75:ER80)+ER82</f>
        <v/>
      </c>
      <c r="ES81" s="152">
        <f>SUM(ES75:ES80)+ES82</f>
        <v/>
      </c>
      <c r="ET81" s="152">
        <f>SUM(ET75:ET80)+ET82</f>
        <v/>
      </c>
      <c r="EU81" s="152">
        <f>SUM(EU75:EU80)+EU82</f>
        <v/>
      </c>
      <c r="EV81" s="152">
        <f>SUM(EV75:EV80)+EV82</f>
        <v/>
      </c>
      <c r="EW81" s="152">
        <f>SUM(EW75:EW80)+EW82</f>
        <v/>
      </c>
      <c r="EX81" s="152">
        <f>SUM(EX75:EX80)+EX82</f>
        <v/>
      </c>
      <c r="EY81" s="152">
        <f>SUM(EY75:EY80)+EY82</f>
        <v/>
      </c>
      <c r="EZ81" s="152">
        <f>SUM(EZ75:EZ80)+EZ82</f>
        <v/>
      </c>
      <c r="FA81" s="152">
        <f>SUM(FA75:FA80)+FA82</f>
        <v/>
      </c>
    </row>
    <row r="82" ht="15.75" customHeight="1">
      <c r="A82" s="89" t="n"/>
      <c r="B82" s="89" t="n"/>
      <c r="C82" s="89" t="n"/>
      <c r="D82" s="89" t="n"/>
      <c r="E82" s="89" t="n"/>
      <c r="F82" s="89" t="n"/>
      <c r="G82" s="89" t="n"/>
      <c r="H82" s="89" t="n"/>
      <c r="I82" s="89" t="n"/>
      <c r="J82" s="89" t="n"/>
      <c r="K82" s="89" t="n"/>
      <c r="L82" s="89" t="n"/>
      <c r="M82" s="89" t="n"/>
      <c r="N82" s="89" t="n"/>
      <c r="O82" s="89" t="n"/>
      <c r="P82" s="89" t="n"/>
      <c r="Q82" s="89" t="n"/>
      <c r="R82" s="89" t="n"/>
      <c r="S82" s="89" t="n"/>
      <c r="T82" s="89" t="n"/>
      <c r="U82" s="89" t="n"/>
      <c r="V82" s="89" t="n"/>
      <c r="W82" s="89" t="n"/>
      <c r="X82" s="89" t="n"/>
      <c r="Y82" s="89" t="n"/>
      <c r="Z82" s="89" t="n"/>
      <c r="AA82" s="89" t="n"/>
      <c r="AB82" s="89" t="n"/>
      <c r="AC82" s="89" t="n"/>
      <c r="AD82" s="89" t="n"/>
      <c r="AE82" s="89" t="n"/>
      <c r="AF82" s="89" t="n"/>
      <c r="AG82" s="89" t="n"/>
      <c r="AH82" s="89" t="n"/>
      <c r="AI82" s="89" t="n"/>
      <c r="AJ82" s="89" t="n"/>
      <c r="AK82" s="89" t="n"/>
      <c r="AL82" s="89" t="n"/>
      <c r="AM82" s="89" t="n"/>
      <c r="AN82" s="89" t="n"/>
      <c r="AO82" s="89" t="n"/>
      <c r="AP82" s="89" t="n"/>
      <c r="AQ82" s="89" t="n"/>
      <c r="AR82" s="89" t="n"/>
      <c r="AS82" s="89" t="n"/>
      <c r="AT82" s="89" t="n"/>
      <c r="AU82" s="89" t="n"/>
      <c r="AV82" s="89" t="n"/>
      <c r="AW82" s="89" t="n"/>
      <c r="AX82" s="89" t="n"/>
      <c r="AY82" s="89" t="n"/>
      <c r="AZ82" s="89" t="n"/>
      <c r="BA82" s="89" t="n"/>
      <c r="BB82" s="89" t="n"/>
      <c r="BC82" s="89" t="n"/>
      <c r="BD82" s="89" t="n"/>
      <c r="BE82" s="89" t="n"/>
      <c r="BF82" s="89" t="n"/>
      <c r="BG82" s="89" t="n"/>
      <c r="BH82" s="89" t="n"/>
      <c r="BI82" s="89" t="n"/>
      <c r="BJ82" s="89" t="n"/>
      <c r="BK82" s="89" t="n"/>
      <c r="BL82" s="89" t="n"/>
      <c r="BM82" s="89" t="n"/>
      <c r="BN82" s="89" t="n"/>
      <c r="BO82" s="89" t="n"/>
      <c r="BP82" s="89" t="n"/>
      <c r="BQ82" s="89" t="n"/>
      <c r="BR82" s="89" t="n"/>
      <c r="BS82" s="89" t="n"/>
      <c r="BT82" s="89" t="n"/>
      <c r="BU82" s="89" t="n"/>
      <c r="BV82" s="89" t="n"/>
      <c r="BW82" s="89" t="n"/>
      <c r="BX82" s="89" t="n"/>
      <c r="BY82" s="90" t="n"/>
      <c r="BZ82" s="90" t="n"/>
      <c r="CA82" s="90" t="n"/>
      <c r="CB82" s="90" t="n"/>
      <c r="CC82" s="90" t="n"/>
      <c r="CD82" s="90" t="n"/>
      <c r="CE82" s="90" t="n"/>
      <c r="CF82" s="90" t="n"/>
      <c r="CG82" s="90" t="n"/>
      <c r="CH82" s="90" t="n"/>
      <c r="CI82" s="90" t="n"/>
      <c r="CJ82" s="90" t="n"/>
      <c r="CK82" s="90" t="n"/>
      <c r="CL82" s="90" t="n"/>
      <c r="CM82" s="90" t="n"/>
      <c r="CN82" s="90" t="n"/>
      <c r="CO82" s="90" t="n"/>
      <c r="CP82" s="90" t="n"/>
      <c r="CQ82" s="162" t="n"/>
      <c r="CR82" s="90" t="n"/>
      <c r="CS82" s="90" t="n"/>
      <c r="CT82" s="90" t="n"/>
      <c r="CU82" s="90" t="n"/>
      <c r="CV82" s="90" t="n"/>
      <c r="CW82" s="90" t="n"/>
      <c r="CX82" s="90" t="n"/>
      <c r="CY82" s="90" t="n"/>
      <c r="CZ82" s="90" t="n"/>
      <c r="DA82" s="90" t="n"/>
      <c r="DB82" s="90" t="n"/>
      <c r="DC82" s="90" t="n"/>
      <c r="DD82" s="90" t="n"/>
      <c r="DE82" s="90" t="n"/>
      <c r="DF82" s="90" t="n"/>
      <c r="DG82" s="90" t="n"/>
      <c r="DH82" s="90" t="n"/>
      <c r="DI82" s="90" t="n"/>
      <c r="DJ82" s="90" t="n"/>
      <c r="DK82" s="90" t="n"/>
      <c r="DL82" s="90" t="n"/>
      <c r="DM82" s="90" t="n"/>
      <c r="DN82" s="90" t="n"/>
      <c r="DO82" s="90" t="n"/>
      <c r="DP82" s="90" t="n"/>
      <c r="DQ82" s="90" t="n"/>
      <c r="DR82" s="90" t="n"/>
      <c r="DS82" s="90" t="n"/>
      <c r="DT82" s="90" t="n"/>
      <c r="DU82" s="90" t="n"/>
      <c r="DV82" s="90" t="n"/>
      <c r="DW82" s="90" t="n"/>
      <c r="DX82" s="90" t="n"/>
      <c r="DY82" s="90" t="n"/>
      <c r="DZ82" s="90" t="n"/>
      <c r="EA82" s="90" t="n"/>
      <c r="EB82" s="90" t="n"/>
      <c r="EC82" s="90" t="n"/>
      <c r="ED82" s="90" t="n"/>
      <c r="EE82" s="90" t="n"/>
      <c r="EF82" s="90" t="n"/>
      <c r="EG82" s="90" t="n"/>
      <c r="EH82" s="90" t="n"/>
      <c r="EI82" s="90" t="n"/>
      <c r="EJ82" s="90" t="n"/>
      <c r="EK82" s="90" t="n"/>
      <c r="EL82" s="90" t="n"/>
      <c r="EM82" s="90" t="n"/>
      <c r="EN82" s="90" t="n"/>
      <c r="EO82" s="90" t="n"/>
      <c r="EP82" s="90" t="n"/>
      <c r="EQ82" s="90" t="n"/>
      <c r="ER82" s="90" t="n"/>
      <c r="ES82" s="90" t="n"/>
      <c r="ET82" s="90" t="n"/>
      <c r="EU82" s="90" t="n"/>
      <c r="EV82" s="90" t="n"/>
      <c r="EW82" s="90" t="n"/>
      <c r="EX82" s="90" t="n"/>
      <c r="EY82" s="90" t="n"/>
      <c r="EZ82" s="90" t="n"/>
      <c r="FA82" s="90" t="n"/>
    </row>
    <row r="83" ht="15.75" customHeight="1">
      <c r="A83" s="89" t="inlineStr">
        <is>
          <t>Índice de Capitalización vs. Activos</t>
        </is>
      </c>
      <c r="BY83" s="90" t="n"/>
      <c r="BZ83" s="90" t="n"/>
      <c r="CA83" s="90" t="n"/>
      <c r="CB83" s="90" t="n"/>
      <c r="CC83" s="90" t="n"/>
      <c r="CD83" s="90" t="n"/>
      <c r="CE83" s="90" t="n"/>
      <c r="CF83" s="90" t="n"/>
      <c r="CG83" s="90" t="n"/>
      <c r="CH83" s="90" t="n"/>
      <c r="CI83" s="90" t="n"/>
      <c r="CJ83" s="90" t="n"/>
      <c r="CK83" s="90" t="n"/>
      <c r="CL83" s="90" t="n"/>
      <c r="CM83" s="90" t="n"/>
      <c r="CN83" s="90" t="n"/>
      <c r="CO83" s="90" t="n"/>
      <c r="CP83" s="144">
        <f>CP81/CP63</f>
        <v/>
      </c>
      <c r="CQ83" s="162" t="n"/>
      <c r="CR83" s="144">
        <f>CR81/CR63</f>
        <v/>
      </c>
      <c r="CS83" s="144">
        <f>CS81/CS63</f>
        <v/>
      </c>
      <c r="CT83" s="144">
        <f>CT81/CT63</f>
        <v/>
      </c>
      <c r="CU83" s="144">
        <f>CU81/CU63</f>
        <v/>
      </c>
      <c r="CV83" s="144">
        <f>CV81/CV63</f>
        <v/>
      </c>
      <c r="CW83" s="144">
        <f>CW81/CW63</f>
        <v/>
      </c>
      <c r="CX83" s="144">
        <f>CX81/CX63</f>
        <v/>
      </c>
      <c r="CY83" s="144">
        <f>CY81/CY63</f>
        <v/>
      </c>
      <c r="CZ83" s="144">
        <f>CZ81/CZ63</f>
        <v/>
      </c>
      <c r="DA83" s="144">
        <f>DA81/DA63</f>
        <v/>
      </c>
      <c r="DB83" s="144">
        <f>DB81/DB63</f>
        <v/>
      </c>
      <c r="DC83" s="173">
        <f>DC81/DC63</f>
        <v/>
      </c>
      <c r="DD83" s="144">
        <f>DD81/DD63</f>
        <v/>
      </c>
      <c r="DE83" s="144">
        <f>DE81/DE63</f>
        <v/>
      </c>
      <c r="DF83" s="144">
        <f>DF81/DF63</f>
        <v/>
      </c>
      <c r="DG83" s="144">
        <f>DG81/DG63</f>
        <v/>
      </c>
      <c r="DH83" s="144">
        <f>DH81/DH63</f>
        <v/>
      </c>
      <c r="DI83" s="144">
        <f>DI81/DI63</f>
        <v/>
      </c>
      <c r="DJ83" s="144">
        <f>DJ81/DJ63</f>
        <v/>
      </c>
      <c r="DK83" s="144">
        <f>DK81/DK63</f>
        <v/>
      </c>
      <c r="DL83" s="144">
        <f>DL81/DL63</f>
        <v/>
      </c>
      <c r="DM83" s="144">
        <f>DM81/DM63</f>
        <v/>
      </c>
      <c r="DN83" s="144">
        <f>DN81/DN63</f>
        <v/>
      </c>
      <c r="DO83" s="144">
        <f>DO81/DO63</f>
        <v/>
      </c>
      <c r="DP83" s="144">
        <f>DP81/DP63</f>
        <v/>
      </c>
      <c r="DQ83" s="144">
        <f>DQ81/DQ63</f>
        <v/>
      </c>
      <c r="DR83" s="144">
        <f>DR81/DR63</f>
        <v/>
      </c>
      <c r="DS83" s="144">
        <f>DS81/DS63</f>
        <v/>
      </c>
      <c r="DT83" s="144">
        <f>DT81/DT63</f>
        <v/>
      </c>
      <c r="DU83" s="144">
        <f>DU81/DU63</f>
        <v/>
      </c>
      <c r="DV83" s="144">
        <f>DV81/DV63</f>
        <v/>
      </c>
      <c r="DW83" s="144">
        <f>DW81/DW63</f>
        <v/>
      </c>
      <c r="DX83" s="144">
        <f>DX81/DX63</f>
        <v/>
      </c>
      <c r="DY83" s="144">
        <f>DY81/DY63</f>
        <v/>
      </c>
      <c r="DZ83" s="144">
        <f>DZ81/DZ63</f>
        <v/>
      </c>
      <c r="EA83" s="144">
        <f>EA81/EA63</f>
        <v/>
      </c>
      <c r="EB83" s="144">
        <f>EB81/EB63</f>
        <v/>
      </c>
      <c r="EC83" s="144">
        <f>EC81/EC63</f>
        <v/>
      </c>
      <c r="ED83" s="144">
        <f>ED81/ED63</f>
        <v/>
      </c>
      <c r="EE83" s="144">
        <f>EE81/EE63</f>
        <v/>
      </c>
      <c r="EF83" s="144">
        <f>EF81/EF63</f>
        <v/>
      </c>
      <c r="EG83" s="144">
        <f>EG81/EG63</f>
        <v/>
      </c>
      <c r="EH83" s="144">
        <f>EH81/EH63</f>
        <v/>
      </c>
      <c r="EI83" s="144">
        <f>EI81/EI63</f>
        <v/>
      </c>
      <c r="EJ83" s="144">
        <f>EJ81/EJ63</f>
        <v/>
      </c>
      <c r="EK83" s="144">
        <f>EK81/EK63</f>
        <v/>
      </c>
      <c r="EL83" s="144">
        <f>EL81/EL63</f>
        <v/>
      </c>
      <c r="EM83" s="144">
        <f>EM81/EM63</f>
        <v/>
      </c>
      <c r="EN83" s="144">
        <f>EN81/EN63</f>
        <v/>
      </c>
      <c r="EO83" s="144">
        <f>EO81/EO63</f>
        <v/>
      </c>
      <c r="EP83" s="144">
        <f>EP81/EP63</f>
        <v/>
      </c>
      <c r="EQ83" s="144">
        <f>EQ81/EQ63</f>
        <v/>
      </c>
      <c r="ER83" s="144">
        <f>ER81/ER63</f>
        <v/>
      </c>
      <c r="ES83" s="144">
        <f>ES81/ES63</f>
        <v/>
      </c>
      <c r="ET83" s="144">
        <f>ET81/ET63</f>
        <v/>
      </c>
      <c r="EU83" s="144">
        <f>EU81/EU63</f>
        <v/>
      </c>
      <c r="EV83" s="144">
        <f>EV81/EV63</f>
        <v/>
      </c>
      <c r="EW83" s="144">
        <f>EW81/EW63</f>
        <v/>
      </c>
      <c r="EX83" s="144">
        <f>EX81/EX63</f>
        <v/>
      </c>
      <c r="EY83" s="144">
        <f>EY81/EY63</f>
        <v/>
      </c>
      <c r="EZ83" s="144">
        <f>EZ81/EZ63</f>
        <v/>
      </c>
      <c r="FA83" s="144">
        <f>FA81/FA63</f>
        <v/>
      </c>
    </row>
    <row r="84" ht="15.75" customHeight="1">
      <c r="A84" s="89" t="inlineStr">
        <is>
          <t>Índice de Apalancamiento vs. Capital</t>
        </is>
      </c>
      <c r="CP84" s="143">
        <f>CP73/CP81</f>
        <v/>
      </c>
      <c r="CQ84" s="159" t="n"/>
      <c r="CR84" s="143">
        <f>CR73/CR81</f>
        <v/>
      </c>
      <c r="CS84" s="143">
        <f>CS73/CS81</f>
        <v/>
      </c>
      <c r="CT84" s="143">
        <f>CT73/CT81</f>
        <v/>
      </c>
      <c r="CU84" s="264">
        <f>CU73/CU81</f>
        <v/>
      </c>
      <c r="CV84" s="143">
        <f>CV73/CV81</f>
        <v/>
      </c>
      <c r="CW84" s="143">
        <f>CW73/CW81</f>
        <v/>
      </c>
      <c r="CX84" s="143">
        <f>CX73/CX81</f>
        <v/>
      </c>
      <c r="CY84" s="143">
        <f>CY73/CY81</f>
        <v/>
      </c>
      <c r="CZ84" s="143">
        <f>CZ73/CZ81</f>
        <v/>
      </c>
      <c r="DA84" s="143">
        <f>DA73/DA81</f>
        <v/>
      </c>
      <c r="DB84" s="143">
        <f>DB73/DB81</f>
        <v/>
      </c>
      <c r="DC84" s="175">
        <f>DC73/DC81</f>
        <v/>
      </c>
      <c r="DD84" s="143">
        <f>DD73/DD81</f>
        <v/>
      </c>
      <c r="DE84" s="143">
        <f>DE73/DE81</f>
        <v/>
      </c>
      <c r="DF84" s="143">
        <f>DF73/DF81</f>
        <v/>
      </c>
      <c r="DG84" s="143">
        <f>DG73/DG81</f>
        <v/>
      </c>
      <c r="DH84" s="143">
        <f>DH73/DH81</f>
        <v/>
      </c>
      <c r="DI84" s="143">
        <f>DI73/DI81</f>
        <v/>
      </c>
      <c r="DJ84" s="143">
        <f>DJ73/DJ81</f>
        <v/>
      </c>
      <c r="DK84" s="143">
        <f>DK73/DK81</f>
        <v/>
      </c>
      <c r="DL84" s="143">
        <f>DL73/DL81</f>
        <v/>
      </c>
      <c r="DM84" s="143">
        <f>DM73/DM81</f>
        <v/>
      </c>
      <c r="DN84" s="143">
        <f>DN73/DN81</f>
        <v/>
      </c>
      <c r="DO84" s="143">
        <f>DO73/DO81</f>
        <v/>
      </c>
      <c r="DP84" s="143">
        <f>DP73/DP81</f>
        <v/>
      </c>
      <c r="DQ84" s="143">
        <f>DQ73/DQ81</f>
        <v/>
      </c>
      <c r="DR84" s="143">
        <f>DR73/DR81</f>
        <v/>
      </c>
      <c r="DS84" s="143">
        <f>DS73/DS81</f>
        <v/>
      </c>
      <c r="DT84" s="143">
        <f>DT73/DT81</f>
        <v/>
      </c>
      <c r="DU84" s="143">
        <f>DU73/DU81</f>
        <v/>
      </c>
      <c r="DV84" s="143">
        <f>DV73/DV81</f>
        <v/>
      </c>
      <c r="DW84" s="143">
        <f>DW73/DW81</f>
        <v/>
      </c>
      <c r="DX84" s="143">
        <f>DX73/DX81</f>
        <v/>
      </c>
      <c r="DY84" s="143">
        <f>DY73/DY81</f>
        <v/>
      </c>
      <c r="DZ84" s="143">
        <f>DZ73/DZ81</f>
        <v/>
      </c>
      <c r="EA84" s="143">
        <f>EA73/EA81</f>
        <v/>
      </c>
      <c r="EB84" s="143">
        <f>EB73/EB81</f>
        <v/>
      </c>
      <c r="EC84" s="143">
        <f>EC73/EC81</f>
        <v/>
      </c>
      <c r="ED84" s="143">
        <f>ED73/ED81</f>
        <v/>
      </c>
      <c r="EE84" s="143">
        <f>EE73/EE81</f>
        <v/>
      </c>
      <c r="EF84" s="143">
        <f>EF73/EF81</f>
        <v/>
      </c>
      <c r="EG84" s="143">
        <f>EG73/EG81</f>
        <v/>
      </c>
      <c r="EH84" s="143">
        <f>EH73/EH81</f>
        <v/>
      </c>
      <c r="EI84" s="143">
        <f>EI73/EI81</f>
        <v/>
      </c>
      <c r="EJ84" s="143">
        <f>EJ73/EJ81</f>
        <v/>
      </c>
      <c r="EK84" s="143">
        <f>EK73/EK81</f>
        <v/>
      </c>
      <c r="EL84" s="143">
        <f>EL73/EL81</f>
        <v/>
      </c>
      <c r="EM84" s="143">
        <f>EM73/EM81</f>
        <v/>
      </c>
      <c r="EN84" s="143">
        <f>EN73/EN81</f>
        <v/>
      </c>
      <c r="EO84" s="143">
        <f>EO73/EO81</f>
        <v/>
      </c>
      <c r="EP84" s="143">
        <f>EP73/EP81</f>
        <v/>
      </c>
      <c r="EQ84" s="143">
        <f>EQ73/EQ81</f>
        <v/>
      </c>
      <c r="ER84" s="143">
        <f>ER73/ER81</f>
        <v/>
      </c>
      <c r="ES84" s="143">
        <f>ES73/ES81</f>
        <v/>
      </c>
      <c r="ET84" s="143">
        <f>ET73/ET81</f>
        <v/>
      </c>
      <c r="EU84" s="143">
        <f>EU73/EU81</f>
        <v/>
      </c>
      <c r="EV84" s="143">
        <f>EV73/EV81</f>
        <v/>
      </c>
      <c r="EW84" s="143">
        <f>EW73/EW81</f>
        <v/>
      </c>
      <c r="EX84" s="143">
        <f>EX73/EX81</f>
        <v/>
      </c>
      <c r="EY84" s="143">
        <f>EY73/EY81</f>
        <v/>
      </c>
      <c r="EZ84" s="143">
        <f>EZ73/EZ81</f>
        <v/>
      </c>
      <c r="FA84" s="143">
        <f>FA73/FA81</f>
        <v/>
      </c>
    </row>
    <row r="85" ht="15.75" customHeight="1">
      <c r="A85" s="89" t="inlineStr">
        <is>
          <t>Apalancamiento vs. Cartera</t>
        </is>
      </c>
      <c r="BY85" s="154" t="n"/>
      <c r="BZ85" s="154" t="n"/>
      <c r="CA85" s="154" t="n"/>
      <c r="CB85" s="154" t="n"/>
      <c r="CP85" s="144">
        <f>CP73/CP56</f>
        <v/>
      </c>
      <c r="CQ85" s="159" t="n"/>
      <c r="CR85" s="144">
        <f>CR73/CR56</f>
        <v/>
      </c>
      <c r="CS85" s="144">
        <f>CS73/CS56</f>
        <v/>
      </c>
      <c r="CT85" s="144">
        <f>CT73/CT56</f>
        <v/>
      </c>
      <c r="CU85" s="144">
        <f>CU73/CU56</f>
        <v/>
      </c>
      <c r="CV85" s="144">
        <f>CV73/CV56</f>
        <v/>
      </c>
      <c r="CW85" s="144">
        <f>CW73/CW56</f>
        <v/>
      </c>
      <c r="CX85" s="144">
        <f>CX73/CX56</f>
        <v/>
      </c>
      <c r="CY85" s="144">
        <f>CY73/CY56</f>
        <v/>
      </c>
      <c r="CZ85" s="144">
        <f>CZ73/CZ56</f>
        <v/>
      </c>
      <c r="DA85" s="144">
        <f>DA73/DA56</f>
        <v/>
      </c>
      <c r="DB85" s="144">
        <f>DB73/DB56</f>
        <v/>
      </c>
      <c r="DC85" s="173">
        <f>DC73/DC56</f>
        <v/>
      </c>
      <c r="DD85" s="144">
        <f>DD73/DD56</f>
        <v/>
      </c>
      <c r="DE85" s="144">
        <f>DE73/DE56</f>
        <v/>
      </c>
      <c r="DF85" s="144">
        <f>DF73/DF56</f>
        <v/>
      </c>
      <c r="DG85" s="144">
        <f>DG73/DG56</f>
        <v/>
      </c>
      <c r="DH85" s="144">
        <f>DH73/DH56</f>
        <v/>
      </c>
      <c r="DI85" s="144">
        <f>DI73/DI56</f>
        <v/>
      </c>
      <c r="DJ85" s="144">
        <f>DJ73/DJ56</f>
        <v/>
      </c>
      <c r="DK85" s="144">
        <f>DK73/DK56</f>
        <v/>
      </c>
      <c r="DL85" s="144">
        <f>DL73/DL56</f>
        <v/>
      </c>
      <c r="DM85" s="144">
        <f>DM73/DM56</f>
        <v/>
      </c>
      <c r="DN85" s="144">
        <f>DN73/DN56</f>
        <v/>
      </c>
      <c r="DO85" s="144">
        <f>DO73/DO56</f>
        <v/>
      </c>
      <c r="DP85" s="144">
        <f>DP73/DP56</f>
        <v/>
      </c>
      <c r="DQ85" s="144">
        <f>DQ73/DQ56</f>
        <v/>
      </c>
      <c r="DR85" s="144">
        <f>DR73/DR56</f>
        <v/>
      </c>
      <c r="DS85" s="144">
        <f>DS73/DS56</f>
        <v/>
      </c>
      <c r="DT85" s="144">
        <f>DT73/DT56</f>
        <v/>
      </c>
      <c r="DU85" s="144">
        <f>DU73/DU56</f>
        <v/>
      </c>
      <c r="DV85" s="144">
        <f>DV73/DV56</f>
        <v/>
      </c>
      <c r="DW85" s="144">
        <f>DW73/DW56</f>
        <v/>
      </c>
      <c r="DX85" s="144">
        <f>DX73/DX56</f>
        <v/>
      </c>
      <c r="DY85" s="144">
        <f>DY73/DY56</f>
        <v/>
      </c>
      <c r="DZ85" s="144">
        <f>DZ73/DZ56</f>
        <v/>
      </c>
      <c r="EA85" s="144">
        <f>EA73/EA56</f>
        <v/>
      </c>
      <c r="EB85" s="144">
        <f>EB73/EB56</f>
        <v/>
      </c>
      <c r="EC85" s="144">
        <f>EC73/EC56</f>
        <v/>
      </c>
      <c r="ED85" s="144">
        <f>ED73/ED56</f>
        <v/>
      </c>
      <c r="EE85" s="144">
        <f>EE73/EE56</f>
        <v/>
      </c>
      <c r="EF85" s="144">
        <f>EF73/EF56</f>
        <v/>
      </c>
      <c r="EG85" s="144">
        <f>EG73/EG56</f>
        <v/>
      </c>
      <c r="EH85" s="144">
        <f>EH73/EH56</f>
        <v/>
      </c>
      <c r="EI85" s="144">
        <f>EI73/EI56</f>
        <v/>
      </c>
      <c r="EJ85" s="144">
        <f>EJ73/EJ56</f>
        <v/>
      </c>
      <c r="EK85" s="144">
        <f>EK73/EK56</f>
        <v/>
      </c>
      <c r="EL85" s="144">
        <f>EL73/EL56</f>
        <v/>
      </c>
      <c r="EM85" s="144">
        <f>EM73/EM56</f>
        <v/>
      </c>
      <c r="EN85" s="144">
        <f>EN73/EN56</f>
        <v/>
      </c>
      <c r="EO85" s="144">
        <f>EO73/EO56</f>
        <v/>
      </c>
      <c r="EP85" s="144">
        <f>EP73/EP56</f>
        <v/>
      </c>
      <c r="EQ85" s="144">
        <f>EQ73/EQ56</f>
        <v/>
      </c>
      <c r="ER85" s="144">
        <f>ER73/ER56</f>
        <v/>
      </c>
      <c r="ES85" s="144">
        <f>ES73/ES56</f>
        <v/>
      </c>
      <c r="ET85" s="144">
        <f>ET73/ET56</f>
        <v/>
      </c>
      <c r="EU85" s="144">
        <f>EU73/EU56</f>
        <v/>
      </c>
      <c r="EV85" s="144">
        <f>EV73/EV56</f>
        <v/>
      </c>
      <c r="EW85" s="144">
        <f>EW73/EW56</f>
        <v/>
      </c>
      <c r="EX85" s="144">
        <f>EX73/EX56</f>
        <v/>
      </c>
      <c r="EY85" s="144">
        <f>EY73/EY56</f>
        <v/>
      </c>
      <c r="EZ85" s="144">
        <f>EZ73/EZ56</f>
        <v/>
      </c>
      <c r="FA85" s="144">
        <f>FA73/FA56</f>
        <v/>
      </c>
    </row>
    <row r="86" ht="15.75" customHeight="1">
      <c r="A86" s="89" t="inlineStr">
        <is>
          <t>Rendimiento Total Cartera y Portafolio</t>
        </is>
      </c>
      <c r="CP86" s="144">
        <f>(CP2+CP7+CP41+CP42)/(CP39-CP37+CP56)*12</f>
        <v/>
      </c>
      <c r="CQ86" s="159" t="n"/>
      <c r="CR86" s="144">
        <f>(CR2+CR7+CR41+CR42)/(CR39-CR37+CR56)*12</f>
        <v/>
      </c>
      <c r="CS86" s="144">
        <f>(CS2+CS7+CS41+CS42)/(CS39-CS37+CS56)*12</f>
        <v/>
      </c>
      <c r="CT86" s="144">
        <f>(CT2+CT7+CT41+CT42)/(CT39-CT37+CT56)*12</f>
        <v/>
      </c>
      <c r="CU86" s="144">
        <f>(CU2+CU7+CU41+CU42)/(CU39-CU37+CU56)*12</f>
        <v/>
      </c>
      <c r="CV86" s="144">
        <f>(CV2+CV7+CV41+CV42)/(CV39-CV37+CV56)*12</f>
        <v/>
      </c>
      <c r="CW86" s="144">
        <f>(CW2+CW7+CW41+CW42)/(CW39-CW37+CW56)*12</f>
        <v/>
      </c>
      <c r="CX86" s="144">
        <f>(CX2+CX7+CX41+CX42)/(CX39-CX37+CX56)*12</f>
        <v/>
      </c>
      <c r="CY86" s="144">
        <f>(CY2+CY7+CY41+CY42)/(CY39-CY37+CY56)*12</f>
        <v/>
      </c>
      <c r="CZ86" s="144">
        <f>(CZ2+CZ7+CZ41+CZ42)/(CZ39-CZ37+CZ56)*12</f>
        <v/>
      </c>
      <c r="DA86" s="144">
        <f>(DA2+DA7+DA41+DA42)/(DA39-DA37+DA56)*12</f>
        <v/>
      </c>
      <c r="DB86" s="144">
        <f>(DB2+DB7+DB41+DB42)/(DB39-DB37+DB56)*12</f>
        <v/>
      </c>
      <c r="DC86" s="173">
        <f>(DC2+DC7+DC41+DC42)/(DC39-DC37+DC56)*12</f>
        <v/>
      </c>
      <c r="DD86" s="144">
        <f>(DD2+DD7+DD41+DD42)/(DD39-DD37+DD56)*12</f>
        <v/>
      </c>
      <c r="DE86" s="144">
        <f>(DE2+DE7+DE41+DE42)/(DE39-DE37+DE56)*12</f>
        <v/>
      </c>
      <c r="DF86" s="144">
        <f>(DF2+DF7+DF41+DF42)/(DF39-DF37+DF56)*12</f>
        <v/>
      </c>
      <c r="DG86" s="144">
        <f>(DG2+DG7+DG41+DG42)/(DG39-DG37+DG56)*12</f>
        <v/>
      </c>
      <c r="DH86" s="144">
        <f>(DH2+DH7+DH41+DH42)/(DH39-DH37+DH56)*12</f>
        <v/>
      </c>
      <c r="DI86" s="144">
        <f>(DI2+DI7+DI41+DI42)/(DI39-DI37+DI56)*12</f>
        <v/>
      </c>
      <c r="DJ86" s="144">
        <f>(DJ2+DJ7+DJ41+DJ42)/(DJ39-DJ37+DJ56)*12</f>
        <v/>
      </c>
      <c r="DK86" s="144">
        <f>(DK2+DK7+DK41+DK42)/(DK39-DK37+DK56)*12</f>
        <v/>
      </c>
      <c r="DL86" s="144">
        <f>(DL2+DL7+DL41+DL42)/(DL39-DL37+DL56)*12</f>
        <v/>
      </c>
      <c r="DM86" s="144">
        <f>(DM2+DM7+DM41+DM42)/(DM39-DM37+DM56)*12</f>
        <v/>
      </c>
      <c r="DN86" s="144">
        <f>(DN2+DN7+DN41+DN42)/(DN39-DN37+DN56)*12</f>
        <v/>
      </c>
      <c r="DO86" s="144">
        <f>(DO2+DO7+DO41+DO42)/(DO39-DO37+DO56)*12</f>
        <v/>
      </c>
      <c r="DP86" s="144">
        <f>(DP2+DP7+DP41+DP42)/(DP39-DP37+DP56)*12</f>
        <v/>
      </c>
      <c r="DQ86" s="144">
        <f>(DQ2+DQ7+DQ41+DQ42)/(DQ39-DQ37+DQ56)*12</f>
        <v/>
      </c>
      <c r="DR86" s="144">
        <f>(DR2+DR7+DR41+DR42)/(DR39-DR37+DR56)*12</f>
        <v/>
      </c>
      <c r="DS86" s="144">
        <f>(DS2+DS7+DS41+DS42)/(DS39-DS37+DS56)*12</f>
        <v/>
      </c>
      <c r="DT86" s="144">
        <f>(DT2+DT7+DT41+DT42)/(DT39-DT37+DT56)*12</f>
        <v/>
      </c>
      <c r="DU86" s="144">
        <f>(DU2+DU7+DU41+DU42)/(DU39-DU37+DU56)*12</f>
        <v/>
      </c>
      <c r="DV86" s="144">
        <f>(DV2+DV7+DV41+DV42)/(DV39-DV37+DV56)*12</f>
        <v/>
      </c>
      <c r="DW86" s="144">
        <f>(DW2+DW7+DW41+DW42)/(DW39-DW37+DW56)*12</f>
        <v/>
      </c>
      <c r="DX86" s="144">
        <f>(DX2+DX7+DX41+DX42)/(DX39-DX37+DX56)*12</f>
        <v/>
      </c>
      <c r="DY86" s="144">
        <f>(DY2+DY7+DY41+DY42)/(DY39-DY37+DY56)*12</f>
        <v/>
      </c>
      <c r="DZ86" s="144">
        <f>(DZ2+DZ7+DZ41+DZ42)/(DZ39-DZ37+DZ56)*12</f>
        <v/>
      </c>
      <c r="EA86" s="144">
        <f>(EA2+EA7+EA41+EA42)/(EA39-EA37+EA56)*12</f>
        <v/>
      </c>
      <c r="EB86" s="144">
        <f>(EB2+EB7+EB41+EB42)/(EB39-EB37+EB56)*12</f>
        <v/>
      </c>
      <c r="EC86" s="144">
        <f>(EC2+EC7+EC41+EC42)/(EC39-EC37+EC56)*12</f>
        <v/>
      </c>
      <c r="ED86" s="144">
        <f>(ED2+ED7+ED41+ED42)/(ED39-ED37+ED56)*12</f>
        <v/>
      </c>
      <c r="EE86" s="144">
        <f>(EE2+EE7+EE41+EE42)/(EE39-EE37+EE56)*12</f>
        <v/>
      </c>
      <c r="EF86" s="144">
        <f>(EF2+EF7+EF41+EF42)/(EF39-EF37+EF56)*12</f>
        <v/>
      </c>
      <c r="EG86" s="144">
        <f>(EG2+EG7+EG41+EG42)/(EG39-EG37+EG56)*12</f>
        <v/>
      </c>
      <c r="EH86" s="144">
        <f>(EH2+EH7+EH41+EH42)/(EH39-EH37+EH56)*12</f>
        <v/>
      </c>
      <c r="EI86" s="144">
        <f>(EI2+EI7+EI41+EI42)/(EI39-EI37+EI56)*12</f>
        <v/>
      </c>
      <c r="EJ86" s="144">
        <f>(EJ2+EJ7+EJ41+EJ42)/(EJ39-EJ37+EJ56)*12</f>
        <v/>
      </c>
      <c r="EK86" s="144">
        <f>(EK2+EK7+EK41+EK42)/(EK39-EK37+EK56)*12</f>
        <v/>
      </c>
      <c r="EL86" s="144">
        <f>(EL2+EL7+EL41+EL42)/(EL39-EL37+EL56)*12</f>
        <v/>
      </c>
      <c r="EM86" s="144">
        <f>(EM2+EM7+EM41+EM42)/(EM39-EM37+EM56)*12</f>
        <v/>
      </c>
      <c r="EN86" s="144">
        <f>(EN2+EN7+EN41+EN42)/(EN39-EN37+EN56)*12</f>
        <v/>
      </c>
      <c r="EO86" s="144">
        <f>(EO2+EO7+EO41+EO42)/(EO39-EO37+EO56)*12</f>
        <v/>
      </c>
      <c r="EP86" s="144">
        <f>(EP2+EP7+EP41+EP42)/(EP39-EP37+EP56)*12</f>
        <v/>
      </c>
      <c r="EQ86" s="144">
        <f>(EQ2+EQ7+EQ41+EQ42)/(EQ39-EQ37+EQ56)*12</f>
        <v/>
      </c>
      <c r="ER86" s="144">
        <f>(ER2+ER7+ER41+ER42)/(ER39-ER37+ER56)*12</f>
        <v/>
      </c>
      <c r="ES86" s="144">
        <f>(ES2+ES7+ES41+ES42)/(ES39-ES37+ES56)*12</f>
        <v/>
      </c>
      <c r="ET86" s="144">
        <f>(ET2+ET7+ET41+ET42)/(ET39-ET37+ET56)*12</f>
        <v/>
      </c>
      <c r="EU86" s="144">
        <f>(EU2+EU7+EU41+EU42)/(EU39-EU37+EU56)*12</f>
        <v/>
      </c>
      <c r="EV86" s="144">
        <f>(EV2+EV7+EV41+EV42)/(EV39-EV37+EV56)*12</f>
        <v/>
      </c>
      <c r="EW86" s="144">
        <f>(EW2+EW7+EW41+EW42)/(EW39-EW37+EW56)*12</f>
        <v/>
      </c>
      <c r="EX86" s="144">
        <f>(EX2+EX7+EX41+EX42)/(EX39-EX37+EX56)*12</f>
        <v/>
      </c>
      <c r="EY86" s="144">
        <f>(EY2+EY7+EY41+EY42)/(EY39-EY37+EY56)*12</f>
        <v/>
      </c>
      <c r="EZ86" s="144">
        <f>(EZ2+EZ7+EZ41+EZ42)/(EZ39-EZ37+EZ56)*12</f>
        <v/>
      </c>
      <c r="FA86" s="144">
        <f>(FA2+FA7+FA41+FA42)/(FA39-FA37+FA56)*12</f>
        <v/>
      </c>
    </row>
    <row r="87" ht="15.75" customHeight="1">
      <c r="A87" s="89" t="inlineStr">
        <is>
          <t>Rentabilidad sobre Cartera y Portafolio</t>
        </is>
      </c>
      <c r="CP87" s="144">
        <f>(CP78)/(CP39-CP37+CP56)*12</f>
        <v/>
      </c>
      <c r="CQ87" s="159" t="n"/>
      <c r="CR87" s="144">
        <f>(CR78)/(CR39-CR37+CR56)*12</f>
        <v/>
      </c>
      <c r="CS87" s="144">
        <f>(CS78)/(CS39-CS37+CS56)*12</f>
        <v/>
      </c>
      <c r="CT87" s="144">
        <f>(CT78)/(CT39-CT37+CT56)*12</f>
        <v/>
      </c>
      <c r="CU87" s="144">
        <f>(CU78)/(CU39-CU37+CU56)*12</f>
        <v/>
      </c>
      <c r="CV87" s="144">
        <f>(CV78)/(CV39-CV37+CV56)*12</f>
        <v/>
      </c>
      <c r="CW87" s="144">
        <f>(CW78)/(CW39-CW37+CW56)*12</f>
        <v/>
      </c>
      <c r="CX87" s="144">
        <f>(CX78)/(CX39-CX37+CX56)*12</f>
        <v/>
      </c>
      <c r="CY87" s="144">
        <f>(CY78)/(CY39-CY37+CY56)*12</f>
        <v/>
      </c>
      <c r="CZ87" s="144">
        <f>(CZ78)/(CZ39-CZ37+CZ56)*12</f>
        <v/>
      </c>
      <c r="DA87" s="144">
        <f>(DA78)/(DA39-DA37+DA56)*12</f>
        <v/>
      </c>
      <c r="DB87" s="144">
        <f>(DB78)/(DB39-DB37+DB56)*12</f>
        <v/>
      </c>
      <c r="DC87" s="173">
        <f>(DC78)/(DC39-DC37+DC56)*12</f>
        <v/>
      </c>
      <c r="DD87" s="144">
        <f>(DD78)/(DD39-DD37+DD56)*12</f>
        <v/>
      </c>
      <c r="DE87" s="144">
        <f>(DE78)/(DE39-DE37+DE56)*12</f>
        <v/>
      </c>
      <c r="DF87" s="144">
        <f>(DF78)/(DF39-DF37+DF56)*12</f>
        <v/>
      </c>
      <c r="DG87" s="144">
        <f>(DG78)/(DG39-DG37+DG56)*12</f>
        <v/>
      </c>
      <c r="DH87" s="144">
        <f>(DH78)/(DH39-DH37+DH56)*12</f>
        <v/>
      </c>
      <c r="DI87" s="144">
        <f>(DI78)/(DI39-DI37+DI56)*12</f>
        <v/>
      </c>
      <c r="DJ87" s="144">
        <f>(DJ78)/(DJ39-DJ37+DJ56)*12</f>
        <v/>
      </c>
      <c r="DK87" s="144">
        <f>(DK78)/(DK39-DK37+DK56)*12</f>
        <v/>
      </c>
      <c r="DL87" s="144">
        <f>(DL78)/(DL39-DL37+DL56)*12</f>
        <v/>
      </c>
      <c r="DM87" s="144">
        <f>(DM78)/(DM39-DM37+DM56)*12</f>
        <v/>
      </c>
      <c r="DN87" s="144">
        <f>(DN78)/(DN39-DN37+DN56)*12</f>
        <v/>
      </c>
      <c r="DO87" s="144">
        <f>(DO78)/(DO39-DO37+DO56)*12</f>
        <v/>
      </c>
      <c r="DP87" s="144">
        <f>(DP78)/(DP39-DP37+DP56)*12</f>
        <v/>
      </c>
      <c r="DQ87" s="144">
        <f>(DQ78)/(DQ39-DQ37+DQ56)*12</f>
        <v/>
      </c>
      <c r="DR87" s="144">
        <f>(DR78)/(DR39-DR37+DR56)*12</f>
        <v/>
      </c>
      <c r="DS87" s="144">
        <f>(DS78)/(DS39-DS37+DS56)*12</f>
        <v/>
      </c>
      <c r="DT87" s="144">
        <f>(DT78)/(DT39-DT37+DT56)*12</f>
        <v/>
      </c>
      <c r="DU87" s="144">
        <f>(DU78)/(DU39-DU37+DU56)*12</f>
        <v/>
      </c>
      <c r="DV87" s="144">
        <f>(DV78)/(DV39-DV37+DV56)*12</f>
        <v/>
      </c>
      <c r="DW87" s="144">
        <f>(DW78)/(DW39-DW37+DW56)*12</f>
        <v/>
      </c>
      <c r="DX87" s="144">
        <f>(DX78)/(DX39-DX37+DX56)*12</f>
        <v/>
      </c>
      <c r="DY87" s="144">
        <f>(DY78)/(DY39-DY37+DY56)*12</f>
        <v/>
      </c>
      <c r="DZ87" s="144">
        <f>(DZ78)/(DZ39-DZ37+DZ56)*12</f>
        <v/>
      </c>
      <c r="EA87" s="144">
        <f>(EA78)/(EA39-EA37+EA56)*12</f>
        <v/>
      </c>
      <c r="EB87" s="144">
        <f>(EB78)/(EB39-EB37+EB56)*12</f>
        <v/>
      </c>
      <c r="EC87" s="144">
        <f>(EC78)/(EC39-EC37+EC56)*12</f>
        <v/>
      </c>
      <c r="ED87" s="144">
        <f>(ED78)/(ED39-ED37+ED56)*12</f>
        <v/>
      </c>
      <c r="EE87" s="144">
        <f>(EE78)/(EE39-EE37+EE56)*12</f>
        <v/>
      </c>
      <c r="EF87" s="144">
        <f>(EF78)/(EF39-EF37+EF56)*12</f>
        <v/>
      </c>
      <c r="EG87" s="144">
        <f>(EG78)/(EG39-EG37+EG56)*12</f>
        <v/>
      </c>
      <c r="EH87" s="144">
        <f>(EH78)/(EH39-EH37+EH56)*12</f>
        <v/>
      </c>
      <c r="EI87" s="144">
        <f>(EI78)/(EI39-EI37+EI56)*12</f>
        <v/>
      </c>
      <c r="EJ87" s="144">
        <f>(EJ78)/(EJ39-EJ37+EJ56)*12</f>
        <v/>
      </c>
      <c r="EK87" s="144">
        <f>(EK78)/(EK39-EK37+EK56)*12</f>
        <v/>
      </c>
      <c r="EL87" s="144">
        <f>(EL78)/(EL39-EL37+EL56)*12</f>
        <v/>
      </c>
      <c r="EM87" s="144">
        <f>(EM78)/(EM39-EM37+EM56)*12</f>
        <v/>
      </c>
      <c r="EN87" s="144">
        <f>(EN78)/(EN39-EN37+EN56)*12</f>
        <v/>
      </c>
      <c r="EO87" s="144">
        <f>(EO78)/(EO39-EO37+EO56)*12</f>
        <v/>
      </c>
      <c r="EP87" s="144">
        <f>(EP78)/(EP39-EP37+EP56)*12</f>
        <v/>
      </c>
      <c r="EQ87" s="144">
        <f>(EQ78)/(EQ39-EQ37+EQ56)*12</f>
        <v/>
      </c>
      <c r="ER87" s="144">
        <f>(ER78)/(ER39-ER37+ER56)*12</f>
        <v/>
      </c>
      <c r="ES87" s="144">
        <f>(ES78)/(ES39-ES37+ES56)*12</f>
        <v/>
      </c>
      <c r="ET87" s="144">
        <f>(ET78)/(ET39-ET37+ET56)*12</f>
        <v/>
      </c>
      <c r="EU87" s="144">
        <f>(EU78)/(EU39-EU37+EU56)*12</f>
        <v/>
      </c>
      <c r="EV87" s="144">
        <f>(EV78)/(EV39-EV37+EV56)*12</f>
        <v/>
      </c>
      <c r="EW87" s="144">
        <f>(EW78)/(EW39-EW37+EW56)*12</f>
        <v/>
      </c>
      <c r="EX87" s="144">
        <f>(EX78)/(EX39-EX37+EX56)*12</f>
        <v/>
      </c>
      <c r="EY87" s="144">
        <f>(EY78)/(EY39-EY37+EY56)*12</f>
        <v/>
      </c>
      <c r="EZ87" s="144">
        <f>(EZ78)/(EZ39-EZ37+EZ56)*12</f>
        <v/>
      </c>
      <c r="FA87" s="144">
        <f>(FA78)/(FA39-FA37+FA56)*12</f>
        <v/>
      </c>
    </row>
    <row r="88" ht="15.75" customHeight="1">
      <c r="A88" s="89" t="inlineStr">
        <is>
          <t>Cartera Vencida</t>
        </is>
      </c>
      <c r="CQ88" s="171">
        <f>CQ37/CQ39</f>
        <v/>
      </c>
      <c r="DC88" s="173" t="n"/>
    </row>
    <row r="89" ht="15.75" customHeight="1">
      <c r="CQ89" s="159" t="n"/>
      <c r="DC89" s="173" t="n"/>
    </row>
    <row r="90" ht="15.75" customHeight="1">
      <c r="CQ90" s="159" t="n"/>
      <c r="DC90" s="160" t="n"/>
    </row>
    <row r="91" ht="15.75" customHeight="1">
      <c r="CQ91" s="159" t="n"/>
      <c r="DC91" s="160" t="n"/>
    </row>
    <row r="92" ht="15.75" customHeight="1">
      <c r="CQ92" s="159" t="n"/>
      <c r="DC92" s="160" t="n"/>
    </row>
    <row r="93" ht="15.75" customHeight="1">
      <c r="CQ93" s="159" t="n"/>
      <c r="DC93" s="160" t="n"/>
    </row>
    <row r="94" ht="15.75" customHeight="1">
      <c r="CQ94" s="159" t="n"/>
      <c r="DC94" s="160" t="n"/>
    </row>
    <row r="95" ht="15.75" customHeight="1">
      <c r="CQ95" s="159" t="n"/>
      <c r="DC95" s="160" t="n"/>
    </row>
    <row r="96" ht="15.75" customHeight="1">
      <c r="CQ96" s="159" t="n"/>
      <c r="DC96" s="160" t="n"/>
    </row>
    <row r="97" ht="15.75" customHeight="1">
      <c r="CQ97" s="159" t="n"/>
      <c r="DC97" s="160" t="n"/>
    </row>
    <row r="98" ht="15.75" customHeight="1">
      <c r="CQ98" s="159" t="n"/>
      <c r="DC98" s="160" t="n"/>
    </row>
    <row r="99" ht="15.75" customHeight="1">
      <c r="CQ99" s="159" t="n"/>
      <c r="DC99" s="160" t="n"/>
    </row>
    <row r="100" ht="15.75" customHeight="1">
      <c r="CQ100" s="159" t="n"/>
      <c r="DC100" s="160" t="n"/>
    </row>
    <row r="101" ht="15.75" customHeight="1">
      <c r="CQ101" s="159" t="n"/>
      <c r="DC101" s="160" t="n"/>
    </row>
    <row r="102" ht="15.75" customHeight="1">
      <c r="CQ102" s="159" t="n"/>
      <c r="DC102" s="160" t="n"/>
    </row>
    <row r="103" ht="15.75" customHeight="1">
      <c r="CQ103" s="159" t="n"/>
      <c r="DC103" s="160" t="n"/>
    </row>
    <row r="104" ht="15.75" customHeight="1">
      <c r="CQ104" s="159" t="n"/>
      <c r="DC104" s="160" t="n"/>
    </row>
    <row r="105" ht="15.75" customHeight="1">
      <c r="CQ105" s="159" t="n"/>
      <c r="DC105" s="160" t="n"/>
    </row>
    <row r="106" ht="15.75" customHeight="1">
      <c r="CQ106" s="159" t="n"/>
      <c r="DC106" s="160" t="n"/>
    </row>
    <row r="107" ht="15.75" customHeight="1">
      <c r="CQ107" s="159" t="n"/>
      <c r="DC107" s="160" t="n"/>
    </row>
    <row r="108" ht="15.75" customHeight="1">
      <c r="CQ108" s="159" t="n"/>
      <c r="DC108" s="160" t="n"/>
    </row>
    <row r="109" ht="15.75" customHeight="1">
      <c r="CQ109" s="159" t="n"/>
      <c r="DC109" s="160" t="n"/>
    </row>
    <row r="110" ht="15.75" customHeight="1">
      <c r="CQ110" s="159" t="n"/>
      <c r="DC110" s="160" t="n"/>
    </row>
    <row r="111" ht="15.75" customHeight="1">
      <c r="CQ111" s="159" t="n"/>
      <c r="DC111" s="160" t="n"/>
    </row>
    <row r="112" ht="15.75" customHeight="1">
      <c r="CQ112" s="159" t="n"/>
      <c r="DC112" s="160" t="n"/>
    </row>
    <row r="113" ht="15.75" customHeight="1">
      <c r="CQ113" s="159" t="n"/>
      <c r="DC113" s="160" t="n"/>
    </row>
    <row r="114" ht="15.75" customHeight="1">
      <c r="CQ114" s="159" t="n"/>
      <c r="DC114" s="160" t="n"/>
    </row>
    <row r="115" ht="15.75" customHeight="1">
      <c r="CQ115" s="159" t="n"/>
      <c r="DC115" s="160" t="n"/>
    </row>
    <row r="116" ht="15.75" customHeight="1">
      <c r="CQ116" s="159" t="n"/>
      <c r="DC116" s="160" t="n"/>
    </row>
    <row r="117" ht="15.75" customHeight="1">
      <c r="CQ117" s="159" t="n"/>
      <c r="DC117" s="160" t="n"/>
    </row>
    <row r="118" ht="15.75" customHeight="1">
      <c r="CQ118" s="159" t="n"/>
      <c r="DC118" s="160" t="n"/>
    </row>
    <row r="119" ht="15.75" customHeight="1">
      <c r="CQ119" s="159" t="n"/>
      <c r="DC119" s="160" t="n"/>
    </row>
    <row r="120" ht="15.75" customHeight="1">
      <c r="CQ120" s="159" t="n"/>
      <c r="DC120" s="160" t="n"/>
    </row>
    <row r="121" ht="15.75" customHeight="1">
      <c r="CQ121" s="159" t="n"/>
      <c r="DC121" s="160" t="n"/>
    </row>
    <row r="122" ht="15.75" customHeight="1">
      <c r="CQ122" s="159" t="n"/>
      <c r="DC122" s="160" t="n"/>
    </row>
    <row r="123" ht="15.75" customHeight="1">
      <c r="CQ123" s="159" t="n"/>
      <c r="DC123" s="160" t="n"/>
    </row>
    <row r="124" ht="15.75" customHeight="1">
      <c r="CQ124" s="159" t="n"/>
      <c r="DC124" s="160" t="n"/>
    </row>
    <row r="125" ht="15.75" customHeight="1">
      <c r="CQ125" s="159" t="n"/>
      <c r="DC125" s="160" t="n"/>
    </row>
    <row r="126" ht="15.75" customHeight="1">
      <c r="CQ126" s="159" t="n"/>
      <c r="DC126" s="160" t="n"/>
    </row>
    <row r="127" ht="15.75" customHeight="1">
      <c r="CQ127" s="159" t="n"/>
      <c r="DC127" s="160" t="n"/>
    </row>
    <row r="128" ht="15.75" customHeight="1">
      <c r="CQ128" s="159" t="n"/>
      <c r="DC128" s="160" t="n"/>
    </row>
    <row r="129" ht="15.75" customHeight="1">
      <c r="CQ129" s="159" t="n"/>
      <c r="DC129" s="160" t="n"/>
    </row>
    <row r="130" ht="15.75" customHeight="1">
      <c r="CQ130" s="159" t="n"/>
      <c r="DC130" s="160" t="n"/>
    </row>
    <row r="131" ht="15.75" customHeight="1">
      <c r="CQ131" s="159" t="n"/>
      <c r="DC131" s="160" t="n"/>
    </row>
    <row r="132" ht="15.75" customHeight="1">
      <c r="CQ132" s="159" t="n"/>
      <c r="DC132" s="160" t="n"/>
    </row>
    <row r="133" ht="15.75" customHeight="1">
      <c r="CQ133" s="159" t="n"/>
      <c r="DC133" s="160" t="n"/>
    </row>
    <row r="134" ht="15.75" customHeight="1">
      <c r="CQ134" s="159" t="n"/>
      <c r="DC134" s="160" t="n"/>
    </row>
    <row r="135" ht="15.75" customHeight="1">
      <c r="CQ135" s="159" t="n"/>
      <c r="DC135" s="160" t="n"/>
    </row>
    <row r="136" ht="15.75" customHeight="1">
      <c r="CQ136" s="159" t="n"/>
      <c r="DC136" s="160" t="n"/>
    </row>
    <row r="137" ht="15.75" customHeight="1">
      <c r="CQ137" s="159" t="n"/>
      <c r="DC137" s="160" t="n"/>
    </row>
    <row r="138" ht="15.75" customHeight="1">
      <c r="CQ138" s="159" t="n"/>
      <c r="DC138" s="160" t="n"/>
    </row>
    <row r="139" ht="15.75" customHeight="1">
      <c r="CQ139" s="159" t="n"/>
      <c r="DC139" s="160" t="n"/>
    </row>
    <row r="140" ht="15.75" customHeight="1">
      <c r="CQ140" s="159" t="n"/>
      <c r="DC140" s="160" t="n"/>
    </row>
    <row r="141" ht="15.75" customHeight="1">
      <c r="CQ141" s="159" t="n"/>
      <c r="DC141" s="160" t="n"/>
    </row>
    <row r="142" ht="15.75" customHeight="1">
      <c r="CQ142" s="159" t="n"/>
      <c r="DC142" s="160" t="n"/>
    </row>
    <row r="143" ht="15.75" customHeight="1">
      <c r="CQ143" s="159" t="n"/>
      <c r="DC143" s="160" t="n"/>
    </row>
    <row r="144" ht="15.75" customHeight="1">
      <c r="CQ144" s="159" t="n"/>
      <c r="DC144" s="160" t="n"/>
    </row>
    <row r="145" ht="15.75" customHeight="1">
      <c r="CQ145" s="159" t="n"/>
      <c r="DC145" s="160" t="n"/>
    </row>
    <row r="146" ht="15.75" customHeight="1">
      <c r="CQ146" s="159" t="n"/>
      <c r="DC146" s="160" t="n"/>
    </row>
    <row r="147" ht="15.75" customHeight="1">
      <c r="CQ147" s="159" t="n"/>
      <c r="DC147" s="160" t="n"/>
    </row>
    <row r="148" ht="15.75" customHeight="1">
      <c r="CQ148" s="159" t="n"/>
      <c r="DC148" s="160" t="n"/>
    </row>
    <row r="149" ht="15.75" customHeight="1">
      <c r="CQ149" s="159" t="n"/>
      <c r="DC149" s="160" t="n"/>
    </row>
    <row r="150" ht="15.75" customHeight="1">
      <c r="CQ150" s="159" t="n"/>
      <c r="DC150" s="160" t="n"/>
    </row>
    <row r="151" ht="15.75" customHeight="1">
      <c r="CQ151" s="159" t="n"/>
      <c r="DC151" s="160" t="n"/>
    </row>
    <row r="152" ht="15.75" customHeight="1">
      <c r="CQ152" s="159" t="n"/>
      <c r="DC152" s="160" t="n"/>
    </row>
    <row r="153" ht="15.75" customHeight="1">
      <c r="CQ153" s="159" t="n"/>
      <c r="DC153" s="160" t="n"/>
    </row>
    <row r="154" ht="15.75" customHeight="1">
      <c r="CQ154" s="159" t="n"/>
      <c r="DC154" s="160" t="n"/>
    </row>
    <row r="155" ht="15.75" customHeight="1">
      <c r="CQ155" s="159" t="n"/>
      <c r="DC155" s="160" t="n"/>
    </row>
    <row r="156" ht="15.75" customHeight="1">
      <c r="CQ156" s="159" t="n"/>
      <c r="DC156" s="160" t="n"/>
    </row>
    <row r="157" ht="15.75" customHeight="1">
      <c r="CQ157" s="159" t="n"/>
      <c r="DC157" s="160" t="n"/>
    </row>
    <row r="158" ht="15.75" customHeight="1">
      <c r="CQ158" s="159" t="n"/>
      <c r="DC158" s="160" t="n"/>
    </row>
    <row r="159" ht="15.75" customHeight="1">
      <c r="CQ159" s="159" t="n"/>
      <c r="DC159" s="160" t="n"/>
    </row>
    <row r="160" ht="15.75" customHeight="1">
      <c r="CQ160" s="159" t="n"/>
      <c r="DC160" s="160" t="n"/>
    </row>
    <row r="161" ht="15.75" customHeight="1">
      <c r="CQ161" s="159" t="n"/>
      <c r="DC161" s="160" t="n"/>
    </row>
    <row r="162" ht="15.75" customHeight="1">
      <c r="CQ162" s="159" t="n"/>
      <c r="DC162" s="160" t="n"/>
    </row>
    <row r="163" ht="15.75" customHeight="1">
      <c r="CQ163" s="159" t="n"/>
      <c r="DC163" s="160" t="n"/>
    </row>
    <row r="164" ht="15.75" customHeight="1">
      <c r="CQ164" s="159" t="n"/>
      <c r="DC164" s="160" t="n"/>
    </row>
    <row r="165" ht="15.75" customHeight="1">
      <c r="CQ165" s="159" t="n"/>
      <c r="DC165" s="160" t="n"/>
    </row>
    <row r="166" ht="15.75" customHeight="1">
      <c r="CQ166" s="159" t="n"/>
      <c r="DC166" s="160" t="n"/>
    </row>
    <row r="167" ht="15.75" customHeight="1">
      <c r="CQ167" s="159" t="n"/>
      <c r="DC167" s="160" t="n"/>
    </row>
    <row r="168" ht="15.75" customHeight="1">
      <c r="CQ168" s="159" t="n"/>
      <c r="DC168" s="160" t="n"/>
    </row>
    <row r="169" ht="15.75" customHeight="1">
      <c r="CQ169" s="159" t="n"/>
      <c r="DC169" s="160" t="n"/>
    </row>
    <row r="170" ht="15.75" customHeight="1">
      <c r="CQ170" s="159" t="n"/>
      <c r="DC170" s="160" t="n"/>
    </row>
    <row r="171" ht="15.75" customHeight="1">
      <c r="CQ171" s="159" t="n"/>
      <c r="DC171" s="160" t="n"/>
    </row>
    <row r="172" ht="15.75" customHeight="1">
      <c r="CQ172" s="159" t="n"/>
      <c r="DC172" s="160" t="n"/>
    </row>
    <row r="173" ht="15.75" customHeight="1">
      <c r="CQ173" s="159" t="n"/>
      <c r="DC173" s="160" t="n"/>
    </row>
    <row r="174" ht="15.75" customHeight="1">
      <c r="CQ174" s="159" t="n"/>
      <c r="DC174" s="160" t="n"/>
    </row>
    <row r="175" ht="15.75" customHeight="1">
      <c r="CQ175" s="159" t="n"/>
      <c r="DC175" s="160" t="n"/>
    </row>
    <row r="176" ht="15.75" customHeight="1">
      <c r="CQ176" s="159" t="n"/>
      <c r="DC176" s="160" t="n"/>
    </row>
    <row r="177" ht="15.75" customHeight="1">
      <c r="CQ177" s="159" t="n"/>
      <c r="DC177" s="160" t="n"/>
    </row>
    <row r="178" ht="15.75" customHeight="1">
      <c r="CQ178" s="159" t="n"/>
      <c r="DC178" s="160" t="n"/>
    </row>
    <row r="179" ht="15.75" customHeight="1">
      <c r="CQ179" s="159" t="n"/>
      <c r="DC179" s="160" t="n"/>
    </row>
    <row r="180" ht="15.75" customHeight="1">
      <c r="CQ180" s="159" t="n"/>
      <c r="DC180" s="160" t="n"/>
    </row>
    <row r="181" ht="15.75" customHeight="1">
      <c r="CQ181" s="159" t="n"/>
      <c r="DC181" s="160" t="n"/>
    </row>
    <row r="182" ht="15.75" customHeight="1">
      <c r="CQ182" s="159" t="n"/>
      <c r="DC182" s="160" t="n"/>
    </row>
    <row r="183" ht="15.75" customHeight="1">
      <c r="CQ183" s="159" t="n"/>
      <c r="DC183" s="160" t="n"/>
    </row>
    <row r="184" ht="15.75" customHeight="1">
      <c r="CQ184" s="159" t="n"/>
      <c r="DC184" s="160" t="n"/>
    </row>
    <row r="185" ht="15.75" customHeight="1">
      <c r="CQ185" s="159" t="n"/>
      <c r="DC185" s="160" t="n"/>
    </row>
    <row r="186" ht="15.75" customHeight="1">
      <c r="CQ186" s="159" t="n"/>
      <c r="DC186" s="160" t="n"/>
    </row>
    <row r="187" ht="15.75" customHeight="1">
      <c r="CQ187" s="159" t="n"/>
      <c r="DC187" s="160" t="n"/>
    </row>
    <row r="188" ht="15.75" customHeight="1">
      <c r="CQ188" s="159" t="n"/>
      <c r="DC188" s="160" t="n"/>
    </row>
    <row r="189" ht="15.75" customHeight="1">
      <c r="CQ189" s="159" t="n"/>
      <c r="DC189" s="160" t="n"/>
    </row>
    <row r="190" ht="15.75" customHeight="1">
      <c r="CQ190" s="159" t="n"/>
      <c r="DC190" s="160" t="n"/>
    </row>
    <row r="191" ht="15.75" customHeight="1">
      <c r="CQ191" s="159" t="n"/>
      <c r="DC191" s="160" t="n"/>
    </row>
    <row r="192" ht="15.75" customHeight="1">
      <c r="CQ192" s="159" t="n"/>
      <c r="DC192" s="160" t="n"/>
    </row>
    <row r="193" ht="15.75" customHeight="1">
      <c r="CQ193" s="159" t="n"/>
      <c r="DC193" s="160" t="n"/>
    </row>
    <row r="194" ht="15.75" customHeight="1">
      <c r="CQ194" s="159" t="n"/>
      <c r="DC194" s="160" t="n"/>
    </row>
    <row r="195" ht="15.75" customHeight="1">
      <c r="CQ195" s="159" t="n"/>
      <c r="DC195" s="160" t="n"/>
    </row>
    <row r="196" ht="15.75" customHeight="1">
      <c r="CQ196" s="159" t="n"/>
      <c r="DC196" s="160" t="n"/>
    </row>
    <row r="197" ht="15.75" customHeight="1">
      <c r="CQ197" s="159" t="n"/>
      <c r="DC197" s="160" t="n"/>
    </row>
    <row r="198" ht="15.75" customHeight="1">
      <c r="CQ198" s="159" t="n"/>
      <c r="DC198" s="160" t="n"/>
    </row>
    <row r="199" ht="15.75" customHeight="1">
      <c r="CQ199" s="159" t="n"/>
      <c r="DC199" s="160" t="n"/>
    </row>
    <row r="200" ht="15.75" customHeight="1">
      <c r="CQ200" s="159" t="n"/>
      <c r="DC200" s="160" t="n"/>
    </row>
    <row r="201" ht="15.75" customHeight="1">
      <c r="CQ201" s="159" t="n"/>
      <c r="DC201" s="160" t="n"/>
    </row>
    <row r="202" ht="15.75" customHeight="1">
      <c r="CQ202" s="159" t="n"/>
      <c r="DC202" s="160" t="n"/>
    </row>
    <row r="203" ht="15.75" customHeight="1">
      <c r="CQ203" s="159" t="n"/>
      <c r="DC203" s="160" t="n"/>
    </row>
    <row r="204" ht="15.75" customHeight="1">
      <c r="CQ204" s="159" t="n"/>
      <c r="DC204" s="160" t="n"/>
    </row>
    <row r="205" ht="15.75" customHeight="1">
      <c r="CQ205" s="159" t="n"/>
      <c r="DC205" s="160" t="n"/>
    </row>
    <row r="206" ht="15.75" customHeight="1">
      <c r="CQ206" s="159" t="n"/>
      <c r="DC206" s="160" t="n"/>
    </row>
    <row r="207" ht="15.75" customHeight="1">
      <c r="CQ207" s="159" t="n"/>
      <c r="DC207" s="160" t="n"/>
    </row>
    <row r="208" ht="15.75" customHeight="1">
      <c r="CQ208" s="159" t="n"/>
      <c r="DC208" s="160" t="n"/>
    </row>
    <row r="209" ht="15.75" customHeight="1">
      <c r="CQ209" s="159" t="n"/>
      <c r="DC209" s="160" t="n"/>
    </row>
    <row r="210" ht="15.75" customHeight="1">
      <c r="CQ210" s="159" t="n"/>
      <c r="DC210" s="160" t="n"/>
    </row>
    <row r="211" ht="15.75" customHeight="1">
      <c r="CQ211" s="159" t="n"/>
      <c r="DC211" s="160" t="n"/>
    </row>
    <row r="212" ht="15.75" customHeight="1">
      <c r="CQ212" s="159" t="n"/>
      <c r="DC212" s="160" t="n"/>
    </row>
    <row r="213" ht="15.75" customHeight="1">
      <c r="CQ213" s="159" t="n"/>
      <c r="DC213" s="160" t="n"/>
    </row>
    <row r="214" ht="15.75" customHeight="1">
      <c r="CQ214" s="159" t="n"/>
      <c r="DC214" s="160" t="n"/>
    </row>
    <row r="215" ht="15.75" customHeight="1">
      <c r="CQ215" s="159" t="n"/>
      <c r="DC215" s="160" t="n"/>
    </row>
    <row r="216" ht="15.75" customHeight="1">
      <c r="CQ216" s="159" t="n"/>
      <c r="DC216" s="160" t="n"/>
    </row>
    <row r="217" ht="15.75" customHeight="1">
      <c r="CQ217" s="159" t="n"/>
      <c r="DC217" s="160" t="n"/>
    </row>
    <row r="218" ht="15.75" customHeight="1">
      <c r="CQ218" s="159" t="n"/>
      <c r="DC218" s="160" t="n"/>
    </row>
    <row r="219" ht="15.75" customHeight="1">
      <c r="CQ219" s="159" t="n"/>
      <c r="DC219" s="160" t="n"/>
    </row>
    <row r="220" ht="15.75" customHeight="1">
      <c r="CQ220" s="159" t="n"/>
      <c r="DC220" s="160" t="n"/>
    </row>
    <row r="221" ht="15.75" customHeight="1">
      <c r="CQ221" s="159" t="n"/>
      <c r="DC221" s="160" t="n"/>
    </row>
    <row r="222" ht="15.75" customHeight="1">
      <c r="CQ222" s="159" t="n"/>
      <c r="DC222" s="160" t="n"/>
    </row>
    <row r="223" ht="15.75" customHeight="1">
      <c r="CQ223" s="159" t="n"/>
      <c r="DC223" s="160" t="n"/>
    </row>
    <row r="224" ht="15.75" customHeight="1">
      <c r="CQ224" s="159" t="n"/>
      <c r="DC224" s="160" t="n"/>
    </row>
    <row r="225" ht="15.75" customHeight="1">
      <c r="CQ225" s="159" t="n"/>
      <c r="DC225" s="160" t="n"/>
    </row>
    <row r="226" ht="15.75" customHeight="1">
      <c r="CQ226" s="159" t="n"/>
      <c r="DC226" s="160" t="n"/>
    </row>
    <row r="227" ht="15.75" customHeight="1">
      <c r="CQ227" s="159" t="n"/>
      <c r="DC227" s="160" t="n"/>
    </row>
    <row r="228" ht="15.75" customHeight="1">
      <c r="CQ228" s="159" t="n"/>
      <c r="DC228" s="160" t="n"/>
    </row>
    <row r="229" ht="15.75" customHeight="1">
      <c r="CQ229" s="159" t="n"/>
      <c r="DC229" s="160" t="n"/>
    </row>
    <row r="230" ht="15.75" customHeight="1">
      <c r="CQ230" s="159" t="n"/>
      <c r="DC230" s="160" t="n"/>
    </row>
    <row r="231" ht="15.75" customHeight="1">
      <c r="CQ231" s="159" t="n"/>
      <c r="DC231" s="160" t="n"/>
    </row>
    <row r="232" ht="15.75" customHeight="1">
      <c r="CQ232" s="159" t="n"/>
      <c r="DC232" s="160" t="n"/>
    </row>
    <row r="233" ht="15.75" customHeight="1">
      <c r="CQ233" s="159" t="n"/>
      <c r="DC233" s="160" t="n"/>
    </row>
    <row r="234" ht="15.75" customHeight="1">
      <c r="CQ234" s="159" t="n"/>
      <c r="DC234" s="160" t="n"/>
    </row>
    <row r="235" ht="15.75" customHeight="1">
      <c r="CQ235" s="159" t="n"/>
      <c r="DC235" s="160" t="n"/>
    </row>
    <row r="236" ht="15.75" customHeight="1">
      <c r="CQ236" s="159" t="n"/>
      <c r="DC236" s="160" t="n"/>
    </row>
    <row r="237" ht="15.75" customHeight="1">
      <c r="CQ237" s="159" t="n"/>
      <c r="DC237" s="160" t="n"/>
    </row>
    <row r="238" ht="15.75" customHeight="1">
      <c r="CQ238" s="159" t="n"/>
      <c r="DC238" s="160" t="n"/>
    </row>
    <row r="239" ht="15.75" customHeight="1">
      <c r="CQ239" s="159" t="n"/>
      <c r="DC239" s="160" t="n"/>
    </row>
    <row r="240" ht="15.75" customHeight="1">
      <c r="CQ240" s="159" t="n"/>
      <c r="DC240" s="160" t="n"/>
    </row>
    <row r="241" ht="15.75" customHeight="1">
      <c r="CQ241" s="159" t="n"/>
      <c r="DC241" s="160" t="n"/>
    </row>
    <row r="242" ht="15.75" customHeight="1">
      <c r="CQ242" s="159" t="n"/>
      <c r="DC242" s="160" t="n"/>
    </row>
    <row r="243" ht="15.75" customHeight="1">
      <c r="CQ243" s="159" t="n"/>
      <c r="DC243" s="160" t="n"/>
    </row>
    <row r="244" ht="15.75" customHeight="1">
      <c r="CQ244" s="159" t="n"/>
      <c r="DC244" s="160" t="n"/>
    </row>
    <row r="245" ht="15.75" customHeight="1">
      <c r="CQ245" s="159" t="n"/>
      <c r="DC245" s="160" t="n"/>
    </row>
    <row r="246" ht="15.75" customHeight="1">
      <c r="CQ246" s="159" t="n"/>
      <c r="DC246" s="160" t="n"/>
    </row>
    <row r="247" ht="15.75" customHeight="1">
      <c r="CQ247" s="159" t="n"/>
      <c r="DC247" s="160" t="n"/>
    </row>
    <row r="248" ht="15.75" customHeight="1">
      <c r="CQ248" s="159" t="n"/>
      <c r="DC248" s="160" t="n"/>
    </row>
    <row r="249" ht="15.75" customHeight="1">
      <c r="CQ249" s="159" t="n"/>
      <c r="DC249" s="160" t="n"/>
    </row>
    <row r="250" ht="15.75" customHeight="1">
      <c r="CQ250" s="159" t="n"/>
      <c r="DC250" s="160" t="n"/>
    </row>
    <row r="251" ht="15.75" customHeight="1">
      <c r="CQ251" s="159" t="n"/>
      <c r="DC251" s="160" t="n"/>
    </row>
    <row r="252" ht="15.75" customHeight="1">
      <c r="CQ252" s="159" t="n"/>
      <c r="DC252" s="160" t="n"/>
    </row>
    <row r="253" ht="15.75" customHeight="1">
      <c r="CQ253" s="159" t="n"/>
      <c r="DC253" s="160" t="n"/>
    </row>
    <row r="254" ht="15.75" customHeight="1">
      <c r="CQ254" s="159" t="n"/>
      <c r="DC254" s="160" t="n"/>
    </row>
    <row r="255" ht="15.75" customHeight="1">
      <c r="CQ255" s="159" t="n"/>
      <c r="DC255" s="160" t="n"/>
    </row>
    <row r="256" ht="15.75" customHeight="1">
      <c r="CQ256" s="159" t="n"/>
      <c r="DC256" s="160" t="n"/>
    </row>
    <row r="257" ht="15.75" customHeight="1">
      <c r="CQ257" s="159" t="n"/>
      <c r="DC257" s="160" t="n"/>
    </row>
    <row r="258" ht="15.75" customHeight="1">
      <c r="CQ258" s="159" t="n"/>
      <c r="DC258" s="160" t="n"/>
    </row>
    <row r="259" ht="15.75" customHeight="1">
      <c r="CQ259" s="159" t="n"/>
      <c r="DC259" s="160" t="n"/>
    </row>
    <row r="260" ht="15.75" customHeight="1">
      <c r="CQ260" s="159" t="n"/>
      <c r="DC260" s="160" t="n"/>
    </row>
    <row r="261" ht="15.75" customHeight="1">
      <c r="CQ261" s="159" t="n"/>
      <c r="DC261" s="160" t="n"/>
    </row>
    <row r="262" ht="15.75" customHeight="1">
      <c r="CQ262" s="159" t="n"/>
      <c r="DC262" s="160" t="n"/>
    </row>
    <row r="263" ht="15.75" customHeight="1">
      <c r="CQ263" s="159" t="n"/>
      <c r="DC263" s="160" t="n"/>
    </row>
    <row r="264" ht="15.75" customHeight="1">
      <c r="CQ264" s="159" t="n"/>
      <c r="DC264" s="160" t="n"/>
    </row>
    <row r="265" ht="15.75" customHeight="1">
      <c r="CQ265" s="159" t="n"/>
      <c r="DC265" s="160" t="n"/>
    </row>
    <row r="266" ht="15.75" customHeight="1">
      <c r="CQ266" s="159" t="n"/>
      <c r="DC266" s="160" t="n"/>
    </row>
    <row r="267" ht="15.75" customHeight="1">
      <c r="CQ267" s="159" t="n"/>
      <c r="DC267" s="160" t="n"/>
    </row>
    <row r="268" ht="15.75" customHeight="1">
      <c r="CQ268" s="159" t="n"/>
      <c r="DC268" s="160" t="n"/>
    </row>
    <row r="269" ht="15.75" customHeight="1">
      <c r="CQ269" s="159" t="n"/>
      <c r="DC269" s="160" t="n"/>
    </row>
    <row r="270" ht="15.75" customHeight="1">
      <c r="CQ270" s="159" t="n"/>
      <c r="DC270" s="160" t="n"/>
    </row>
    <row r="271" ht="15.75" customHeight="1">
      <c r="CQ271" s="159" t="n"/>
      <c r="DC271" s="160" t="n"/>
    </row>
    <row r="272" ht="15.75" customHeight="1">
      <c r="CQ272" s="159" t="n"/>
      <c r="DC272" s="160" t="n"/>
    </row>
    <row r="273" ht="15.75" customHeight="1">
      <c r="CQ273" s="159" t="n"/>
      <c r="DC273" s="160" t="n"/>
    </row>
    <row r="274" ht="15.75" customHeight="1">
      <c r="CQ274" s="159" t="n"/>
      <c r="DC274" s="160" t="n"/>
    </row>
    <row r="275" ht="15.75" customHeight="1">
      <c r="CQ275" s="159" t="n"/>
      <c r="DC275" s="160" t="n"/>
    </row>
    <row r="276" ht="15.75" customHeight="1">
      <c r="CQ276" s="159" t="n"/>
      <c r="DC276" s="160" t="n"/>
    </row>
    <row r="277" ht="15.75" customHeight="1">
      <c r="CQ277" s="159" t="n"/>
      <c r="DC277" s="160" t="n"/>
    </row>
    <row r="278" ht="15.75" customHeight="1">
      <c r="CQ278" s="159" t="n"/>
      <c r="DC278" s="160" t="n"/>
    </row>
    <row r="279" ht="15.75" customHeight="1">
      <c r="CQ279" s="159" t="n"/>
      <c r="DC279" s="160" t="n"/>
    </row>
    <row r="280" ht="15.75" customHeight="1">
      <c r="CQ280" s="159" t="n"/>
      <c r="DC280" s="160" t="n"/>
    </row>
    <row r="281" ht="15.75" customHeight="1">
      <c r="CQ281" s="159" t="n"/>
      <c r="DC281" s="160" t="n"/>
    </row>
    <row r="282" ht="15.75" customHeight="1">
      <c r="CQ282" s="159" t="n"/>
      <c r="DC282" s="160" t="n"/>
    </row>
    <row r="283" ht="15.75" customHeight="1">
      <c r="CQ283" s="159" t="n"/>
      <c r="DC283" s="160" t="n"/>
    </row>
    <row r="284" ht="15.75" customHeight="1">
      <c r="CQ284" s="159" t="n"/>
      <c r="DC284" s="160" t="n"/>
    </row>
    <row r="285" ht="15.75" customHeight="1">
      <c r="CQ285" s="159" t="n"/>
      <c r="DC285" s="160" t="n"/>
    </row>
    <row r="286" ht="15.75" customHeight="1">
      <c r="CQ286" s="159" t="n"/>
      <c r="DC286" s="160" t="n"/>
    </row>
    <row r="287" ht="15.75" customHeight="1">
      <c r="CQ287" s="159" t="n"/>
      <c r="DC287" s="160" t="n"/>
    </row>
    <row r="288" ht="15.75" customHeight="1">
      <c r="CQ288" s="159" t="n"/>
      <c r="DC288" s="160" t="n"/>
    </row>
    <row r="289" ht="15.75" customHeight="1">
      <c r="CQ289" s="159" t="n"/>
      <c r="DC289" s="160" t="n"/>
    </row>
    <row r="290" ht="15.75" customHeight="1">
      <c r="CQ290" s="159" t="n"/>
      <c r="DC290" s="160" t="n"/>
    </row>
    <row r="291" ht="15.75" customHeight="1">
      <c r="CQ291" s="159" t="n"/>
      <c r="DC291" s="160" t="n"/>
    </row>
    <row r="292" ht="15.75" customHeight="1">
      <c r="CQ292" s="159" t="n"/>
      <c r="DC292" s="160" t="n"/>
    </row>
    <row r="293" ht="15.75" customHeight="1">
      <c r="CQ293" s="159" t="n"/>
      <c r="DC293" s="160" t="n"/>
    </row>
    <row r="294" ht="15.75" customHeight="1">
      <c r="CQ294" s="159" t="n"/>
      <c r="DC294" s="160" t="n"/>
    </row>
    <row r="295" ht="15.75" customHeight="1">
      <c r="CQ295" s="159" t="n"/>
      <c r="DC295" s="160" t="n"/>
    </row>
    <row r="296" ht="15.75" customHeight="1">
      <c r="CQ296" s="159" t="n"/>
      <c r="DC296" s="160" t="n"/>
    </row>
    <row r="297" ht="15.75" customHeight="1">
      <c r="CQ297" s="159" t="n"/>
      <c r="DC297" s="160" t="n"/>
    </row>
    <row r="298" ht="15.75" customHeight="1">
      <c r="CQ298" s="159" t="n"/>
      <c r="DC298" s="160" t="n"/>
    </row>
    <row r="299" ht="15.75" customHeight="1">
      <c r="CQ299" s="159" t="n"/>
      <c r="DC299" s="160" t="n"/>
    </row>
    <row r="300" ht="15.75" customHeight="1">
      <c r="CQ300" s="159" t="n"/>
      <c r="DC300" s="160" t="n"/>
    </row>
    <row r="301" ht="15.75" customHeight="1">
      <c r="CQ301" s="159" t="n"/>
      <c r="DC301" s="160" t="n"/>
    </row>
    <row r="302" ht="15.75" customHeight="1">
      <c r="CQ302" s="159" t="n"/>
      <c r="DC302" s="160" t="n"/>
    </row>
    <row r="303" ht="15.75" customHeight="1">
      <c r="CQ303" s="159" t="n"/>
      <c r="DC303" s="160" t="n"/>
    </row>
    <row r="304" ht="15.75" customHeight="1">
      <c r="CQ304" s="159" t="n"/>
      <c r="DC304" s="160" t="n"/>
    </row>
    <row r="305" ht="15.75" customHeight="1">
      <c r="CQ305" s="159" t="n"/>
      <c r="DC305" s="160" t="n"/>
    </row>
    <row r="306" ht="15.75" customHeight="1">
      <c r="CQ306" s="159" t="n"/>
      <c r="DC306" s="160" t="n"/>
    </row>
    <row r="307" ht="15.75" customHeight="1">
      <c r="CQ307" s="159" t="n"/>
      <c r="DC307" s="160" t="n"/>
    </row>
    <row r="308" ht="15.75" customHeight="1">
      <c r="CQ308" s="159" t="n"/>
      <c r="DC308" s="160" t="n"/>
    </row>
    <row r="309" ht="15.75" customHeight="1">
      <c r="CQ309" s="159" t="n"/>
      <c r="DC309" s="160" t="n"/>
    </row>
    <row r="310" ht="15.75" customHeight="1">
      <c r="CQ310" s="159" t="n"/>
      <c r="DC310" s="160" t="n"/>
    </row>
    <row r="311" ht="15.75" customHeight="1">
      <c r="CQ311" s="159" t="n"/>
      <c r="DC311" s="160" t="n"/>
    </row>
    <row r="312" ht="15.75" customHeight="1">
      <c r="CQ312" s="159" t="n"/>
      <c r="DC312" s="160" t="n"/>
    </row>
    <row r="313" ht="15.75" customHeight="1">
      <c r="CQ313" s="159" t="n"/>
      <c r="DC313" s="160" t="n"/>
    </row>
    <row r="314" ht="15.75" customHeight="1">
      <c r="CQ314" s="159" t="n"/>
      <c r="DC314" s="160" t="n"/>
    </row>
    <row r="315" ht="15.75" customHeight="1">
      <c r="CQ315" s="159" t="n"/>
      <c r="DC315" s="160" t="n"/>
    </row>
    <row r="316" ht="15.75" customHeight="1">
      <c r="CQ316" s="159" t="n"/>
      <c r="DC316" s="160" t="n"/>
    </row>
    <row r="317" ht="15.75" customHeight="1">
      <c r="CQ317" s="159" t="n"/>
      <c r="DC317" s="160" t="n"/>
    </row>
    <row r="318" ht="15.75" customHeight="1">
      <c r="CQ318" s="159" t="n"/>
      <c r="DC318" s="160" t="n"/>
    </row>
    <row r="319" ht="15.75" customHeight="1">
      <c r="CQ319" s="159" t="n"/>
      <c r="DC319" s="160" t="n"/>
    </row>
    <row r="320" ht="15.75" customHeight="1">
      <c r="CQ320" s="159" t="n"/>
      <c r="DC320" s="160" t="n"/>
    </row>
    <row r="321" ht="15.75" customHeight="1">
      <c r="CQ321" s="159" t="n"/>
      <c r="DC321" s="160" t="n"/>
    </row>
    <row r="322" ht="15.75" customHeight="1">
      <c r="CQ322" s="159" t="n"/>
      <c r="DC322" s="160" t="n"/>
    </row>
    <row r="323" ht="15.75" customHeight="1">
      <c r="CQ323" s="159" t="n"/>
      <c r="DC323" s="160" t="n"/>
    </row>
    <row r="324" ht="15.75" customHeight="1">
      <c r="CQ324" s="159" t="n"/>
      <c r="DC324" s="160" t="n"/>
    </row>
    <row r="325" ht="15.75" customHeight="1">
      <c r="CQ325" s="159" t="n"/>
      <c r="DC325" s="160" t="n"/>
    </row>
    <row r="326" ht="15.75" customHeight="1">
      <c r="CQ326" s="159" t="n"/>
      <c r="DC326" s="160" t="n"/>
    </row>
    <row r="327" ht="15.75" customHeight="1">
      <c r="CQ327" s="159" t="n"/>
      <c r="DC327" s="160" t="n"/>
    </row>
    <row r="328" ht="15.75" customHeight="1">
      <c r="CQ328" s="159" t="n"/>
      <c r="DC328" s="160" t="n"/>
    </row>
    <row r="329" ht="15.75" customHeight="1">
      <c r="CQ329" s="159" t="n"/>
      <c r="DC329" s="160" t="n"/>
    </row>
    <row r="330" ht="15.75" customHeight="1">
      <c r="CQ330" s="159" t="n"/>
      <c r="DC330" s="160" t="n"/>
    </row>
    <row r="331" ht="15.75" customHeight="1">
      <c r="CQ331" s="159" t="n"/>
      <c r="DC331" s="160" t="n"/>
    </row>
    <row r="332" ht="15.75" customHeight="1">
      <c r="CQ332" s="159" t="n"/>
      <c r="DC332" s="160" t="n"/>
    </row>
    <row r="333" ht="15.75" customHeight="1">
      <c r="CQ333" s="159" t="n"/>
      <c r="DC333" s="160" t="n"/>
    </row>
    <row r="334" ht="15.75" customHeight="1">
      <c r="CQ334" s="159" t="n"/>
      <c r="DC334" s="160" t="n"/>
    </row>
    <row r="335" ht="15.75" customHeight="1">
      <c r="CQ335" s="159" t="n"/>
      <c r="DC335" s="160" t="n"/>
    </row>
    <row r="336" ht="15.75" customHeight="1">
      <c r="CQ336" s="159" t="n"/>
      <c r="DC336" s="160" t="n"/>
    </row>
    <row r="337" ht="15.75" customHeight="1">
      <c r="CQ337" s="159" t="n"/>
      <c r="DC337" s="160" t="n"/>
    </row>
    <row r="338" ht="15.75" customHeight="1">
      <c r="CQ338" s="159" t="n"/>
      <c r="DC338" s="160" t="n"/>
    </row>
    <row r="339" ht="15.75" customHeight="1">
      <c r="CQ339" s="159" t="n"/>
      <c r="DC339" s="160" t="n"/>
    </row>
    <row r="340" ht="15.75" customHeight="1">
      <c r="CQ340" s="159" t="n"/>
      <c r="DC340" s="160" t="n"/>
    </row>
    <row r="341" ht="15.75" customHeight="1">
      <c r="CQ341" s="159" t="n"/>
      <c r="DC341" s="160" t="n"/>
    </row>
    <row r="342" ht="15.75" customHeight="1">
      <c r="CQ342" s="159" t="n"/>
      <c r="DC342" s="160" t="n"/>
    </row>
    <row r="343" ht="15.75" customHeight="1">
      <c r="CQ343" s="159" t="n"/>
      <c r="DC343" s="160" t="n"/>
    </row>
    <row r="344" ht="15.75" customHeight="1">
      <c r="CQ344" s="159" t="n"/>
      <c r="DC344" s="160" t="n"/>
    </row>
    <row r="345" ht="15.75" customHeight="1">
      <c r="CQ345" s="159" t="n"/>
      <c r="DC345" s="160" t="n"/>
    </row>
    <row r="346" ht="15.75" customHeight="1">
      <c r="CQ346" s="159" t="n"/>
      <c r="DC346" s="160" t="n"/>
    </row>
    <row r="347" ht="15.75" customHeight="1">
      <c r="CQ347" s="159" t="n"/>
      <c r="DC347" s="160" t="n"/>
    </row>
    <row r="348" ht="15.75" customHeight="1">
      <c r="CQ348" s="159" t="n"/>
      <c r="DC348" s="160" t="n"/>
    </row>
    <row r="349" ht="15.75" customHeight="1">
      <c r="CQ349" s="159" t="n"/>
      <c r="DC349" s="160" t="n"/>
    </row>
    <row r="350" ht="15.75" customHeight="1">
      <c r="CQ350" s="159" t="n"/>
      <c r="DC350" s="160" t="n"/>
    </row>
    <row r="351" ht="15.75" customHeight="1">
      <c r="CQ351" s="159" t="n"/>
      <c r="DC351" s="160" t="n"/>
    </row>
    <row r="352" ht="15.75" customHeight="1">
      <c r="CQ352" s="159" t="n"/>
      <c r="DC352" s="160" t="n"/>
    </row>
    <row r="353" ht="15.75" customHeight="1">
      <c r="CQ353" s="159" t="n"/>
      <c r="DC353" s="160" t="n"/>
    </row>
    <row r="354" ht="15.75" customHeight="1">
      <c r="CQ354" s="159" t="n"/>
      <c r="DC354" s="160" t="n"/>
    </row>
    <row r="355" ht="15.75" customHeight="1">
      <c r="CQ355" s="159" t="n"/>
      <c r="DC355" s="160" t="n"/>
    </row>
    <row r="356" ht="15.75" customHeight="1">
      <c r="CQ356" s="159" t="n"/>
      <c r="DC356" s="160" t="n"/>
    </row>
    <row r="357" ht="15.75" customHeight="1">
      <c r="CQ357" s="159" t="n"/>
      <c r="DC357" s="160" t="n"/>
    </row>
    <row r="358" ht="15.75" customHeight="1">
      <c r="CQ358" s="159" t="n"/>
      <c r="DC358" s="160" t="n"/>
    </row>
    <row r="359" ht="15.75" customHeight="1">
      <c r="CQ359" s="159" t="n"/>
      <c r="DC359" s="160" t="n"/>
    </row>
    <row r="360" ht="15.75" customHeight="1">
      <c r="CQ360" s="159" t="n"/>
      <c r="DC360" s="160" t="n"/>
    </row>
    <row r="361" ht="15.75" customHeight="1">
      <c r="CQ361" s="159" t="n"/>
      <c r="DC361" s="160" t="n"/>
    </row>
    <row r="362" ht="15.75" customHeight="1">
      <c r="CQ362" s="159" t="n"/>
      <c r="DC362" s="160" t="n"/>
    </row>
    <row r="363" ht="15.75" customHeight="1">
      <c r="CQ363" s="159" t="n"/>
      <c r="DC363" s="160" t="n"/>
    </row>
    <row r="364" ht="15.75" customHeight="1">
      <c r="CQ364" s="159" t="n"/>
      <c r="DC364" s="160" t="n"/>
    </row>
    <row r="365" ht="15.75" customHeight="1">
      <c r="CQ365" s="159" t="n"/>
      <c r="DC365" s="160" t="n"/>
    </row>
    <row r="366" ht="15.75" customHeight="1">
      <c r="CQ366" s="159" t="n"/>
      <c r="DC366" s="160" t="n"/>
    </row>
    <row r="367" ht="15.75" customHeight="1">
      <c r="CQ367" s="159" t="n"/>
      <c r="DC367" s="160" t="n"/>
    </row>
    <row r="368" ht="15.75" customHeight="1">
      <c r="CQ368" s="159" t="n"/>
      <c r="DC368" s="160" t="n"/>
    </row>
    <row r="369" ht="15.75" customHeight="1">
      <c r="CQ369" s="159" t="n"/>
      <c r="DC369" s="160" t="n"/>
    </row>
    <row r="370" ht="15.75" customHeight="1">
      <c r="CQ370" s="159" t="n"/>
      <c r="DC370" s="160" t="n"/>
    </row>
    <row r="371" ht="15.75" customHeight="1">
      <c r="CQ371" s="159" t="n"/>
      <c r="DC371" s="160" t="n"/>
    </row>
    <row r="372" ht="15.75" customHeight="1">
      <c r="CQ372" s="159" t="n"/>
      <c r="DC372" s="160" t="n"/>
    </row>
    <row r="373" ht="15.75" customHeight="1">
      <c r="CQ373" s="159" t="n"/>
      <c r="DC373" s="160" t="n"/>
    </row>
    <row r="374" ht="15.75" customHeight="1">
      <c r="CQ374" s="159" t="n"/>
      <c r="DC374" s="160" t="n"/>
    </row>
    <row r="375" ht="15.75" customHeight="1">
      <c r="CQ375" s="159" t="n"/>
      <c r="DC375" s="160" t="n"/>
    </row>
    <row r="376" ht="15.75" customHeight="1">
      <c r="CQ376" s="159" t="n"/>
      <c r="DC376" s="160" t="n"/>
    </row>
    <row r="377" ht="15.75" customHeight="1">
      <c r="CQ377" s="159" t="n"/>
      <c r="DC377" s="160" t="n"/>
    </row>
    <row r="378" ht="15.75" customHeight="1">
      <c r="CQ378" s="159" t="n"/>
      <c r="DC378" s="160" t="n"/>
    </row>
    <row r="379" ht="15.75" customHeight="1">
      <c r="CQ379" s="159" t="n"/>
      <c r="DC379" s="160" t="n"/>
    </row>
    <row r="380" ht="15.75" customHeight="1">
      <c r="CQ380" s="159" t="n"/>
      <c r="DC380" s="160" t="n"/>
    </row>
    <row r="381" ht="15.75" customHeight="1">
      <c r="CQ381" s="159" t="n"/>
      <c r="DC381" s="160" t="n"/>
    </row>
    <row r="382" ht="15.75" customHeight="1">
      <c r="CQ382" s="159" t="n"/>
      <c r="DC382" s="160" t="n"/>
    </row>
    <row r="383" ht="15.75" customHeight="1">
      <c r="CQ383" s="159" t="n"/>
      <c r="DC383" s="160" t="n"/>
    </row>
    <row r="384" ht="15.75" customHeight="1">
      <c r="CQ384" s="159" t="n"/>
      <c r="DC384" s="160" t="n"/>
    </row>
    <row r="385" ht="15.75" customHeight="1">
      <c r="CQ385" s="159" t="n"/>
      <c r="DC385" s="160" t="n"/>
    </row>
    <row r="386" ht="15.75" customHeight="1">
      <c r="CQ386" s="159" t="n"/>
      <c r="DC386" s="160" t="n"/>
    </row>
    <row r="387" ht="15.75" customHeight="1">
      <c r="CQ387" s="159" t="n"/>
      <c r="DC387" s="160" t="n"/>
    </row>
    <row r="388" ht="15.75" customHeight="1">
      <c r="CQ388" s="159" t="n"/>
      <c r="DC388" s="160" t="n"/>
    </row>
    <row r="389" ht="15.75" customHeight="1">
      <c r="CQ389" s="159" t="n"/>
      <c r="DC389" s="160" t="n"/>
    </row>
    <row r="390" ht="15.75" customHeight="1">
      <c r="CQ390" s="159" t="n"/>
      <c r="DC390" s="160" t="n"/>
    </row>
    <row r="391" ht="15.75" customHeight="1">
      <c r="CQ391" s="159" t="n"/>
      <c r="DC391" s="160" t="n"/>
    </row>
    <row r="392" ht="15.75" customHeight="1">
      <c r="CQ392" s="159" t="n"/>
      <c r="DC392" s="160" t="n"/>
    </row>
    <row r="393" ht="15.75" customHeight="1">
      <c r="CQ393" s="159" t="n"/>
      <c r="DC393" s="160" t="n"/>
    </row>
    <row r="394" ht="15.75" customHeight="1">
      <c r="CQ394" s="159" t="n"/>
      <c r="DC394" s="160" t="n"/>
    </row>
    <row r="395" ht="15.75" customHeight="1">
      <c r="CQ395" s="159" t="n"/>
      <c r="DC395" s="160" t="n"/>
    </row>
    <row r="396" ht="15.75" customHeight="1">
      <c r="CQ396" s="159" t="n"/>
      <c r="DC396" s="160" t="n"/>
    </row>
    <row r="397" ht="15.75" customHeight="1">
      <c r="CQ397" s="159" t="n"/>
      <c r="DC397" s="160" t="n"/>
    </row>
    <row r="398" ht="15.75" customHeight="1">
      <c r="CQ398" s="159" t="n"/>
      <c r="DC398" s="160" t="n"/>
    </row>
    <row r="399" ht="15.75" customHeight="1">
      <c r="CQ399" s="159" t="n"/>
      <c r="DC399" s="160" t="n"/>
    </row>
    <row r="400" ht="15.75" customHeight="1">
      <c r="CQ400" s="159" t="n"/>
      <c r="DC400" s="160" t="n"/>
    </row>
    <row r="401" ht="15.75" customHeight="1">
      <c r="CQ401" s="159" t="n"/>
      <c r="DC401" s="160" t="n"/>
    </row>
    <row r="402" ht="15.75" customHeight="1">
      <c r="CQ402" s="159" t="n"/>
      <c r="DC402" s="160" t="n"/>
    </row>
    <row r="403" ht="15.75" customHeight="1">
      <c r="CQ403" s="159" t="n"/>
      <c r="DC403" s="160" t="n"/>
    </row>
    <row r="404" ht="15.75" customHeight="1">
      <c r="CQ404" s="159" t="n"/>
      <c r="DC404" s="160" t="n"/>
    </row>
    <row r="405" ht="15.75" customHeight="1">
      <c r="CQ405" s="159" t="n"/>
      <c r="DC405" s="160" t="n"/>
    </row>
    <row r="406" ht="15.75" customHeight="1">
      <c r="CQ406" s="159" t="n"/>
      <c r="DC406" s="160" t="n"/>
    </row>
    <row r="407" ht="15.75" customHeight="1">
      <c r="CQ407" s="159" t="n"/>
      <c r="DC407" s="160" t="n"/>
    </row>
    <row r="408" ht="15.75" customHeight="1">
      <c r="CQ408" s="159" t="n"/>
      <c r="DC408" s="160" t="n"/>
    </row>
    <row r="409" ht="15.75" customHeight="1">
      <c r="CQ409" s="159" t="n"/>
      <c r="DC409" s="160" t="n"/>
    </row>
    <row r="410" ht="15.75" customHeight="1">
      <c r="CQ410" s="159" t="n"/>
      <c r="DC410" s="160" t="n"/>
    </row>
    <row r="411" ht="15.75" customHeight="1">
      <c r="CQ411" s="159" t="n"/>
      <c r="DC411" s="160" t="n"/>
    </row>
    <row r="412" ht="15.75" customHeight="1">
      <c r="CQ412" s="159" t="n"/>
      <c r="DC412" s="160" t="n"/>
    </row>
    <row r="413" ht="15.75" customHeight="1">
      <c r="CQ413" s="159" t="n"/>
      <c r="DC413" s="160" t="n"/>
    </row>
    <row r="414" ht="15.75" customHeight="1">
      <c r="CQ414" s="159" t="n"/>
      <c r="DC414" s="160" t="n"/>
    </row>
    <row r="415" ht="15.75" customHeight="1">
      <c r="CQ415" s="159" t="n"/>
      <c r="DC415" s="160" t="n"/>
    </row>
    <row r="416" ht="15.75" customHeight="1">
      <c r="CQ416" s="159" t="n"/>
      <c r="DC416" s="160" t="n"/>
    </row>
    <row r="417" ht="15.75" customHeight="1">
      <c r="CQ417" s="159" t="n"/>
      <c r="DC417" s="160" t="n"/>
    </row>
    <row r="418" ht="15.75" customHeight="1">
      <c r="CQ418" s="159" t="n"/>
      <c r="DC418" s="160" t="n"/>
    </row>
    <row r="419" ht="15.75" customHeight="1">
      <c r="CQ419" s="159" t="n"/>
      <c r="DC419" s="160" t="n"/>
    </row>
    <row r="420" ht="15.75" customHeight="1">
      <c r="CQ420" s="159" t="n"/>
      <c r="DC420" s="160" t="n"/>
    </row>
    <row r="421" ht="15.75" customHeight="1">
      <c r="CQ421" s="159" t="n"/>
      <c r="DC421" s="160" t="n"/>
    </row>
    <row r="422" ht="15.75" customHeight="1">
      <c r="CQ422" s="159" t="n"/>
      <c r="DC422" s="160" t="n"/>
    </row>
    <row r="423" ht="15.75" customHeight="1">
      <c r="CQ423" s="159" t="n"/>
      <c r="DC423" s="160" t="n"/>
    </row>
    <row r="424" ht="15.75" customHeight="1">
      <c r="CQ424" s="159" t="n"/>
      <c r="DC424" s="160" t="n"/>
    </row>
    <row r="425" ht="15.75" customHeight="1">
      <c r="CQ425" s="159" t="n"/>
      <c r="DC425" s="160" t="n"/>
    </row>
    <row r="426" ht="15.75" customHeight="1">
      <c r="CQ426" s="159" t="n"/>
      <c r="DC426" s="160" t="n"/>
    </row>
    <row r="427" ht="15.75" customHeight="1">
      <c r="CQ427" s="159" t="n"/>
      <c r="DC427" s="160" t="n"/>
    </row>
    <row r="428" ht="15.75" customHeight="1">
      <c r="CQ428" s="159" t="n"/>
      <c r="DC428" s="160" t="n"/>
    </row>
    <row r="429" ht="15.75" customHeight="1">
      <c r="CQ429" s="159" t="n"/>
      <c r="DC429" s="160" t="n"/>
    </row>
    <row r="430" ht="15.75" customHeight="1">
      <c r="CQ430" s="159" t="n"/>
      <c r="DC430" s="160" t="n"/>
    </row>
    <row r="431" ht="15.75" customHeight="1">
      <c r="CQ431" s="159" t="n"/>
      <c r="DC431" s="160" t="n"/>
    </row>
    <row r="432" ht="15.75" customHeight="1">
      <c r="CQ432" s="159" t="n"/>
      <c r="DC432" s="160" t="n"/>
    </row>
    <row r="433" ht="15.75" customHeight="1">
      <c r="CQ433" s="159" t="n"/>
      <c r="DC433" s="160" t="n"/>
    </row>
    <row r="434" ht="15.75" customHeight="1">
      <c r="CQ434" s="159" t="n"/>
      <c r="DC434" s="160" t="n"/>
    </row>
    <row r="435" ht="15.75" customHeight="1">
      <c r="CQ435" s="159" t="n"/>
      <c r="DC435" s="160" t="n"/>
    </row>
    <row r="436" ht="15.75" customHeight="1">
      <c r="CQ436" s="159" t="n"/>
      <c r="DC436" s="160" t="n"/>
    </row>
    <row r="437" ht="15.75" customHeight="1">
      <c r="CQ437" s="159" t="n"/>
      <c r="DC437" s="160" t="n"/>
    </row>
    <row r="438" ht="15.75" customHeight="1">
      <c r="CQ438" s="159" t="n"/>
      <c r="DC438" s="160" t="n"/>
    </row>
    <row r="439" ht="15.75" customHeight="1">
      <c r="CQ439" s="159" t="n"/>
      <c r="DC439" s="160" t="n"/>
    </row>
    <row r="440" ht="15.75" customHeight="1">
      <c r="CQ440" s="159" t="n"/>
      <c r="DC440" s="160" t="n"/>
    </row>
    <row r="441" ht="15.75" customHeight="1">
      <c r="CQ441" s="159" t="n"/>
      <c r="DC441" s="160" t="n"/>
    </row>
    <row r="442" ht="15.75" customHeight="1">
      <c r="CQ442" s="159" t="n"/>
      <c r="DC442" s="160" t="n"/>
    </row>
    <row r="443" ht="15.75" customHeight="1">
      <c r="CQ443" s="159" t="n"/>
      <c r="DC443" s="160" t="n"/>
    </row>
    <row r="444" ht="15.75" customHeight="1">
      <c r="CQ444" s="159" t="n"/>
      <c r="DC444" s="160" t="n"/>
    </row>
    <row r="445" ht="15.75" customHeight="1">
      <c r="CQ445" s="159" t="n"/>
      <c r="DC445" s="160" t="n"/>
    </row>
    <row r="446" ht="15.75" customHeight="1">
      <c r="CQ446" s="159" t="n"/>
      <c r="DC446" s="160" t="n"/>
    </row>
    <row r="447" ht="15.75" customHeight="1">
      <c r="CQ447" s="159" t="n"/>
      <c r="DC447" s="160" t="n"/>
    </row>
    <row r="448" ht="15.75" customHeight="1">
      <c r="CQ448" s="159" t="n"/>
      <c r="DC448" s="160" t="n"/>
    </row>
    <row r="449" ht="15.75" customHeight="1">
      <c r="CQ449" s="159" t="n"/>
      <c r="DC449" s="160" t="n"/>
    </row>
    <row r="450" ht="15.75" customHeight="1">
      <c r="CQ450" s="159" t="n"/>
      <c r="DC450" s="160" t="n"/>
    </row>
    <row r="451" ht="15.75" customHeight="1">
      <c r="CQ451" s="159" t="n"/>
      <c r="DC451" s="160" t="n"/>
    </row>
    <row r="452" ht="15.75" customHeight="1">
      <c r="CQ452" s="159" t="n"/>
      <c r="DC452" s="160" t="n"/>
    </row>
    <row r="453" ht="15.75" customHeight="1">
      <c r="CQ453" s="159" t="n"/>
      <c r="DC453" s="160" t="n"/>
    </row>
    <row r="454" ht="15.75" customHeight="1">
      <c r="CQ454" s="159" t="n"/>
      <c r="DC454" s="160" t="n"/>
    </row>
    <row r="455" ht="15.75" customHeight="1">
      <c r="CQ455" s="159" t="n"/>
      <c r="DC455" s="160" t="n"/>
    </row>
    <row r="456" ht="15.75" customHeight="1">
      <c r="CQ456" s="159" t="n"/>
      <c r="DC456" s="160" t="n"/>
    </row>
    <row r="457" ht="15.75" customHeight="1">
      <c r="CQ457" s="159" t="n"/>
      <c r="DC457" s="160" t="n"/>
    </row>
    <row r="458" ht="15.75" customHeight="1">
      <c r="CQ458" s="159" t="n"/>
      <c r="DC458" s="160" t="n"/>
    </row>
    <row r="459" ht="15.75" customHeight="1">
      <c r="CQ459" s="159" t="n"/>
      <c r="DC459" s="160" t="n"/>
    </row>
    <row r="460" ht="15.75" customHeight="1">
      <c r="CQ460" s="159" t="n"/>
      <c r="DC460" s="160" t="n"/>
    </row>
    <row r="461" ht="15.75" customHeight="1">
      <c r="CQ461" s="159" t="n"/>
      <c r="DC461" s="160" t="n"/>
    </row>
    <row r="462" ht="15.75" customHeight="1">
      <c r="CQ462" s="159" t="n"/>
      <c r="DC462" s="160" t="n"/>
    </row>
    <row r="463" ht="15.75" customHeight="1">
      <c r="CQ463" s="159" t="n"/>
      <c r="DC463" s="160" t="n"/>
    </row>
    <row r="464" ht="15.75" customHeight="1">
      <c r="CQ464" s="159" t="n"/>
      <c r="DC464" s="160" t="n"/>
    </row>
    <row r="465" ht="15.75" customHeight="1">
      <c r="CQ465" s="159" t="n"/>
      <c r="DC465" s="160" t="n"/>
    </row>
    <row r="466" ht="15.75" customHeight="1">
      <c r="CQ466" s="159" t="n"/>
      <c r="DC466" s="160" t="n"/>
    </row>
    <row r="467" ht="15.75" customHeight="1">
      <c r="CQ467" s="159" t="n"/>
      <c r="DC467" s="160" t="n"/>
    </row>
    <row r="468" ht="15.75" customHeight="1">
      <c r="CQ468" s="159" t="n"/>
      <c r="DC468" s="160" t="n"/>
    </row>
    <row r="469" ht="15.75" customHeight="1">
      <c r="CQ469" s="159" t="n"/>
      <c r="DC469" s="160" t="n"/>
    </row>
    <row r="470" ht="15.75" customHeight="1">
      <c r="CQ470" s="159" t="n"/>
      <c r="DC470" s="160" t="n"/>
    </row>
    <row r="471" ht="15.75" customHeight="1">
      <c r="CQ471" s="159" t="n"/>
      <c r="DC471" s="160" t="n"/>
    </row>
    <row r="472" ht="15.75" customHeight="1">
      <c r="CQ472" s="159" t="n"/>
      <c r="DC472" s="160" t="n"/>
    </row>
    <row r="473" ht="15.75" customHeight="1">
      <c r="CQ473" s="159" t="n"/>
      <c r="DC473" s="160" t="n"/>
    </row>
    <row r="474" ht="15.75" customHeight="1">
      <c r="CQ474" s="159" t="n"/>
      <c r="DC474" s="160" t="n"/>
    </row>
    <row r="475" ht="15.75" customHeight="1">
      <c r="CQ475" s="159" t="n"/>
      <c r="DC475" s="160" t="n"/>
    </row>
    <row r="476" ht="15.75" customHeight="1">
      <c r="CQ476" s="159" t="n"/>
      <c r="DC476" s="160" t="n"/>
    </row>
    <row r="477" ht="15.75" customHeight="1">
      <c r="CQ477" s="159" t="n"/>
      <c r="DC477" s="160" t="n"/>
    </row>
    <row r="478" ht="15.75" customHeight="1">
      <c r="CQ478" s="159" t="n"/>
      <c r="DC478" s="160" t="n"/>
    </row>
    <row r="479" ht="15.75" customHeight="1">
      <c r="CQ479" s="159" t="n"/>
      <c r="DC479" s="160" t="n"/>
    </row>
    <row r="480" ht="15.75" customHeight="1">
      <c r="CQ480" s="159" t="n"/>
      <c r="DC480" s="160" t="n"/>
    </row>
    <row r="481" ht="15.75" customHeight="1">
      <c r="CQ481" s="159" t="n"/>
      <c r="DC481" s="160" t="n"/>
    </row>
    <row r="482" ht="15.75" customHeight="1">
      <c r="CQ482" s="159" t="n"/>
      <c r="DC482" s="160" t="n"/>
    </row>
    <row r="483" ht="15.75" customHeight="1">
      <c r="CQ483" s="159" t="n"/>
      <c r="DC483" s="160" t="n"/>
    </row>
    <row r="484" ht="15.75" customHeight="1">
      <c r="CQ484" s="159" t="n"/>
      <c r="DC484" s="160" t="n"/>
    </row>
    <row r="485" ht="15.75" customHeight="1">
      <c r="CQ485" s="159" t="n"/>
      <c r="DC485" s="160" t="n"/>
    </row>
    <row r="486" ht="15.75" customHeight="1">
      <c r="CQ486" s="159" t="n"/>
      <c r="DC486" s="160" t="n"/>
    </row>
    <row r="487" ht="15.75" customHeight="1">
      <c r="CQ487" s="159" t="n"/>
      <c r="DC487" s="160" t="n"/>
    </row>
    <row r="488" ht="15.75" customHeight="1">
      <c r="CQ488" s="159" t="n"/>
      <c r="DC488" s="160" t="n"/>
    </row>
    <row r="489" ht="15.75" customHeight="1">
      <c r="CQ489" s="159" t="n"/>
      <c r="DC489" s="160" t="n"/>
    </row>
    <row r="490" ht="15.75" customHeight="1">
      <c r="CQ490" s="159" t="n"/>
      <c r="DC490" s="160" t="n"/>
    </row>
    <row r="491" ht="15.75" customHeight="1">
      <c r="CQ491" s="159" t="n"/>
      <c r="DC491" s="160" t="n"/>
    </row>
    <row r="492" ht="15.75" customHeight="1">
      <c r="CQ492" s="159" t="n"/>
      <c r="DC492" s="160" t="n"/>
    </row>
    <row r="493" ht="15.75" customHeight="1">
      <c r="CQ493" s="159" t="n"/>
      <c r="DC493" s="160" t="n"/>
    </row>
    <row r="494" ht="15.75" customHeight="1">
      <c r="CQ494" s="159" t="n"/>
      <c r="DC494" s="160" t="n"/>
    </row>
    <row r="495" ht="15.75" customHeight="1">
      <c r="CQ495" s="159" t="n"/>
      <c r="DC495" s="160" t="n"/>
    </row>
    <row r="496" ht="15.75" customHeight="1">
      <c r="CQ496" s="159" t="n"/>
      <c r="DC496" s="160" t="n"/>
    </row>
    <row r="497" ht="15.75" customHeight="1">
      <c r="CQ497" s="159" t="n"/>
      <c r="DC497" s="160" t="n"/>
    </row>
    <row r="498" ht="15.75" customHeight="1">
      <c r="CQ498" s="159" t="n"/>
      <c r="DC498" s="160" t="n"/>
    </row>
    <row r="499" ht="15.75" customHeight="1">
      <c r="CQ499" s="159" t="n"/>
      <c r="DC499" s="160" t="n"/>
    </row>
    <row r="500" ht="15.75" customHeight="1">
      <c r="CQ500" s="159" t="n"/>
      <c r="DC500" s="160" t="n"/>
    </row>
    <row r="501" ht="15.75" customHeight="1">
      <c r="CQ501" s="159" t="n"/>
      <c r="DC501" s="160" t="n"/>
    </row>
    <row r="502" ht="15.75" customHeight="1">
      <c r="CQ502" s="159" t="n"/>
      <c r="DC502" s="160" t="n"/>
    </row>
    <row r="503" ht="15.75" customHeight="1">
      <c r="CQ503" s="159" t="n"/>
      <c r="DC503" s="160" t="n"/>
    </row>
    <row r="504" ht="15.75" customHeight="1">
      <c r="CQ504" s="159" t="n"/>
      <c r="DC504" s="160" t="n"/>
    </row>
    <row r="505" ht="15.75" customHeight="1">
      <c r="CQ505" s="159" t="n"/>
      <c r="DC505" s="160" t="n"/>
    </row>
    <row r="506" ht="15.75" customHeight="1">
      <c r="CQ506" s="159" t="n"/>
      <c r="DC506" s="160" t="n"/>
    </row>
    <row r="507" ht="15.75" customHeight="1">
      <c r="CQ507" s="159" t="n"/>
      <c r="DC507" s="160" t="n"/>
    </row>
    <row r="508" ht="15.75" customHeight="1">
      <c r="CQ508" s="159" t="n"/>
      <c r="DC508" s="160" t="n"/>
    </row>
    <row r="509" ht="15.75" customHeight="1">
      <c r="CQ509" s="159" t="n"/>
      <c r="DC509" s="160" t="n"/>
    </row>
    <row r="510" ht="15.75" customHeight="1">
      <c r="CQ510" s="159" t="n"/>
      <c r="DC510" s="160" t="n"/>
    </row>
    <row r="511" ht="15.75" customHeight="1">
      <c r="CQ511" s="159" t="n"/>
      <c r="DC511" s="160" t="n"/>
    </row>
    <row r="512" ht="15.75" customHeight="1">
      <c r="CQ512" s="159" t="n"/>
      <c r="DC512" s="160" t="n"/>
    </row>
    <row r="513" ht="15.75" customHeight="1">
      <c r="CQ513" s="159" t="n"/>
      <c r="DC513" s="160" t="n"/>
    </row>
    <row r="514" ht="15.75" customHeight="1">
      <c r="CQ514" s="159" t="n"/>
      <c r="DC514" s="160" t="n"/>
    </row>
    <row r="515" ht="15.75" customHeight="1">
      <c r="CQ515" s="159" t="n"/>
      <c r="DC515" s="160" t="n"/>
    </row>
    <row r="516" ht="15.75" customHeight="1">
      <c r="CQ516" s="159" t="n"/>
      <c r="DC516" s="160" t="n"/>
    </row>
    <row r="517" ht="15.75" customHeight="1">
      <c r="CQ517" s="159" t="n"/>
      <c r="DC517" s="160" t="n"/>
    </row>
    <row r="518" ht="15.75" customHeight="1">
      <c r="CQ518" s="159" t="n"/>
      <c r="DC518" s="160" t="n"/>
    </row>
    <row r="519" ht="15.75" customHeight="1">
      <c r="CQ519" s="159" t="n"/>
      <c r="DC519" s="160" t="n"/>
    </row>
    <row r="520" ht="15.75" customHeight="1">
      <c r="CQ520" s="159" t="n"/>
      <c r="DC520" s="160" t="n"/>
    </row>
    <row r="521" ht="15.75" customHeight="1">
      <c r="CQ521" s="159" t="n"/>
      <c r="DC521" s="160" t="n"/>
    </row>
    <row r="522" ht="15.75" customHeight="1">
      <c r="CQ522" s="159" t="n"/>
      <c r="DC522" s="160" t="n"/>
    </row>
    <row r="523" ht="15.75" customHeight="1">
      <c r="CQ523" s="159" t="n"/>
      <c r="DC523" s="160" t="n"/>
    </row>
    <row r="524" ht="15.75" customHeight="1">
      <c r="CQ524" s="159" t="n"/>
      <c r="DC524" s="160" t="n"/>
    </row>
    <row r="525" ht="15.75" customHeight="1">
      <c r="CQ525" s="159" t="n"/>
      <c r="DC525" s="160" t="n"/>
    </row>
    <row r="526" ht="15.75" customHeight="1">
      <c r="CQ526" s="159" t="n"/>
      <c r="DC526" s="160" t="n"/>
    </row>
    <row r="527" ht="15.75" customHeight="1">
      <c r="CQ527" s="159" t="n"/>
      <c r="DC527" s="160" t="n"/>
    </row>
    <row r="528" ht="15.75" customHeight="1">
      <c r="CQ528" s="159" t="n"/>
      <c r="DC528" s="160" t="n"/>
    </row>
    <row r="529" ht="15.75" customHeight="1">
      <c r="CQ529" s="159" t="n"/>
      <c r="DC529" s="160" t="n"/>
    </row>
    <row r="530" ht="15.75" customHeight="1">
      <c r="CQ530" s="159" t="n"/>
      <c r="DC530" s="160" t="n"/>
    </row>
    <row r="531" ht="15.75" customHeight="1">
      <c r="CQ531" s="159" t="n"/>
      <c r="DC531" s="160" t="n"/>
    </row>
    <row r="532" ht="15.75" customHeight="1">
      <c r="CQ532" s="159" t="n"/>
      <c r="DC532" s="160" t="n"/>
    </row>
    <row r="533" ht="15.75" customHeight="1">
      <c r="CQ533" s="159" t="n"/>
      <c r="DC533" s="160" t="n"/>
    </row>
    <row r="534" ht="15.75" customHeight="1">
      <c r="CQ534" s="159" t="n"/>
      <c r="DC534" s="160" t="n"/>
    </row>
    <row r="535" ht="15.75" customHeight="1">
      <c r="CQ535" s="159" t="n"/>
      <c r="DC535" s="160" t="n"/>
    </row>
    <row r="536" ht="15.75" customHeight="1">
      <c r="CQ536" s="159" t="n"/>
      <c r="DC536" s="160" t="n"/>
    </row>
    <row r="537" ht="15.75" customHeight="1">
      <c r="CQ537" s="159" t="n"/>
      <c r="DC537" s="160" t="n"/>
    </row>
    <row r="538" ht="15.75" customHeight="1">
      <c r="CQ538" s="159" t="n"/>
      <c r="DC538" s="160" t="n"/>
    </row>
    <row r="539" ht="15.75" customHeight="1">
      <c r="CQ539" s="159" t="n"/>
      <c r="DC539" s="160" t="n"/>
    </row>
    <row r="540" ht="15.75" customHeight="1">
      <c r="CQ540" s="159" t="n"/>
      <c r="DC540" s="160" t="n"/>
    </row>
    <row r="541" ht="15.75" customHeight="1">
      <c r="CQ541" s="159" t="n"/>
      <c r="DC541" s="160" t="n"/>
    </row>
    <row r="542" ht="15.75" customHeight="1">
      <c r="CQ542" s="159" t="n"/>
      <c r="DC542" s="160" t="n"/>
    </row>
    <row r="543" ht="15.75" customHeight="1">
      <c r="CQ543" s="159" t="n"/>
      <c r="DC543" s="160" t="n"/>
    </row>
    <row r="544" ht="15.75" customHeight="1">
      <c r="CQ544" s="159" t="n"/>
      <c r="DC544" s="160" t="n"/>
    </row>
    <row r="545" ht="15.75" customHeight="1">
      <c r="CQ545" s="159" t="n"/>
      <c r="DC545" s="160" t="n"/>
    </row>
    <row r="546" ht="15.75" customHeight="1">
      <c r="CQ546" s="159" t="n"/>
      <c r="DC546" s="160" t="n"/>
    </row>
    <row r="547" ht="15.75" customHeight="1">
      <c r="CQ547" s="159" t="n"/>
      <c r="DC547" s="160" t="n"/>
    </row>
    <row r="548" ht="15.75" customHeight="1">
      <c r="CQ548" s="159" t="n"/>
      <c r="DC548" s="160" t="n"/>
    </row>
    <row r="549" ht="15.75" customHeight="1">
      <c r="CQ549" s="159" t="n"/>
      <c r="DC549" s="160" t="n"/>
    </row>
    <row r="550" ht="15.75" customHeight="1">
      <c r="CQ550" s="159" t="n"/>
      <c r="DC550" s="160" t="n"/>
    </row>
    <row r="551" ht="15.75" customHeight="1">
      <c r="CQ551" s="159" t="n"/>
      <c r="DC551" s="160" t="n"/>
    </row>
    <row r="552" ht="15.75" customHeight="1">
      <c r="CQ552" s="159" t="n"/>
      <c r="DC552" s="160" t="n"/>
    </row>
    <row r="553" ht="15.75" customHeight="1">
      <c r="CQ553" s="159" t="n"/>
      <c r="DC553" s="160" t="n"/>
    </row>
    <row r="554" ht="15.75" customHeight="1">
      <c r="CQ554" s="159" t="n"/>
      <c r="DC554" s="160" t="n"/>
    </row>
    <row r="555" ht="15.75" customHeight="1">
      <c r="CQ555" s="159" t="n"/>
      <c r="DC555" s="160" t="n"/>
    </row>
    <row r="556" ht="15.75" customHeight="1">
      <c r="CQ556" s="159" t="n"/>
      <c r="DC556" s="160" t="n"/>
    </row>
    <row r="557" ht="15.75" customHeight="1">
      <c r="CQ557" s="159" t="n"/>
      <c r="DC557" s="160" t="n"/>
    </row>
    <row r="558" ht="15.75" customHeight="1">
      <c r="CQ558" s="159" t="n"/>
      <c r="DC558" s="160" t="n"/>
    </row>
    <row r="559" ht="15.75" customHeight="1">
      <c r="CQ559" s="159" t="n"/>
      <c r="DC559" s="160" t="n"/>
    </row>
    <row r="560" ht="15.75" customHeight="1">
      <c r="CQ560" s="159" t="n"/>
      <c r="DC560" s="160" t="n"/>
    </row>
    <row r="561" ht="15.75" customHeight="1">
      <c r="CQ561" s="159" t="n"/>
      <c r="DC561" s="160" t="n"/>
    </row>
    <row r="562" ht="15.75" customHeight="1">
      <c r="CQ562" s="159" t="n"/>
      <c r="DC562" s="160" t="n"/>
    </row>
    <row r="563" ht="15.75" customHeight="1">
      <c r="CQ563" s="159" t="n"/>
      <c r="DC563" s="160" t="n"/>
    </row>
    <row r="564" ht="15.75" customHeight="1">
      <c r="CQ564" s="159" t="n"/>
      <c r="DC564" s="160" t="n"/>
    </row>
    <row r="565" ht="15.75" customHeight="1">
      <c r="CQ565" s="159" t="n"/>
      <c r="DC565" s="160" t="n"/>
    </row>
    <row r="566" ht="15.75" customHeight="1">
      <c r="CQ566" s="159" t="n"/>
      <c r="DC566" s="160" t="n"/>
    </row>
    <row r="567" ht="15.75" customHeight="1">
      <c r="CQ567" s="159" t="n"/>
      <c r="DC567" s="160" t="n"/>
    </row>
    <row r="568" ht="15.75" customHeight="1">
      <c r="CQ568" s="159" t="n"/>
      <c r="DC568" s="160" t="n"/>
    </row>
    <row r="569" ht="15.75" customHeight="1">
      <c r="CQ569" s="159" t="n"/>
      <c r="DC569" s="160" t="n"/>
    </row>
    <row r="570" ht="15.75" customHeight="1">
      <c r="CQ570" s="159" t="n"/>
      <c r="DC570" s="160" t="n"/>
    </row>
    <row r="571" ht="15.75" customHeight="1">
      <c r="CQ571" s="159" t="n"/>
      <c r="DC571" s="160" t="n"/>
    </row>
    <row r="572" ht="15.75" customHeight="1">
      <c r="CQ572" s="159" t="n"/>
      <c r="DC572" s="160" t="n"/>
    </row>
    <row r="573" ht="15.75" customHeight="1">
      <c r="CQ573" s="159" t="n"/>
      <c r="DC573" s="160" t="n"/>
    </row>
    <row r="574" ht="15.75" customHeight="1">
      <c r="CQ574" s="159" t="n"/>
      <c r="DC574" s="160" t="n"/>
    </row>
    <row r="575" ht="15.75" customHeight="1">
      <c r="CQ575" s="159" t="n"/>
      <c r="DC575" s="160" t="n"/>
    </row>
    <row r="576" ht="15.75" customHeight="1">
      <c r="CQ576" s="159" t="n"/>
      <c r="DC576" s="160" t="n"/>
    </row>
    <row r="577" ht="15.75" customHeight="1">
      <c r="CQ577" s="159" t="n"/>
      <c r="DC577" s="160" t="n"/>
    </row>
    <row r="578" ht="15.75" customHeight="1">
      <c r="CQ578" s="159" t="n"/>
      <c r="DC578" s="160" t="n"/>
    </row>
    <row r="579" ht="15.75" customHeight="1">
      <c r="CQ579" s="159" t="n"/>
      <c r="DC579" s="160" t="n"/>
    </row>
    <row r="580" ht="15.75" customHeight="1">
      <c r="CQ580" s="159" t="n"/>
      <c r="DC580" s="160" t="n"/>
    </row>
    <row r="581" ht="15.75" customHeight="1">
      <c r="CQ581" s="159" t="n"/>
      <c r="DC581" s="160" t="n"/>
    </row>
    <row r="582" ht="15.75" customHeight="1">
      <c r="CQ582" s="159" t="n"/>
      <c r="DC582" s="160" t="n"/>
    </row>
    <row r="583" ht="15.75" customHeight="1">
      <c r="CQ583" s="159" t="n"/>
      <c r="DC583" s="160" t="n"/>
    </row>
    <row r="584" ht="15.75" customHeight="1">
      <c r="CQ584" s="159" t="n"/>
      <c r="DC584" s="160" t="n"/>
    </row>
    <row r="585" ht="15.75" customHeight="1">
      <c r="CQ585" s="159" t="n"/>
      <c r="DC585" s="160" t="n"/>
    </row>
    <row r="586" ht="15.75" customHeight="1">
      <c r="CQ586" s="159" t="n"/>
      <c r="DC586" s="160" t="n"/>
    </row>
    <row r="587" ht="15.75" customHeight="1">
      <c r="CQ587" s="159" t="n"/>
      <c r="DC587" s="160" t="n"/>
    </row>
    <row r="588" ht="15.75" customHeight="1">
      <c r="CQ588" s="159" t="n"/>
      <c r="DC588" s="160" t="n"/>
    </row>
    <row r="589" ht="15.75" customHeight="1">
      <c r="CQ589" s="159" t="n"/>
      <c r="DC589" s="160" t="n"/>
    </row>
    <row r="590" ht="15.75" customHeight="1">
      <c r="CQ590" s="159" t="n"/>
      <c r="DC590" s="160" t="n"/>
    </row>
    <row r="591" ht="15.75" customHeight="1">
      <c r="CQ591" s="159" t="n"/>
      <c r="DC591" s="160" t="n"/>
    </row>
    <row r="592" ht="15.75" customHeight="1">
      <c r="CQ592" s="159" t="n"/>
      <c r="DC592" s="160" t="n"/>
    </row>
    <row r="593" ht="15.75" customHeight="1">
      <c r="CQ593" s="159" t="n"/>
      <c r="DC593" s="160" t="n"/>
    </row>
    <row r="594" ht="15.75" customHeight="1">
      <c r="CQ594" s="159" t="n"/>
      <c r="DC594" s="160" t="n"/>
    </row>
    <row r="595" ht="15.75" customHeight="1">
      <c r="CQ595" s="159" t="n"/>
      <c r="DC595" s="160" t="n"/>
    </row>
    <row r="596" ht="15.75" customHeight="1">
      <c r="CQ596" s="159" t="n"/>
      <c r="DC596" s="160" t="n"/>
    </row>
    <row r="597" ht="15.75" customHeight="1">
      <c r="CQ597" s="159" t="n"/>
      <c r="DC597" s="160" t="n"/>
    </row>
    <row r="598" ht="15.75" customHeight="1">
      <c r="CQ598" s="159" t="n"/>
      <c r="DC598" s="160" t="n"/>
    </row>
    <row r="599" ht="15.75" customHeight="1">
      <c r="CQ599" s="159" t="n"/>
      <c r="DC599" s="160" t="n"/>
    </row>
    <row r="600" ht="15.75" customHeight="1">
      <c r="CQ600" s="159" t="n"/>
      <c r="DC600" s="160" t="n"/>
    </row>
    <row r="601" ht="15.75" customHeight="1">
      <c r="CQ601" s="159" t="n"/>
      <c r="DC601" s="160" t="n"/>
    </row>
    <row r="602" ht="15.75" customHeight="1">
      <c r="CQ602" s="159" t="n"/>
      <c r="DC602" s="160" t="n"/>
    </row>
    <row r="603" ht="15.75" customHeight="1">
      <c r="CQ603" s="159" t="n"/>
      <c r="DC603" s="160" t="n"/>
    </row>
    <row r="604" ht="15.75" customHeight="1">
      <c r="CQ604" s="159" t="n"/>
      <c r="DC604" s="160" t="n"/>
    </row>
    <row r="605" ht="15.75" customHeight="1">
      <c r="CQ605" s="159" t="n"/>
      <c r="DC605" s="160" t="n"/>
    </row>
    <row r="606" ht="15.75" customHeight="1">
      <c r="CQ606" s="159" t="n"/>
      <c r="DC606" s="160" t="n"/>
    </row>
    <row r="607" ht="15.75" customHeight="1">
      <c r="CQ607" s="159" t="n"/>
      <c r="DC607" s="160" t="n"/>
    </row>
    <row r="608" ht="15.75" customHeight="1">
      <c r="CQ608" s="159" t="n"/>
      <c r="DC608" s="160" t="n"/>
    </row>
    <row r="609" ht="15.75" customHeight="1">
      <c r="CQ609" s="159" t="n"/>
      <c r="DC609" s="160" t="n"/>
    </row>
    <row r="610" ht="15.75" customHeight="1">
      <c r="CQ610" s="159" t="n"/>
      <c r="DC610" s="160" t="n"/>
    </row>
    <row r="611" ht="15.75" customHeight="1">
      <c r="CQ611" s="159" t="n"/>
      <c r="DC611" s="160" t="n"/>
    </row>
    <row r="612" ht="15.75" customHeight="1">
      <c r="CQ612" s="159" t="n"/>
      <c r="DC612" s="160" t="n"/>
    </row>
    <row r="613" ht="15.75" customHeight="1">
      <c r="CQ613" s="159" t="n"/>
      <c r="DC613" s="160" t="n"/>
    </row>
    <row r="614" ht="15.75" customHeight="1">
      <c r="CQ614" s="159" t="n"/>
      <c r="DC614" s="160" t="n"/>
    </row>
    <row r="615" ht="15.75" customHeight="1">
      <c r="CQ615" s="159" t="n"/>
      <c r="DC615" s="160" t="n"/>
    </row>
    <row r="616" ht="15.75" customHeight="1">
      <c r="CQ616" s="159" t="n"/>
      <c r="DC616" s="160" t="n"/>
    </row>
    <row r="617" ht="15.75" customHeight="1">
      <c r="CQ617" s="159" t="n"/>
      <c r="DC617" s="160" t="n"/>
    </row>
    <row r="618" ht="15.75" customHeight="1">
      <c r="CQ618" s="159" t="n"/>
      <c r="DC618" s="160" t="n"/>
    </row>
    <row r="619" ht="15.75" customHeight="1">
      <c r="CQ619" s="159" t="n"/>
      <c r="DC619" s="160" t="n"/>
    </row>
    <row r="620" ht="15.75" customHeight="1">
      <c r="CQ620" s="159" t="n"/>
      <c r="DC620" s="160" t="n"/>
    </row>
    <row r="621" ht="15.75" customHeight="1">
      <c r="CQ621" s="159" t="n"/>
      <c r="DC621" s="160" t="n"/>
    </row>
    <row r="622" ht="15.75" customHeight="1">
      <c r="CQ622" s="159" t="n"/>
      <c r="DC622" s="160" t="n"/>
    </row>
    <row r="623" ht="15.75" customHeight="1">
      <c r="CQ623" s="159" t="n"/>
      <c r="DC623" s="160" t="n"/>
    </row>
    <row r="624" ht="15.75" customHeight="1">
      <c r="CQ624" s="159" t="n"/>
      <c r="DC624" s="160" t="n"/>
    </row>
    <row r="625" ht="15.75" customHeight="1">
      <c r="CQ625" s="159" t="n"/>
      <c r="DC625" s="160" t="n"/>
    </row>
    <row r="626" ht="15.75" customHeight="1">
      <c r="CQ626" s="159" t="n"/>
      <c r="DC626" s="160" t="n"/>
    </row>
    <row r="627" ht="15.75" customHeight="1">
      <c r="CQ627" s="159" t="n"/>
      <c r="DC627" s="160" t="n"/>
    </row>
    <row r="628" ht="15.75" customHeight="1">
      <c r="CQ628" s="159" t="n"/>
      <c r="DC628" s="160" t="n"/>
    </row>
    <row r="629" ht="15.75" customHeight="1">
      <c r="CQ629" s="159" t="n"/>
      <c r="DC629" s="160" t="n"/>
    </row>
    <row r="630" ht="15.75" customHeight="1">
      <c r="CQ630" s="159" t="n"/>
      <c r="DC630" s="160" t="n"/>
    </row>
    <row r="631" ht="15.75" customHeight="1">
      <c r="CQ631" s="159" t="n"/>
      <c r="DC631" s="160" t="n"/>
    </row>
    <row r="632" ht="15.75" customHeight="1">
      <c r="CQ632" s="159" t="n"/>
      <c r="DC632" s="160" t="n"/>
    </row>
    <row r="633" ht="15.75" customHeight="1">
      <c r="CQ633" s="159" t="n"/>
      <c r="DC633" s="160" t="n"/>
    </row>
    <row r="634" ht="15.75" customHeight="1">
      <c r="CQ634" s="159" t="n"/>
      <c r="DC634" s="160" t="n"/>
    </row>
    <row r="635" ht="15.75" customHeight="1">
      <c r="CQ635" s="159" t="n"/>
      <c r="DC635" s="160" t="n"/>
    </row>
    <row r="636" ht="15.75" customHeight="1">
      <c r="CQ636" s="159" t="n"/>
      <c r="DC636" s="160" t="n"/>
    </row>
    <row r="637" ht="15.75" customHeight="1">
      <c r="CQ637" s="159" t="n"/>
      <c r="DC637" s="160" t="n"/>
    </row>
    <row r="638" ht="15.75" customHeight="1">
      <c r="CQ638" s="159" t="n"/>
      <c r="DC638" s="160" t="n"/>
    </row>
    <row r="639" ht="15.75" customHeight="1">
      <c r="CQ639" s="159" t="n"/>
      <c r="DC639" s="160" t="n"/>
    </row>
    <row r="640" ht="15.75" customHeight="1">
      <c r="CQ640" s="159" t="n"/>
      <c r="DC640" s="160" t="n"/>
    </row>
    <row r="641" ht="15.75" customHeight="1">
      <c r="CQ641" s="159" t="n"/>
      <c r="DC641" s="160" t="n"/>
    </row>
    <row r="642" ht="15.75" customHeight="1">
      <c r="CQ642" s="159" t="n"/>
      <c r="DC642" s="160" t="n"/>
    </row>
    <row r="643" ht="15.75" customHeight="1">
      <c r="CQ643" s="159" t="n"/>
      <c r="DC643" s="160" t="n"/>
    </row>
    <row r="644" ht="15.75" customHeight="1">
      <c r="CQ644" s="159" t="n"/>
      <c r="DC644" s="160" t="n"/>
    </row>
    <row r="645" ht="15.75" customHeight="1">
      <c r="CQ645" s="159" t="n"/>
      <c r="DC645" s="160" t="n"/>
    </row>
    <row r="646" ht="15.75" customHeight="1">
      <c r="CQ646" s="159" t="n"/>
      <c r="DC646" s="160" t="n"/>
    </row>
    <row r="647" ht="15.75" customHeight="1">
      <c r="CQ647" s="159" t="n"/>
      <c r="DC647" s="160" t="n"/>
    </row>
    <row r="648" ht="15.75" customHeight="1">
      <c r="CQ648" s="159" t="n"/>
      <c r="DC648" s="160" t="n"/>
    </row>
    <row r="649" ht="15.75" customHeight="1">
      <c r="CQ649" s="159" t="n"/>
      <c r="DC649" s="160" t="n"/>
    </row>
    <row r="650" ht="15.75" customHeight="1">
      <c r="CQ650" s="159" t="n"/>
      <c r="DC650" s="160" t="n"/>
    </row>
    <row r="651" ht="15.75" customHeight="1">
      <c r="CQ651" s="159" t="n"/>
      <c r="DC651" s="160" t="n"/>
    </row>
    <row r="652" ht="15.75" customHeight="1">
      <c r="CQ652" s="159" t="n"/>
      <c r="DC652" s="160" t="n"/>
    </row>
    <row r="653" ht="15.75" customHeight="1">
      <c r="CQ653" s="159" t="n"/>
      <c r="DC653" s="160" t="n"/>
    </row>
    <row r="654" ht="15.75" customHeight="1">
      <c r="CQ654" s="159" t="n"/>
      <c r="DC654" s="160" t="n"/>
    </row>
    <row r="655" ht="15.75" customHeight="1">
      <c r="CQ655" s="159" t="n"/>
      <c r="DC655" s="160" t="n"/>
    </row>
    <row r="656" ht="15.75" customHeight="1">
      <c r="CQ656" s="159" t="n"/>
      <c r="DC656" s="160" t="n"/>
    </row>
    <row r="657" ht="15.75" customHeight="1">
      <c r="CQ657" s="159" t="n"/>
      <c r="DC657" s="160" t="n"/>
    </row>
    <row r="658" ht="15.75" customHeight="1">
      <c r="CQ658" s="159" t="n"/>
      <c r="DC658" s="160" t="n"/>
    </row>
    <row r="659" ht="15.75" customHeight="1">
      <c r="CQ659" s="159" t="n"/>
      <c r="DC659" s="160" t="n"/>
    </row>
    <row r="660" ht="15.75" customHeight="1">
      <c r="CQ660" s="159" t="n"/>
      <c r="DC660" s="160" t="n"/>
    </row>
    <row r="661" ht="15.75" customHeight="1">
      <c r="CQ661" s="159" t="n"/>
      <c r="DC661" s="160" t="n"/>
    </row>
    <row r="662" ht="15.75" customHeight="1">
      <c r="CQ662" s="159" t="n"/>
      <c r="DC662" s="160" t="n"/>
    </row>
    <row r="663" ht="15.75" customHeight="1">
      <c r="CQ663" s="159" t="n"/>
      <c r="DC663" s="160" t="n"/>
    </row>
    <row r="664" ht="15.75" customHeight="1">
      <c r="CQ664" s="159" t="n"/>
      <c r="DC664" s="160" t="n"/>
    </row>
    <row r="665" ht="15.75" customHeight="1">
      <c r="CQ665" s="159" t="n"/>
      <c r="DC665" s="160" t="n"/>
    </row>
    <row r="666" ht="15.75" customHeight="1">
      <c r="CQ666" s="159" t="n"/>
      <c r="DC666" s="160" t="n"/>
    </row>
    <row r="667" ht="15.75" customHeight="1">
      <c r="CQ667" s="159" t="n"/>
      <c r="DC667" s="160" t="n"/>
    </row>
    <row r="668" ht="15.75" customHeight="1">
      <c r="CQ668" s="159" t="n"/>
      <c r="DC668" s="160" t="n"/>
    </row>
    <row r="669" ht="15.75" customHeight="1">
      <c r="CQ669" s="159" t="n"/>
      <c r="DC669" s="160" t="n"/>
    </row>
    <row r="670" ht="15.75" customHeight="1">
      <c r="CQ670" s="159" t="n"/>
      <c r="DC670" s="160" t="n"/>
    </row>
    <row r="671" ht="15.75" customHeight="1">
      <c r="CQ671" s="159" t="n"/>
      <c r="DC671" s="160" t="n"/>
    </row>
    <row r="672" ht="15.75" customHeight="1">
      <c r="CQ672" s="159" t="n"/>
      <c r="DC672" s="160" t="n"/>
    </row>
    <row r="673" ht="15.75" customHeight="1">
      <c r="CQ673" s="159" t="n"/>
      <c r="DC673" s="160" t="n"/>
    </row>
    <row r="674" ht="15.75" customHeight="1">
      <c r="CQ674" s="159" t="n"/>
      <c r="DC674" s="160" t="n"/>
    </row>
    <row r="675" ht="15.75" customHeight="1">
      <c r="CQ675" s="159" t="n"/>
      <c r="DC675" s="160" t="n"/>
    </row>
    <row r="676" ht="15.75" customHeight="1">
      <c r="CQ676" s="159" t="n"/>
      <c r="DC676" s="160" t="n"/>
    </row>
    <row r="677" ht="15.75" customHeight="1">
      <c r="CQ677" s="159" t="n"/>
      <c r="DC677" s="160" t="n"/>
    </row>
    <row r="678" ht="15.75" customHeight="1">
      <c r="CQ678" s="159" t="n"/>
      <c r="DC678" s="160" t="n"/>
    </row>
    <row r="679" ht="15.75" customHeight="1">
      <c r="CQ679" s="159" t="n"/>
      <c r="DC679" s="160" t="n"/>
    </row>
    <row r="680" ht="15.75" customHeight="1">
      <c r="CQ680" s="159" t="n"/>
      <c r="DC680" s="160" t="n"/>
    </row>
    <row r="681" ht="15.75" customHeight="1">
      <c r="CQ681" s="159" t="n"/>
      <c r="DC681" s="160" t="n"/>
    </row>
    <row r="682" ht="15.75" customHeight="1">
      <c r="CQ682" s="159" t="n"/>
      <c r="DC682" s="160" t="n"/>
    </row>
    <row r="683" ht="15.75" customHeight="1">
      <c r="CQ683" s="159" t="n"/>
      <c r="DC683" s="160" t="n"/>
    </row>
    <row r="684" ht="15.75" customHeight="1">
      <c r="CQ684" s="159" t="n"/>
      <c r="DC684" s="160" t="n"/>
    </row>
    <row r="685" ht="15.75" customHeight="1">
      <c r="CQ685" s="159" t="n"/>
      <c r="DC685" s="160" t="n"/>
    </row>
    <row r="686" ht="15.75" customHeight="1">
      <c r="CQ686" s="159" t="n"/>
      <c r="DC686" s="160" t="n"/>
    </row>
    <row r="687" ht="15.75" customHeight="1">
      <c r="CQ687" s="159" t="n"/>
      <c r="DC687" s="160" t="n"/>
    </row>
    <row r="688" ht="15.75" customHeight="1">
      <c r="CQ688" s="159" t="n"/>
      <c r="DC688" s="160" t="n"/>
    </row>
    <row r="689" ht="15.75" customHeight="1">
      <c r="CQ689" s="159" t="n"/>
      <c r="DC689" s="160" t="n"/>
    </row>
    <row r="690" ht="15.75" customHeight="1">
      <c r="CQ690" s="159" t="n"/>
      <c r="DC690" s="160" t="n"/>
    </row>
    <row r="691" ht="15.75" customHeight="1">
      <c r="CQ691" s="159" t="n"/>
      <c r="DC691" s="160" t="n"/>
    </row>
    <row r="692" ht="15.75" customHeight="1">
      <c r="CQ692" s="159" t="n"/>
      <c r="DC692" s="160" t="n"/>
    </row>
    <row r="693" ht="15.75" customHeight="1">
      <c r="CQ693" s="159" t="n"/>
      <c r="DC693" s="160" t="n"/>
    </row>
    <row r="694" ht="15.75" customHeight="1">
      <c r="CQ694" s="159" t="n"/>
      <c r="DC694" s="160" t="n"/>
    </row>
    <row r="695" ht="15.75" customHeight="1">
      <c r="CQ695" s="159" t="n"/>
      <c r="DC695" s="160" t="n"/>
    </row>
    <row r="696" ht="15.75" customHeight="1">
      <c r="CQ696" s="159" t="n"/>
      <c r="DC696" s="160" t="n"/>
    </row>
    <row r="697" ht="15.75" customHeight="1">
      <c r="CQ697" s="159" t="n"/>
      <c r="DC697" s="160" t="n"/>
    </row>
    <row r="698" ht="15.75" customHeight="1">
      <c r="CQ698" s="159" t="n"/>
      <c r="DC698" s="160" t="n"/>
    </row>
    <row r="699" ht="15.75" customHeight="1">
      <c r="CQ699" s="159" t="n"/>
      <c r="DC699" s="160" t="n"/>
    </row>
    <row r="700" ht="15.75" customHeight="1">
      <c r="CQ700" s="159" t="n"/>
      <c r="DC700" s="160" t="n"/>
    </row>
    <row r="701" ht="15.75" customHeight="1">
      <c r="CQ701" s="159" t="n"/>
      <c r="DC701" s="160" t="n"/>
    </row>
    <row r="702" ht="15.75" customHeight="1">
      <c r="CQ702" s="159" t="n"/>
      <c r="DC702" s="160" t="n"/>
    </row>
    <row r="703" ht="15.75" customHeight="1">
      <c r="CQ703" s="159" t="n"/>
      <c r="DC703" s="160" t="n"/>
    </row>
    <row r="704" ht="15.75" customHeight="1">
      <c r="CQ704" s="159" t="n"/>
      <c r="DC704" s="160" t="n"/>
    </row>
    <row r="705" ht="15.75" customHeight="1">
      <c r="CQ705" s="159" t="n"/>
      <c r="DC705" s="160" t="n"/>
    </row>
    <row r="706" ht="15.75" customHeight="1">
      <c r="CQ706" s="159" t="n"/>
      <c r="DC706" s="160" t="n"/>
    </row>
    <row r="707" ht="15.75" customHeight="1">
      <c r="CQ707" s="159" t="n"/>
      <c r="DC707" s="160" t="n"/>
    </row>
    <row r="708" ht="15.75" customHeight="1">
      <c r="CQ708" s="159" t="n"/>
      <c r="DC708" s="160" t="n"/>
    </row>
    <row r="709" ht="15.75" customHeight="1">
      <c r="CQ709" s="159" t="n"/>
      <c r="DC709" s="160" t="n"/>
    </row>
    <row r="710" ht="15.75" customHeight="1">
      <c r="CQ710" s="159" t="n"/>
      <c r="DC710" s="160" t="n"/>
    </row>
    <row r="711" ht="15.75" customHeight="1">
      <c r="CQ711" s="159" t="n"/>
      <c r="DC711" s="160" t="n"/>
    </row>
    <row r="712" ht="15.75" customHeight="1">
      <c r="CQ712" s="159" t="n"/>
      <c r="DC712" s="160" t="n"/>
    </row>
    <row r="713" ht="15.75" customHeight="1">
      <c r="CQ713" s="159" t="n"/>
      <c r="DC713" s="160" t="n"/>
    </row>
    <row r="714" ht="15.75" customHeight="1">
      <c r="CQ714" s="159" t="n"/>
      <c r="DC714" s="160" t="n"/>
    </row>
    <row r="715" ht="15.75" customHeight="1">
      <c r="CQ715" s="159" t="n"/>
      <c r="DC715" s="160" t="n"/>
    </row>
    <row r="716" ht="15.75" customHeight="1">
      <c r="CQ716" s="159" t="n"/>
      <c r="DC716" s="160" t="n"/>
    </row>
    <row r="717" ht="15.75" customHeight="1">
      <c r="CQ717" s="159" t="n"/>
      <c r="DC717" s="160" t="n"/>
    </row>
    <row r="718" ht="15.75" customHeight="1">
      <c r="CQ718" s="159" t="n"/>
      <c r="DC718" s="160" t="n"/>
    </row>
    <row r="719" ht="15.75" customHeight="1">
      <c r="CQ719" s="159" t="n"/>
      <c r="DC719" s="160" t="n"/>
    </row>
    <row r="720" ht="15.75" customHeight="1">
      <c r="CQ720" s="159" t="n"/>
      <c r="DC720" s="160" t="n"/>
    </row>
    <row r="721" ht="15.75" customHeight="1">
      <c r="CQ721" s="159" t="n"/>
      <c r="DC721" s="160" t="n"/>
    </row>
    <row r="722" ht="15.75" customHeight="1">
      <c r="CQ722" s="159" t="n"/>
      <c r="DC722" s="160" t="n"/>
    </row>
    <row r="723" ht="15.75" customHeight="1">
      <c r="CQ723" s="159" t="n"/>
      <c r="DC723" s="160" t="n"/>
    </row>
    <row r="724" ht="15.75" customHeight="1">
      <c r="CQ724" s="159" t="n"/>
      <c r="DC724" s="160" t="n"/>
    </row>
    <row r="725" ht="15.75" customHeight="1">
      <c r="CQ725" s="159" t="n"/>
      <c r="DC725" s="160" t="n"/>
    </row>
    <row r="726" ht="15.75" customHeight="1">
      <c r="CQ726" s="159" t="n"/>
      <c r="DC726" s="160" t="n"/>
    </row>
    <row r="727" ht="15.75" customHeight="1">
      <c r="CQ727" s="159" t="n"/>
      <c r="DC727" s="160" t="n"/>
    </row>
    <row r="728" ht="15.75" customHeight="1">
      <c r="CQ728" s="159" t="n"/>
      <c r="DC728" s="160" t="n"/>
    </row>
    <row r="729" ht="15.75" customHeight="1">
      <c r="CQ729" s="159" t="n"/>
      <c r="DC729" s="160" t="n"/>
    </row>
    <row r="730" ht="15.75" customHeight="1">
      <c r="CQ730" s="159" t="n"/>
      <c r="DC730" s="160" t="n"/>
    </row>
    <row r="731" ht="15.75" customHeight="1">
      <c r="CQ731" s="159" t="n"/>
      <c r="DC731" s="160" t="n"/>
    </row>
    <row r="732" ht="15.75" customHeight="1">
      <c r="CQ732" s="159" t="n"/>
      <c r="DC732" s="160" t="n"/>
    </row>
    <row r="733" ht="15.75" customHeight="1">
      <c r="CQ733" s="159" t="n"/>
      <c r="DC733" s="160" t="n"/>
    </row>
    <row r="734" ht="15.75" customHeight="1">
      <c r="CQ734" s="159" t="n"/>
      <c r="DC734" s="160" t="n"/>
    </row>
    <row r="735" ht="15.75" customHeight="1">
      <c r="CQ735" s="159" t="n"/>
      <c r="DC735" s="160" t="n"/>
    </row>
    <row r="736" ht="15.75" customHeight="1">
      <c r="CQ736" s="159" t="n"/>
      <c r="DC736" s="160" t="n"/>
    </row>
    <row r="737" ht="15.75" customHeight="1">
      <c r="CQ737" s="159" t="n"/>
      <c r="DC737" s="160" t="n"/>
    </row>
    <row r="738" ht="15.75" customHeight="1">
      <c r="CQ738" s="159" t="n"/>
      <c r="DC738" s="160" t="n"/>
    </row>
    <row r="739" ht="15.75" customHeight="1">
      <c r="CQ739" s="159" t="n"/>
      <c r="DC739" s="160" t="n"/>
    </row>
    <row r="740" ht="15.75" customHeight="1">
      <c r="CQ740" s="159" t="n"/>
      <c r="DC740" s="160" t="n"/>
    </row>
    <row r="741" ht="15.75" customHeight="1">
      <c r="CQ741" s="159" t="n"/>
      <c r="DC741" s="160" t="n"/>
    </row>
    <row r="742" ht="15.75" customHeight="1">
      <c r="CQ742" s="159" t="n"/>
      <c r="DC742" s="160" t="n"/>
    </row>
    <row r="743" ht="15.75" customHeight="1">
      <c r="CQ743" s="159" t="n"/>
      <c r="DC743" s="160" t="n"/>
    </row>
    <row r="744" ht="15.75" customHeight="1">
      <c r="CQ744" s="159" t="n"/>
      <c r="DC744" s="160" t="n"/>
    </row>
    <row r="745" ht="15.75" customHeight="1">
      <c r="CQ745" s="159" t="n"/>
      <c r="DC745" s="160" t="n"/>
    </row>
    <row r="746" ht="15.75" customHeight="1">
      <c r="CQ746" s="159" t="n"/>
      <c r="DC746" s="160" t="n"/>
    </row>
    <row r="747" ht="15.75" customHeight="1">
      <c r="CQ747" s="159" t="n"/>
      <c r="DC747" s="160" t="n"/>
    </row>
    <row r="748" ht="15.75" customHeight="1">
      <c r="CQ748" s="159" t="n"/>
      <c r="DC748" s="160" t="n"/>
    </row>
    <row r="749" ht="15.75" customHeight="1">
      <c r="CQ749" s="159" t="n"/>
      <c r="DC749" s="160" t="n"/>
    </row>
    <row r="750" ht="15.75" customHeight="1">
      <c r="CQ750" s="159" t="n"/>
      <c r="DC750" s="160" t="n"/>
    </row>
    <row r="751" ht="15.75" customHeight="1">
      <c r="CQ751" s="159" t="n"/>
      <c r="DC751" s="160" t="n"/>
    </row>
    <row r="752" ht="15.75" customHeight="1">
      <c r="CQ752" s="159" t="n"/>
      <c r="DC752" s="160" t="n"/>
    </row>
    <row r="753" ht="15.75" customHeight="1">
      <c r="CQ753" s="159" t="n"/>
      <c r="DC753" s="160" t="n"/>
    </row>
    <row r="754" ht="15.75" customHeight="1">
      <c r="CQ754" s="159" t="n"/>
      <c r="DC754" s="160" t="n"/>
    </row>
    <row r="755" ht="15.75" customHeight="1">
      <c r="CQ755" s="159" t="n"/>
      <c r="DC755" s="160" t="n"/>
    </row>
    <row r="756" ht="15.75" customHeight="1">
      <c r="CQ756" s="159" t="n"/>
      <c r="DC756" s="160" t="n"/>
    </row>
    <row r="757" ht="15.75" customHeight="1">
      <c r="CQ757" s="159" t="n"/>
      <c r="DC757" s="160" t="n"/>
    </row>
    <row r="758" ht="15.75" customHeight="1">
      <c r="CQ758" s="159" t="n"/>
      <c r="DC758" s="160" t="n"/>
    </row>
    <row r="759" ht="15.75" customHeight="1">
      <c r="CQ759" s="159" t="n"/>
      <c r="DC759" s="160" t="n"/>
    </row>
    <row r="760" ht="15.75" customHeight="1">
      <c r="CQ760" s="159" t="n"/>
      <c r="DC760" s="160" t="n"/>
    </row>
    <row r="761" ht="15.75" customHeight="1">
      <c r="CQ761" s="159" t="n"/>
      <c r="DC761" s="160" t="n"/>
    </row>
    <row r="762" ht="15.75" customHeight="1">
      <c r="CQ762" s="159" t="n"/>
      <c r="DC762" s="160" t="n"/>
    </row>
    <row r="763" ht="15.75" customHeight="1">
      <c r="CQ763" s="159" t="n"/>
      <c r="DC763" s="160" t="n"/>
    </row>
    <row r="764" ht="15.75" customHeight="1">
      <c r="CQ764" s="159" t="n"/>
      <c r="DC764" s="160" t="n"/>
    </row>
    <row r="765" ht="15.75" customHeight="1">
      <c r="CQ765" s="159" t="n"/>
      <c r="DC765" s="160" t="n"/>
    </row>
    <row r="766" ht="15.75" customHeight="1">
      <c r="CQ766" s="159" t="n"/>
      <c r="DC766" s="160" t="n"/>
    </row>
    <row r="767" ht="15.75" customHeight="1">
      <c r="CQ767" s="159" t="n"/>
      <c r="DC767" s="160" t="n"/>
    </row>
    <row r="768" ht="15.75" customHeight="1">
      <c r="CQ768" s="159" t="n"/>
      <c r="DC768" s="160" t="n"/>
    </row>
    <row r="769" ht="15.75" customHeight="1">
      <c r="CQ769" s="159" t="n"/>
      <c r="DC769" s="160" t="n"/>
    </row>
    <row r="770" ht="15.75" customHeight="1">
      <c r="CQ770" s="159" t="n"/>
      <c r="DC770" s="160" t="n"/>
    </row>
    <row r="771" ht="15.75" customHeight="1">
      <c r="CQ771" s="159" t="n"/>
      <c r="DC771" s="160" t="n"/>
    </row>
    <row r="772" ht="15.75" customHeight="1">
      <c r="CQ772" s="159" t="n"/>
      <c r="DC772" s="160" t="n"/>
    </row>
    <row r="773" ht="15.75" customHeight="1">
      <c r="CQ773" s="159" t="n"/>
      <c r="DC773" s="160" t="n"/>
    </row>
    <row r="774" ht="15.75" customHeight="1">
      <c r="CQ774" s="159" t="n"/>
      <c r="DC774" s="160" t="n"/>
    </row>
    <row r="775" ht="15.75" customHeight="1">
      <c r="CQ775" s="159" t="n"/>
      <c r="DC775" s="160" t="n"/>
    </row>
    <row r="776" ht="15.75" customHeight="1">
      <c r="CQ776" s="159" t="n"/>
      <c r="DC776" s="160" t="n"/>
    </row>
    <row r="777" ht="15.75" customHeight="1">
      <c r="CQ777" s="159" t="n"/>
      <c r="DC777" s="160" t="n"/>
    </row>
    <row r="778" ht="15.75" customHeight="1">
      <c r="CQ778" s="159" t="n"/>
      <c r="DC778" s="160" t="n"/>
    </row>
    <row r="779" ht="15.75" customHeight="1">
      <c r="CQ779" s="159" t="n"/>
      <c r="DC779" s="160" t="n"/>
    </row>
    <row r="780" ht="15.75" customHeight="1">
      <c r="CQ780" s="159" t="n"/>
      <c r="DC780" s="160" t="n"/>
    </row>
    <row r="781" ht="15.75" customHeight="1">
      <c r="CQ781" s="159" t="n"/>
      <c r="DC781" s="160" t="n"/>
    </row>
    <row r="782" ht="15.75" customHeight="1">
      <c r="CQ782" s="159" t="n"/>
      <c r="DC782" s="160" t="n"/>
    </row>
    <row r="783" ht="15.75" customHeight="1">
      <c r="CQ783" s="159" t="n"/>
      <c r="DC783" s="160" t="n"/>
    </row>
    <row r="784" ht="15.75" customHeight="1">
      <c r="CQ784" s="159" t="n"/>
      <c r="DC784" s="160" t="n"/>
    </row>
    <row r="785" ht="15.75" customHeight="1">
      <c r="CQ785" s="159" t="n"/>
      <c r="DC785" s="160" t="n"/>
    </row>
    <row r="786" ht="15.75" customHeight="1">
      <c r="CQ786" s="159" t="n"/>
      <c r="DC786" s="160" t="n"/>
    </row>
    <row r="787" ht="15.75" customHeight="1">
      <c r="CQ787" s="159" t="n"/>
      <c r="DC787" s="160" t="n"/>
    </row>
    <row r="788" ht="15.75" customHeight="1">
      <c r="CQ788" s="159" t="n"/>
      <c r="DC788" s="160" t="n"/>
    </row>
    <row r="789" ht="15.75" customHeight="1">
      <c r="CQ789" s="159" t="n"/>
      <c r="DC789" s="160" t="n"/>
    </row>
    <row r="790" ht="15.75" customHeight="1">
      <c r="CQ790" s="159" t="n"/>
      <c r="DC790" s="160" t="n"/>
    </row>
    <row r="791" ht="15.75" customHeight="1">
      <c r="CQ791" s="159" t="n"/>
      <c r="DC791" s="160" t="n"/>
    </row>
    <row r="792" ht="15.75" customHeight="1">
      <c r="CQ792" s="159" t="n"/>
      <c r="DC792" s="160" t="n"/>
    </row>
    <row r="793" ht="15.75" customHeight="1">
      <c r="CQ793" s="159" t="n"/>
      <c r="DC793" s="160" t="n"/>
    </row>
    <row r="794" ht="15.75" customHeight="1">
      <c r="CQ794" s="159" t="n"/>
      <c r="DC794" s="160" t="n"/>
    </row>
    <row r="795" ht="15.75" customHeight="1">
      <c r="CQ795" s="159" t="n"/>
      <c r="DC795" s="160" t="n"/>
    </row>
    <row r="796" ht="15.75" customHeight="1">
      <c r="CQ796" s="159" t="n"/>
      <c r="DC796" s="160" t="n"/>
    </row>
    <row r="797" ht="15.75" customHeight="1">
      <c r="CQ797" s="159" t="n"/>
      <c r="DC797" s="160" t="n"/>
    </row>
    <row r="798" ht="15.75" customHeight="1">
      <c r="CQ798" s="159" t="n"/>
      <c r="DC798" s="160" t="n"/>
    </row>
    <row r="799" ht="15.75" customHeight="1">
      <c r="CQ799" s="159" t="n"/>
      <c r="DC799" s="160" t="n"/>
    </row>
    <row r="800" ht="15.75" customHeight="1">
      <c r="CQ800" s="159" t="n"/>
      <c r="DC800" s="160" t="n"/>
    </row>
    <row r="801" ht="15.75" customHeight="1">
      <c r="CQ801" s="159" t="n"/>
      <c r="DC801" s="160" t="n"/>
    </row>
    <row r="802" ht="15.75" customHeight="1">
      <c r="CQ802" s="159" t="n"/>
      <c r="DC802" s="160" t="n"/>
    </row>
    <row r="803" ht="15.75" customHeight="1">
      <c r="CQ803" s="159" t="n"/>
      <c r="DC803" s="160" t="n"/>
    </row>
    <row r="804" ht="15.75" customHeight="1">
      <c r="CQ804" s="159" t="n"/>
      <c r="DC804" s="160" t="n"/>
    </row>
    <row r="805" ht="15.75" customHeight="1">
      <c r="CQ805" s="159" t="n"/>
      <c r="DC805" s="160" t="n"/>
    </row>
    <row r="806" ht="15.75" customHeight="1">
      <c r="CQ806" s="159" t="n"/>
      <c r="DC806" s="160" t="n"/>
    </row>
    <row r="807" ht="15.75" customHeight="1">
      <c r="CQ807" s="159" t="n"/>
      <c r="DC807" s="160" t="n"/>
    </row>
    <row r="808" ht="15.75" customHeight="1">
      <c r="CQ808" s="159" t="n"/>
      <c r="DC808" s="160" t="n"/>
    </row>
    <row r="809" ht="15.75" customHeight="1">
      <c r="CQ809" s="159" t="n"/>
      <c r="DC809" s="160" t="n"/>
    </row>
    <row r="810" ht="15.75" customHeight="1">
      <c r="CQ810" s="159" t="n"/>
      <c r="DC810" s="160" t="n"/>
    </row>
    <row r="811" ht="15.75" customHeight="1">
      <c r="CQ811" s="159" t="n"/>
      <c r="DC811" s="160" t="n"/>
    </row>
    <row r="812" ht="15.75" customHeight="1">
      <c r="CQ812" s="159" t="n"/>
      <c r="DC812" s="160" t="n"/>
    </row>
    <row r="813" ht="15.75" customHeight="1">
      <c r="CQ813" s="159" t="n"/>
      <c r="DC813" s="160" t="n"/>
    </row>
    <row r="814" ht="15.75" customHeight="1">
      <c r="CQ814" s="159" t="n"/>
      <c r="DC814" s="160" t="n"/>
    </row>
    <row r="815" ht="15.75" customHeight="1">
      <c r="CQ815" s="159" t="n"/>
      <c r="DC815" s="160" t="n"/>
    </row>
    <row r="816" ht="15.75" customHeight="1">
      <c r="CQ816" s="159" t="n"/>
      <c r="DC816" s="160" t="n"/>
    </row>
    <row r="817" ht="15.75" customHeight="1">
      <c r="CQ817" s="159" t="n"/>
      <c r="DC817" s="160" t="n"/>
    </row>
    <row r="818" ht="15.75" customHeight="1">
      <c r="CQ818" s="159" t="n"/>
      <c r="DC818" s="160" t="n"/>
    </row>
    <row r="819" ht="15.75" customHeight="1">
      <c r="CQ819" s="159" t="n"/>
      <c r="DC819" s="160" t="n"/>
    </row>
    <row r="820" ht="15.75" customHeight="1">
      <c r="CQ820" s="159" t="n"/>
      <c r="DC820" s="160" t="n"/>
    </row>
    <row r="821" ht="15.75" customHeight="1">
      <c r="CQ821" s="159" t="n"/>
      <c r="DC821" s="160" t="n"/>
    </row>
    <row r="822" ht="15.75" customHeight="1">
      <c r="CQ822" s="159" t="n"/>
      <c r="DC822" s="160" t="n"/>
    </row>
    <row r="823" ht="15.75" customHeight="1">
      <c r="CQ823" s="159" t="n"/>
      <c r="DC823" s="160" t="n"/>
    </row>
    <row r="824" ht="15.75" customHeight="1">
      <c r="CQ824" s="159" t="n"/>
      <c r="DC824" s="160" t="n"/>
    </row>
    <row r="825" ht="15.75" customHeight="1">
      <c r="CQ825" s="159" t="n"/>
      <c r="DC825" s="160" t="n"/>
    </row>
    <row r="826" ht="15.75" customHeight="1">
      <c r="CQ826" s="159" t="n"/>
      <c r="DC826" s="160" t="n"/>
    </row>
    <row r="827" ht="15.75" customHeight="1">
      <c r="CQ827" s="159" t="n"/>
      <c r="DC827" s="160" t="n"/>
    </row>
    <row r="828" ht="15.75" customHeight="1">
      <c r="CQ828" s="159" t="n"/>
      <c r="DC828" s="160" t="n"/>
    </row>
    <row r="829" ht="15.75" customHeight="1">
      <c r="CQ829" s="159" t="n"/>
      <c r="DC829" s="160" t="n"/>
    </row>
    <row r="830" ht="15.75" customHeight="1">
      <c r="CQ830" s="159" t="n"/>
      <c r="DC830" s="160" t="n"/>
    </row>
    <row r="831" ht="15.75" customHeight="1">
      <c r="CQ831" s="159" t="n"/>
      <c r="DC831" s="160" t="n"/>
    </row>
    <row r="832" ht="15.75" customHeight="1">
      <c r="CQ832" s="159" t="n"/>
      <c r="DC832" s="160" t="n"/>
    </row>
    <row r="833" ht="15.75" customHeight="1">
      <c r="CQ833" s="159" t="n"/>
      <c r="DC833" s="160" t="n"/>
    </row>
    <row r="834" ht="15.75" customHeight="1">
      <c r="CQ834" s="159" t="n"/>
      <c r="DC834" s="160" t="n"/>
    </row>
    <row r="835" ht="15.75" customHeight="1">
      <c r="CQ835" s="159" t="n"/>
      <c r="DC835" s="160" t="n"/>
    </row>
    <row r="836" ht="15.75" customHeight="1">
      <c r="CQ836" s="159" t="n"/>
      <c r="DC836" s="160" t="n"/>
    </row>
    <row r="837" ht="15.75" customHeight="1">
      <c r="CQ837" s="159" t="n"/>
      <c r="DC837" s="160" t="n"/>
    </row>
    <row r="838" ht="15.75" customHeight="1">
      <c r="CQ838" s="159" t="n"/>
      <c r="DC838" s="160" t="n"/>
    </row>
    <row r="839" ht="15.75" customHeight="1">
      <c r="CQ839" s="159" t="n"/>
      <c r="DC839" s="160" t="n"/>
    </row>
    <row r="840" ht="15.75" customHeight="1">
      <c r="CQ840" s="159" t="n"/>
      <c r="DC840" s="160" t="n"/>
    </row>
    <row r="841" ht="15.75" customHeight="1">
      <c r="CQ841" s="159" t="n"/>
      <c r="DC841" s="160" t="n"/>
    </row>
    <row r="842" ht="15.75" customHeight="1">
      <c r="CQ842" s="159" t="n"/>
      <c r="DC842" s="160" t="n"/>
    </row>
    <row r="843" ht="15.75" customHeight="1">
      <c r="CQ843" s="159" t="n"/>
      <c r="DC843" s="160" t="n"/>
    </row>
    <row r="844" ht="15.75" customHeight="1">
      <c r="CQ844" s="159" t="n"/>
      <c r="DC844" s="160" t="n"/>
    </row>
    <row r="845" ht="15.75" customHeight="1">
      <c r="CQ845" s="159" t="n"/>
      <c r="DC845" s="160" t="n"/>
    </row>
    <row r="846" ht="15.75" customHeight="1">
      <c r="CQ846" s="159" t="n"/>
      <c r="DC846" s="160" t="n"/>
    </row>
    <row r="847" ht="15.75" customHeight="1">
      <c r="CQ847" s="159" t="n"/>
      <c r="DC847" s="160" t="n"/>
    </row>
    <row r="848" ht="15.75" customHeight="1">
      <c r="CQ848" s="159" t="n"/>
      <c r="DC848" s="160" t="n"/>
    </row>
    <row r="849" ht="15.75" customHeight="1">
      <c r="CQ849" s="159" t="n"/>
      <c r="DC849" s="160" t="n"/>
    </row>
    <row r="850" ht="15.75" customHeight="1">
      <c r="CQ850" s="159" t="n"/>
      <c r="DC850" s="160" t="n"/>
    </row>
    <row r="851" ht="15.75" customHeight="1">
      <c r="CQ851" s="159" t="n"/>
      <c r="DC851" s="160" t="n"/>
    </row>
    <row r="852" ht="15.75" customHeight="1">
      <c r="CQ852" s="159" t="n"/>
      <c r="DC852" s="160" t="n"/>
    </row>
    <row r="853" ht="15.75" customHeight="1">
      <c r="CQ853" s="159" t="n"/>
      <c r="DC853" s="160" t="n"/>
    </row>
    <row r="854" ht="15.75" customHeight="1">
      <c r="CQ854" s="159" t="n"/>
      <c r="DC854" s="160" t="n"/>
    </row>
    <row r="855" ht="15.75" customHeight="1">
      <c r="CQ855" s="159" t="n"/>
      <c r="DC855" s="160" t="n"/>
    </row>
    <row r="856" ht="15.75" customHeight="1">
      <c r="CQ856" s="159" t="n"/>
      <c r="DC856" s="160" t="n"/>
    </row>
    <row r="857" ht="15.75" customHeight="1">
      <c r="CQ857" s="159" t="n"/>
      <c r="DC857" s="160" t="n"/>
    </row>
    <row r="858" ht="15.75" customHeight="1">
      <c r="CQ858" s="159" t="n"/>
      <c r="DC858" s="160" t="n"/>
    </row>
    <row r="859" ht="15.75" customHeight="1">
      <c r="CQ859" s="159" t="n"/>
      <c r="DC859" s="160" t="n"/>
    </row>
    <row r="860" ht="15.75" customHeight="1">
      <c r="CQ860" s="159" t="n"/>
      <c r="DC860" s="160" t="n"/>
    </row>
    <row r="861" ht="15.75" customHeight="1">
      <c r="CQ861" s="159" t="n"/>
      <c r="DC861" s="160" t="n"/>
    </row>
    <row r="862" ht="15.75" customHeight="1">
      <c r="CQ862" s="159" t="n"/>
      <c r="DC862" s="160" t="n"/>
    </row>
    <row r="863" ht="15.75" customHeight="1">
      <c r="CQ863" s="159" t="n"/>
      <c r="DC863" s="160" t="n"/>
    </row>
    <row r="864" ht="15.75" customHeight="1">
      <c r="CQ864" s="159" t="n"/>
      <c r="DC864" s="160" t="n"/>
    </row>
    <row r="865" ht="15.75" customHeight="1">
      <c r="CQ865" s="159" t="n"/>
      <c r="DC865" s="160" t="n"/>
    </row>
    <row r="866" ht="15.75" customHeight="1">
      <c r="CQ866" s="159" t="n"/>
      <c r="DC866" s="160" t="n"/>
    </row>
    <row r="867" ht="15.75" customHeight="1">
      <c r="CQ867" s="159" t="n"/>
      <c r="DC867" s="160" t="n"/>
    </row>
    <row r="868" ht="15.75" customHeight="1">
      <c r="CQ868" s="159" t="n"/>
      <c r="DC868" s="160" t="n"/>
    </row>
    <row r="869" ht="15.75" customHeight="1">
      <c r="CQ869" s="159" t="n"/>
      <c r="DC869" s="160" t="n"/>
    </row>
    <row r="870" ht="15.75" customHeight="1">
      <c r="CQ870" s="159" t="n"/>
      <c r="DC870" s="160" t="n"/>
    </row>
    <row r="871" ht="15.75" customHeight="1">
      <c r="CQ871" s="159" t="n"/>
      <c r="DC871" s="160" t="n"/>
    </row>
    <row r="872" ht="15.75" customHeight="1">
      <c r="CQ872" s="159" t="n"/>
      <c r="DC872" s="160" t="n"/>
    </row>
    <row r="873" ht="15.75" customHeight="1">
      <c r="CQ873" s="159" t="n"/>
      <c r="DC873" s="160" t="n"/>
    </row>
    <row r="874" ht="15.75" customHeight="1">
      <c r="CQ874" s="159" t="n"/>
      <c r="DC874" s="160" t="n"/>
    </row>
    <row r="875" ht="15.75" customHeight="1">
      <c r="CQ875" s="159" t="n"/>
      <c r="DC875" s="160" t="n"/>
    </row>
    <row r="876" ht="15.75" customHeight="1">
      <c r="CQ876" s="159" t="n"/>
      <c r="DC876" s="160" t="n"/>
    </row>
    <row r="877" ht="15.75" customHeight="1">
      <c r="CQ877" s="159" t="n"/>
      <c r="DC877" s="160" t="n"/>
    </row>
    <row r="878" ht="15.75" customHeight="1">
      <c r="CQ878" s="159" t="n"/>
      <c r="DC878" s="160" t="n"/>
    </row>
    <row r="879" ht="15.75" customHeight="1">
      <c r="CQ879" s="159" t="n"/>
      <c r="DC879" s="160" t="n"/>
    </row>
    <row r="880" ht="15.75" customHeight="1">
      <c r="CQ880" s="159" t="n"/>
      <c r="DC880" s="160" t="n"/>
    </row>
    <row r="881" ht="15.75" customHeight="1">
      <c r="CQ881" s="159" t="n"/>
      <c r="DC881" s="160" t="n"/>
    </row>
    <row r="882" ht="15.75" customHeight="1">
      <c r="CQ882" s="159" t="n"/>
      <c r="DC882" s="160" t="n"/>
    </row>
    <row r="883" ht="15.75" customHeight="1">
      <c r="CQ883" s="159" t="n"/>
      <c r="DC883" s="160" t="n"/>
    </row>
    <row r="884" ht="15.75" customHeight="1">
      <c r="CQ884" s="159" t="n"/>
      <c r="DC884" s="160" t="n"/>
    </row>
    <row r="885" ht="15.75" customHeight="1">
      <c r="CQ885" s="159" t="n"/>
      <c r="DC885" s="160" t="n"/>
    </row>
    <row r="886" ht="15.75" customHeight="1">
      <c r="CQ886" s="159" t="n"/>
      <c r="DC886" s="160" t="n"/>
    </row>
    <row r="887" ht="15.75" customHeight="1">
      <c r="CQ887" s="159" t="n"/>
      <c r="DC887" s="160" t="n"/>
    </row>
    <row r="888" ht="15.75" customHeight="1">
      <c r="CQ888" s="159" t="n"/>
      <c r="DC888" s="160" t="n"/>
    </row>
    <row r="889" ht="15.75" customHeight="1">
      <c r="CQ889" s="159" t="n"/>
      <c r="DC889" s="160" t="n"/>
    </row>
    <row r="890" ht="15.75" customHeight="1">
      <c r="CQ890" s="159" t="n"/>
      <c r="DC890" s="160" t="n"/>
    </row>
    <row r="891" ht="15.75" customHeight="1">
      <c r="CQ891" s="159" t="n"/>
      <c r="DC891" s="160" t="n"/>
    </row>
    <row r="892" ht="15.75" customHeight="1">
      <c r="CQ892" s="159" t="n"/>
      <c r="DC892" s="160" t="n"/>
    </row>
    <row r="893" ht="15.75" customHeight="1">
      <c r="CQ893" s="159" t="n"/>
      <c r="DC893" s="160" t="n"/>
    </row>
    <row r="894" ht="15.75" customHeight="1">
      <c r="CQ894" s="159" t="n"/>
      <c r="DC894" s="160" t="n"/>
    </row>
    <row r="895" ht="15.75" customHeight="1">
      <c r="CQ895" s="159" t="n"/>
      <c r="DC895" s="160" t="n"/>
    </row>
    <row r="896" ht="15.75" customHeight="1">
      <c r="CQ896" s="159" t="n"/>
      <c r="DC896" s="160" t="n"/>
    </row>
    <row r="897" ht="15.75" customHeight="1">
      <c r="CQ897" s="159" t="n"/>
      <c r="DC897" s="160" t="n"/>
    </row>
    <row r="898" ht="15.75" customHeight="1">
      <c r="CQ898" s="159" t="n"/>
      <c r="DC898" s="160" t="n"/>
    </row>
    <row r="899" ht="15.75" customHeight="1">
      <c r="CQ899" s="159" t="n"/>
      <c r="DC899" s="160" t="n"/>
    </row>
    <row r="900" ht="15.75" customHeight="1">
      <c r="CQ900" s="159" t="n"/>
      <c r="DC900" s="160" t="n"/>
    </row>
    <row r="901" ht="15.75" customHeight="1">
      <c r="CQ901" s="159" t="n"/>
      <c r="DC901" s="160" t="n"/>
    </row>
    <row r="902" ht="15.75" customHeight="1">
      <c r="CQ902" s="159" t="n"/>
      <c r="DC902" s="160" t="n"/>
    </row>
    <row r="903" ht="15.75" customHeight="1">
      <c r="CQ903" s="159" t="n"/>
      <c r="DC903" s="160" t="n"/>
    </row>
    <row r="904" ht="15.75" customHeight="1">
      <c r="CQ904" s="159" t="n"/>
      <c r="DC904" s="160" t="n"/>
    </row>
    <row r="905" ht="15.75" customHeight="1">
      <c r="CQ905" s="159" t="n"/>
      <c r="DC905" s="160" t="n"/>
    </row>
    <row r="906" ht="15.75" customHeight="1">
      <c r="CQ906" s="159" t="n"/>
      <c r="DC906" s="160" t="n"/>
    </row>
    <row r="907" ht="15.75" customHeight="1">
      <c r="CQ907" s="159" t="n"/>
      <c r="DC907" s="160" t="n"/>
    </row>
    <row r="908" ht="15.75" customHeight="1">
      <c r="CQ908" s="159" t="n"/>
      <c r="DC908" s="160" t="n"/>
    </row>
    <row r="909" ht="15.75" customHeight="1">
      <c r="CQ909" s="159" t="n"/>
      <c r="DC909" s="160" t="n"/>
    </row>
    <row r="910" ht="15.75" customHeight="1">
      <c r="CQ910" s="159" t="n"/>
      <c r="DC910" s="160" t="n"/>
    </row>
    <row r="911" ht="15.75" customHeight="1">
      <c r="CQ911" s="159" t="n"/>
      <c r="DC911" s="160" t="n"/>
    </row>
    <row r="912" ht="15.75" customHeight="1">
      <c r="CQ912" s="159" t="n"/>
      <c r="DC912" s="160" t="n"/>
    </row>
    <row r="913" ht="15.75" customHeight="1">
      <c r="CQ913" s="159" t="n"/>
      <c r="DC913" s="160" t="n"/>
    </row>
    <row r="914" ht="15.75" customHeight="1">
      <c r="CQ914" s="159" t="n"/>
      <c r="DC914" s="160" t="n"/>
    </row>
    <row r="915" ht="15.75" customHeight="1">
      <c r="CQ915" s="159" t="n"/>
      <c r="DC915" s="160" t="n"/>
    </row>
    <row r="916" ht="15.75" customHeight="1">
      <c r="CQ916" s="159" t="n"/>
      <c r="DC916" s="160" t="n"/>
    </row>
    <row r="917" ht="15.75" customHeight="1">
      <c r="CQ917" s="159" t="n"/>
      <c r="DC917" s="160" t="n"/>
    </row>
    <row r="918" ht="15.75" customHeight="1">
      <c r="CQ918" s="159" t="n"/>
      <c r="DC918" s="160" t="n"/>
    </row>
    <row r="919" ht="15.75" customHeight="1">
      <c r="CQ919" s="159" t="n"/>
      <c r="DC919" s="160" t="n"/>
    </row>
    <row r="920" ht="15.75" customHeight="1">
      <c r="CQ920" s="159" t="n"/>
      <c r="DC920" s="160" t="n"/>
    </row>
    <row r="921" ht="15.75" customHeight="1">
      <c r="CQ921" s="159" t="n"/>
      <c r="DC921" s="160" t="n"/>
    </row>
    <row r="922" ht="15.75" customHeight="1">
      <c r="CQ922" s="159" t="n"/>
      <c r="DC922" s="160" t="n"/>
    </row>
    <row r="923" ht="15.75" customHeight="1">
      <c r="CQ923" s="159" t="n"/>
      <c r="DC923" s="160" t="n"/>
    </row>
    <row r="924" ht="15.75" customHeight="1">
      <c r="CQ924" s="159" t="n"/>
      <c r="DC924" s="160" t="n"/>
    </row>
    <row r="925" ht="15.75" customHeight="1">
      <c r="CQ925" s="159" t="n"/>
      <c r="DC925" s="160" t="n"/>
    </row>
    <row r="926" ht="15.75" customHeight="1">
      <c r="CQ926" s="159" t="n"/>
      <c r="DC926" s="160" t="n"/>
    </row>
    <row r="927" ht="15.75" customHeight="1">
      <c r="CQ927" s="159" t="n"/>
      <c r="DC927" s="160" t="n"/>
    </row>
    <row r="928" ht="15.75" customHeight="1">
      <c r="CQ928" s="159" t="n"/>
      <c r="DC928" s="160" t="n"/>
    </row>
    <row r="929" ht="15.75" customHeight="1">
      <c r="CQ929" s="159" t="n"/>
      <c r="DC929" s="160" t="n"/>
    </row>
    <row r="930" ht="15.75" customHeight="1">
      <c r="CQ930" s="159" t="n"/>
      <c r="DC930" s="160" t="n"/>
    </row>
    <row r="931" ht="15.75" customHeight="1">
      <c r="CQ931" s="159" t="n"/>
      <c r="DC931" s="160" t="n"/>
    </row>
    <row r="932" ht="15.75" customHeight="1">
      <c r="CQ932" s="159" t="n"/>
      <c r="DC932" s="160" t="n"/>
    </row>
    <row r="933" ht="15.75" customHeight="1">
      <c r="CQ933" s="159" t="n"/>
      <c r="DC933" s="160" t="n"/>
    </row>
    <row r="934" ht="15.75" customHeight="1">
      <c r="CQ934" s="159" t="n"/>
      <c r="DC934" s="160" t="n"/>
    </row>
    <row r="935" ht="15.75" customHeight="1">
      <c r="CQ935" s="159" t="n"/>
      <c r="DC935" s="160" t="n"/>
    </row>
    <row r="936" ht="15.75" customHeight="1">
      <c r="CQ936" s="159" t="n"/>
      <c r="DC936" s="160" t="n"/>
    </row>
    <row r="937" ht="15.75" customHeight="1">
      <c r="CQ937" s="159" t="n"/>
      <c r="DC937" s="160" t="n"/>
    </row>
    <row r="938" ht="15.75" customHeight="1">
      <c r="CQ938" s="159" t="n"/>
      <c r="DC938" s="160" t="n"/>
    </row>
    <row r="939" ht="15.75" customHeight="1">
      <c r="CQ939" s="159" t="n"/>
      <c r="DC939" s="160" t="n"/>
    </row>
    <row r="940" ht="15.75" customHeight="1">
      <c r="CQ940" s="159" t="n"/>
      <c r="DC940" s="160" t="n"/>
    </row>
    <row r="941" ht="15.75" customHeight="1">
      <c r="CQ941" s="159" t="n"/>
      <c r="DC941" s="160" t="n"/>
    </row>
    <row r="942" ht="15.75" customHeight="1">
      <c r="CQ942" s="159" t="n"/>
      <c r="DC942" s="160" t="n"/>
    </row>
    <row r="943" ht="15.75" customHeight="1">
      <c r="CQ943" s="159" t="n"/>
      <c r="DC943" s="160" t="n"/>
    </row>
    <row r="944" ht="15.75" customHeight="1">
      <c r="CQ944" s="159" t="n"/>
      <c r="DC944" s="160" t="n"/>
    </row>
    <row r="945" ht="15.75" customHeight="1">
      <c r="CQ945" s="159" t="n"/>
      <c r="DC945" s="160" t="n"/>
    </row>
    <row r="946" ht="15.75" customHeight="1">
      <c r="CQ946" s="159" t="n"/>
      <c r="DC946" s="160" t="n"/>
    </row>
    <row r="947" ht="15.75" customHeight="1">
      <c r="CQ947" s="159" t="n"/>
      <c r="DC947" s="160" t="n"/>
    </row>
    <row r="948" ht="15.75" customHeight="1">
      <c r="CQ948" s="159" t="n"/>
      <c r="DC948" s="160" t="n"/>
    </row>
    <row r="949" ht="15.75" customHeight="1">
      <c r="CQ949" s="159" t="n"/>
      <c r="DC949" s="160" t="n"/>
    </row>
    <row r="950" ht="15.75" customHeight="1">
      <c r="CQ950" s="159" t="n"/>
      <c r="DC950" s="160" t="n"/>
    </row>
    <row r="951" ht="15.75" customHeight="1">
      <c r="CQ951" s="159" t="n"/>
      <c r="DC951" s="160" t="n"/>
    </row>
    <row r="952" ht="15.75" customHeight="1">
      <c r="CQ952" s="159" t="n"/>
      <c r="DC952" s="160" t="n"/>
    </row>
    <row r="953" ht="15.75" customHeight="1">
      <c r="CQ953" s="159" t="n"/>
      <c r="DC953" s="160" t="n"/>
    </row>
    <row r="954" ht="15.75" customHeight="1">
      <c r="CQ954" s="159" t="n"/>
      <c r="DC954" s="160" t="n"/>
    </row>
    <row r="955" ht="15.75" customHeight="1">
      <c r="CQ955" s="159" t="n"/>
      <c r="DC955" s="160" t="n"/>
    </row>
    <row r="956" ht="15.75" customHeight="1">
      <c r="CQ956" s="159" t="n"/>
      <c r="DC956" s="160" t="n"/>
    </row>
    <row r="957" ht="15.75" customHeight="1">
      <c r="CQ957" s="159" t="n"/>
      <c r="DC957" s="160" t="n"/>
    </row>
    <row r="958" ht="15.75" customHeight="1">
      <c r="CQ958" s="159" t="n"/>
      <c r="DC958" s="160" t="n"/>
    </row>
    <row r="959" ht="15.75" customHeight="1">
      <c r="CQ959" s="159" t="n"/>
      <c r="DC959" s="160" t="n"/>
    </row>
    <row r="960" ht="15.75" customHeight="1">
      <c r="CQ960" s="159" t="n"/>
      <c r="DC960" s="160" t="n"/>
    </row>
    <row r="961" ht="15.75" customHeight="1">
      <c r="CQ961" s="159" t="n"/>
      <c r="DC961" s="160" t="n"/>
    </row>
    <row r="962" ht="15.75" customHeight="1">
      <c r="CQ962" s="159" t="n"/>
      <c r="DC962" s="160" t="n"/>
    </row>
    <row r="963" ht="15.75" customHeight="1">
      <c r="CQ963" s="159" t="n"/>
      <c r="DC963" s="160" t="n"/>
    </row>
    <row r="964" ht="15.75" customHeight="1">
      <c r="CQ964" s="159" t="n"/>
      <c r="DC964" s="160" t="n"/>
    </row>
    <row r="965" ht="15.75" customHeight="1">
      <c r="CQ965" s="159" t="n"/>
      <c r="DC965" s="160" t="n"/>
    </row>
    <row r="966" ht="15.75" customHeight="1">
      <c r="CQ966" s="159" t="n"/>
      <c r="DC966" s="160" t="n"/>
    </row>
    <row r="967" ht="15.75" customHeight="1">
      <c r="CQ967" s="159" t="n"/>
      <c r="DC967" s="160" t="n"/>
    </row>
    <row r="968" ht="15.75" customHeight="1">
      <c r="CQ968" s="159" t="n"/>
      <c r="DC968" s="160" t="n"/>
    </row>
    <row r="969" ht="15.75" customHeight="1">
      <c r="CQ969" s="159" t="n"/>
      <c r="DC969" s="160" t="n"/>
    </row>
    <row r="970" ht="15.75" customHeight="1">
      <c r="CQ970" s="159" t="n"/>
      <c r="DC970" s="160" t="n"/>
    </row>
    <row r="971" ht="15.75" customHeight="1">
      <c r="CQ971" s="159" t="n"/>
      <c r="DC971" s="160" t="n"/>
    </row>
    <row r="972" ht="15.75" customHeight="1">
      <c r="CQ972" s="159" t="n"/>
      <c r="DC972" s="160" t="n"/>
    </row>
    <row r="973" ht="15.75" customHeight="1">
      <c r="CQ973" s="159" t="n"/>
      <c r="DC973" s="160" t="n"/>
    </row>
    <row r="974" ht="15.75" customHeight="1">
      <c r="CQ974" s="159" t="n"/>
      <c r="DC974" s="160" t="n"/>
    </row>
    <row r="975" ht="15.75" customHeight="1">
      <c r="CQ975" s="159" t="n"/>
      <c r="DC975" s="160" t="n"/>
    </row>
    <row r="976" ht="15.75" customHeight="1">
      <c r="CQ976" s="159" t="n"/>
      <c r="DC976" s="160" t="n"/>
    </row>
    <row r="977" ht="15.75" customHeight="1">
      <c r="CQ977" s="159" t="n"/>
      <c r="DC977" s="160" t="n"/>
    </row>
    <row r="978" ht="15.75" customHeight="1">
      <c r="CQ978" s="159" t="n"/>
      <c r="DC978" s="160" t="n"/>
    </row>
    <row r="979" ht="15.75" customHeight="1">
      <c r="CQ979" s="159" t="n"/>
      <c r="DC979" s="160" t="n"/>
    </row>
    <row r="980" ht="15.75" customHeight="1">
      <c r="CQ980" s="159" t="n"/>
      <c r="DC980" s="160" t="n"/>
    </row>
    <row r="981" ht="15.75" customHeight="1">
      <c r="CQ981" s="159" t="n"/>
      <c r="DC981" s="160" t="n"/>
    </row>
    <row r="982" ht="15.75" customHeight="1">
      <c r="CQ982" s="159" t="n"/>
      <c r="DC982" s="160" t="n"/>
    </row>
    <row r="983" ht="15.75" customHeight="1">
      <c r="CQ983" s="159" t="n"/>
      <c r="DC983" s="160" t="n"/>
    </row>
    <row r="984" ht="15.75" customHeight="1">
      <c r="CQ984" s="159" t="n"/>
      <c r="DC984" s="160" t="n"/>
    </row>
    <row r="985" ht="15.75" customHeight="1">
      <c r="CQ985" s="159" t="n"/>
      <c r="DC985" s="160" t="n"/>
    </row>
    <row r="986" ht="15.75" customHeight="1">
      <c r="CQ986" s="159" t="n"/>
      <c r="DC986" s="160" t="n"/>
    </row>
    <row r="987" ht="15.75" customHeight="1">
      <c r="CQ987" s="159" t="n"/>
      <c r="DC987" s="160" t="n"/>
    </row>
    <row r="988" ht="15.75" customHeight="1">
      <c r="CQ988" s="159" t="n"/>
      <c r="DC988" s="160" t="n"/>
    </row>
    <row r="989" ht="15.75" customHeight="1">
      <c r="CQ989" s="159" t="n"/>
      <c r="DC989" s="160" t="n"/>
    </row>
    <row r="990" ht="15.75" customHeight="1">
      <c r="CQ990" s="159" t="n"/>
      <c r="DC990" s="160" t="n"/>
    </row>
    <row r="991" ht="15.75" customHeight="1">
      <c r="CQ991" s="159" t="n"/>
      <c r="DC991" s="160" t="n"/>
    </row>
    <row r="992" ht="15.75" customHeight="1">
      <c r="CQ992" s="159" t="n"/>
      <c r="DC992" s="160" t="n"/>
    </row>
    <row r="993" ht="15.75" customHeight="1">
      <c r="CQ993" s="159" t="n"/>
      <c r="DC993" s="160" t="n"/>
    </row>
    <row r="994" ht="15.75" customHeight="1">
      <c r="CQ994" s="159" t="n"/>
      <c r="DC994" s="160" t="n"/>
    </row>
    <row r="995" ht="15.75" customHeight="1">
      <c r="CQ995" s="159" t="n"/>
      <c r="DC995" s="160" t="n"/>
    </row>
    <row r="996" ht="15.75" customHeight="1">
      <c r="CQ996" s="159" t="n"/>
      <c r="DC996" s="160" t="n"/>
    </row>
    <row r="997" ht="15.75" customHeight="1">
      <c r="CQ997" s="159" t="n"/>
      <c r="DC997" s="160" t="n"/>
    </row>
    <row r="998" ht="15.75" customHeight="1">
      <c r="CQ998" s="159" t="n"/>
      <c r="DC998" s="160" t="n"/>
    </row>
    <row r="999" ht="15.75" customHeight="1">
      <c r="CQ999" s="159" t="n"/>
      <c r="DC999" s="160" t="n"/>
    </row>
    <row r="1000" ht="15.75" customHeight="1">
      <c r="CQ1000" s="159" t="n"/>
      <c r="DC1000" s="160" t="n"/>
    </row>
  </sheetData>
  <pageMargins left="0.7" right="0.7" top="0.75" bottom="0.75" header="0" footer="0"/>
  <pageSetup orientation="landscape" scale="100" fitToHeight="1" fitToWidth="1" firstPageNumber="1" useFirstPageNumber="1" horizontalDpi="4294967295" verticalDpi="4294967295" copies="1"/>
</worksheet>
</file>

<file path=xl/worksheets/sheet8.xml><?xml version="1.0" encoding="utf-8"?>
<worksheet xmlns="http://schemas.openxmlformats.org/spreadsheetml/2006/main">
  <sheetPr>
    <tabColor rgb="FF00B0F0"/>
    <outlinePr summaryBelow="1" summaryRight="1"/>
    <pageSetUpPr/>
  </sheetPr>
  <dimension ref="A1:K46"/>
  <sheetViews>
    <sheetView zoomScale="100" zoomScaleNormal="100" workbookViewId="0">
      <selection activeCell="A1" sqref="A1"/>
    </sheetView>
  </sheetViews>
  <sheetFormatPr baseColWidth="8" defaultColWidth="12.6640625" defaultRowHeight="15" outlineLevelRow="0" outlineLevelCol="0"/>
  <cols>
    <col width="50.83203125" customWidth="1" min="1" max="1"/>
    <col width="10" customWidth="1" min="2" max="9"/>
    <col width="11.6640625" customWidth="1" min="10" max="10"/>
    <col width="9.6640625" customWidth="1" min="11" max="11"/>
    <col width="10.6640625" customWidth="1" min="12" max="26"/>
  </cols>
  <sheetData>
    <row r="1" ht="16" customHeight="1">
      <c r="A1" s="123" t="inlineStr">
        <is>
          <t>Estado de resultados</t>
        </is>
      </c>
      <c r="B1" s="124" t="n">
        <v>44713</v>
      </c>
      <c r="C1" s="124" t="n">
        <v>44805</v>
      </c>
      <c r="D1" s="124" t="n">
        <v>44896</v>
      </c>
      <c r="E1" s="124" t="n">
        <v>44986</v>
      </c>
      <c r="F1" s="124" t="n">
        <v>45078</v>
      </c>
      <c r="G1" s="124" t="n">
        <v>45170</v>
      </c>
      <c r="H1" s="124" t="n">
        <v>45261</v>
      </c>
      <c r="I1" s="124" t="n">
        <v>45352</v>
      </c>
      <c r="J1" s="124" t="n">
        <v>45444</v>
      </c>
      <c r="K1" s="124" t="n">
        <v>45536</v>
      </c>
    </row>
    <row r="2" ht="16" customHeight="1">
      <c r="A2" s="126" t="inlineStr">
        <is>
          <t>Comisiones cobradas</t>
        </is>
      </c>
      <c r="B2" s="127" t="n">
        <v>3031</v>
      </c>
      <c r="C2" s="127" t="n">
        <v>5147</v>
      </c>
      <c r="D2" s="127" t="n">
        <v>7230</v>
      </c>
      <c r="E2" s="127" t="n">
        <v>2199</v>
      </c>
      <c r="F2" s="127" t="n">
        <v>2974</v>
      </c>
      <c r="G2" s="127" t="n">
        <v>4870</v>
      </c>
      <c r="H2" s="127" t="n">
        <v>7076</v>
      </c>
      <c r="I2" s="127" t="n">
        <v>2519</v>
      </c>
      <c r="J2" s="127" t="n">
        <v>5696</v>
      </c>
      <c r="K2" s="127" t="n">
        <v>8874</v>
      </c>
    </row>
    <row r="3" ht="16" customHeight="1">
      <c r="A3" s="126" t="inlineStr">
        <is>
          <t>Comisiones pagadas</t>
        </is>
      </c>
      <c r="B3" s="127" t="n">
        <v>-112</v>
      </c>
      <c r="C3" s="127" t="n">
        <v>-247</v>
      </c>
      <c r="D3" s="127" t="n">
        <v>-322</v>
      </c>
      <c r="E3" s="127" t="n">
        <v>-111</v>
      </c>
      <c r="F3" s="127" t="n">
        <v>-194</v>
      </c>
      <c r="G3" s="127" t="n">
        <v>-346</v>
      </c>
      <c r="H3" s="127" t="n">
        <v>-515</v>
      </c>
      <c r="I3" s="127" t="n">
        <v>-612</v>
      </c>
      <c r="J3" s="127" t="n">
        <v>-1574</v>
      </c>
      <c r="K3" s="127" t="n">
        <v>-2635</v>
      </c>
    </row>
    <row r="4" ht="16" customHeight="1">
      <c r="A4" s="132" t="inlineStr">
        <is>
          <t>Resultado por Servicios</t>
        </is>
      </c>
      <c r="B4" s="133">
        <f>SUM(B2:B3)</f>
        <v/>
      </c>
      <c r="C4" s="133">
        <f>SUM(C2:C3)</f>
        <v/>
      </c>
      <c r="D4" s="133">
        <f>SUM(D2:D3)</f>
        <v/>
      </c>
      <c r="E4" s="133">
        <f>SUM(E2:E3)</f>
        <v/>
      </c>
      <c r="F4" s="133">
        <f>SUM(F2:F3)</f>
        <v/>
      </c>
      <c r="G4" s="133">
        <f>SUM(G2:G3)</f>
        <v/>
      </c>
      <c r="H4" s="133">
        <f>SUM(H2:H3)</f>
        <v/>
      </c>
      <c r="I4" s="133">
        <f>SUM(I2:I3)</f>
        <v/>
      </c>
      <c r="J4" s="133">
        <f>SUM(J2:J3)</f>
        <v/>
      </c>
      <c r="K4" s="133">
        <f>SUM(K2:K3)</f>
        <v/>
      </c>
    </row>
    <row r="5" ht="16" customHeight="1">
      <c r="A5" s="126" t="inlineStr">
        <is>
          <t>Ingresos por intereses</t>
        </is>
      </c>
      <c r="B5" s="127" t="n">
        <v>357</v>
      </c>
      <c r="C5" s="127" t="n">
        <v>656</v>
      </c>
      <c r="D5" s="127" t="n">
        <v>880</v>
      </c>
      <c r="E5" s="127" t="n">
        <v>262</v>
      </c>
      <c r="F5" s="127" t="n">
        <v>699</v>
      </c>
      <c r="G5" s="127" t="n">
        <v>874</v>
      </c>
      <c r="H5" s="127" t="n">
        <v>1256</v>
      </c>
      <c r="I5" s="127" t="n">
        <v>386</v>
      </c>
      <c r="J5" s="127" t="n">
        <v>761</v>
      </c>
      <c r="K5" s="127" t="n">
        <v>1093</v>
      </c>
    </row>
    <row r="6" ht="16" customHeight="1">
      <c r="A6" s="126" t="inlineStr">
        <is>
          <t>Resultado por valuación a valor razonable</t>
        </is>
      </c>
      <c r="B6" s="127" t="n">
        <v>1</v>
      </c>
      <c r="C6" s="127" t="n">
        <v>231</v>
      </c>
      <c r="D6" s="127" t="n">
        <v>263</v>
      </c>
      <c r="E6" s="127" t="n">
        <v>19</v>
      </c>
      <c r="F6" s="127" t="n">
        <v>538</v>
      </c>
      <c r="G6" s="127" t="n">
        <v>1252</v>
      </c>
      <c r="H6" s="127" t="n">
        <v>1282</v>
      </c>
      <c r="I6" s="127" t="n">
        <v>1</v>
      </c>
      <c r="J6" s="127" t="n">
        <v>1</v>
      </c>
      <c r="K6" s="127" t="n">
        <v>1</v>
      </c>
    </row>
    <row r="7" ht="16" customHeight="1">
      <c r="A7" s="126" t="inlineStr">
        <is>
          <t>Gastos por Intereses</t>
        </is>
      </c>
      <c r="B7" s="127" t="n">
        <v>-144</v>
      </c>
      <c r="C7" s="127" t="n">
        <v>-245</v>
      </c>
      <c r="D7" s="127" t="n">
        <v>-245</v>
      </c>
      <c r="E7" s="127" t="n">
        <v>0</v>
      </c>
      <c r="F7" s="127" t="n">
        <v>0</v>
      </c>
      <c r="G7" s="127" t="n">
        <v>0</v>
      </c>
      <c r="H7" s="127" t="n">
        <v>0</v>
      </c>
      <c r="I7" s="127" t="n">
        <v>0</v>
      </c>
      <c r="J7" s="127" t="n">
        <v>0</v>
      </c>
      <c r="K7" s="127" t="n">
        <v>0</v>
      </c>
    </row>
    <row r="8" ht="16" customHeight="1">
      <c r="A8" s="132" t="inlineStr">
        <is>
          <t>Margen Financiero por Intermediación</t>
        </is>
      </c>
      <c r="B8" s="133">
        <f>SUM(B5:B7)+B4</f>
        <v/>
      </c>
      <c r="C8" s="133">
        <f>SUM(C5:C7)+C4</f>
        <v/>
      </c>
      <c r="D8" s="133">
        <f>SUM(D5:D7)+D4</f>
        <v/>
      </c>
      <c r="E8" s="133">
        <f>SUM(E5:E7)+E4</f>
        <v/>
      </c>
      <c r="F8" s="133">
        <f>SUM(F5:F7)+F4</f>
        <v/>
      </c>
      <c r="G8" s="133">
        <f>SUM(G5:G7)+G4</f>
        <v/>
      </c>
      <c r="H8" s="133">
        <f>SUM(H5:H7)+H4</f>
        <v/>
      </c>
      <c r="I8" s="133">
        <f>SUM(I5:I7)+I4</f>
        <v/>
      </c>
      <c r="J8" s="133">
        <f>SUM(J5:J7)+J4</f>
        <v/>
      </c>
      <c r="K8" s="133">
        <f>SUM(K5:K7)+K4</f>
        <v/>
      </c>
    </row>
    <row r="9" ht="16" customHeight="1">
      <c r="A9" s="126" t="inlineStr">
        <is>
          <t>Otros ingresos (egresos) de la operación</t>
        </is>
      </c>
      <c r="B9" s="127" t="n">
        <v>1886</v>
      </c>
      <c r="C9" s="127" t="n">
        <v>1882</v>
      </c>
      <c r="D9" s="127" t="n">
        <v>1597</v>
      </c>
      <c r="E9" s="127" t="n">
        <v>-401</v>
      </c>
      <c r="F9" s="127" t="n">
        <v>-512</v>
      </c>
      <c r="G9" s="127" t="n">
        <v>-565</v>
      </c>
      <c r="H9" s="127" t="n">
        <v>-602</v>
      </c>
      <c r="I9" s="127" t="n">
        <v>67</v>
      </c>
      <c r="J9" s="127" t="n">
        <v>65</v>
      </c>
      <c r="K9" s="127" t="n">
        <v>171</v>
      </c>
    </row>
    <row r="10" ht="16" customHeight="1">
      <c r="A10" s="126" t="inlineStr">
        <is>
          <t>Gastos de Administración y Promoción</t>
        </is>
      </c>
      <c r="B10" s="127" t="n">
        <v>-4616</v>
      </c>
      <c r="C10" s="127" t="n">
        <v>-7689</v>
      </c>
      <c r="D10" s="127" t="n">
        <v>-13731</v>
      </c>
      <c r="E10" s="127" t="n">
        <v>-3446</v>
      </c>
      <c r="F10" s="127" t="n">
        <v>-7176</v>
      </c>
      <c r="G10" s="127" t="n">
        <v>-11329</v>
      </c>
      <c r="H10" s="127" t="n">
        <v>-15660</v>
      </c>
      <c r="I10" s="127" t="n">
        <v>-4272</v>
      </c>
      <c r="J10" s="127" t="n">
        <v>-8109</v>
      </c>
      <c r="K10" s="127" t="n">
        <v>-12211</v>
      </c>
    </row>
    <row r="11" ht="16" customHeight="1">
      <c r="A11" s="126" t="inlineStr">
        <is>
          <t>Impuestos a la utilidad y diferido</t>
        </is>
      </c>
      <c r="B11" s="127" t="n">
        <v>434</v>
      </c>
      <c r="C11" s="127" t="n">
        <v>378</v>
      </c>
      <c r="D11" s="127" t="n">
        <v>449</v>
      </c>
      <c r="E11" s="127" t="n">
        <v>0</v>
      </c>
      <c r="F11" s="127" t="n">
        <v>-154</v>
      </c>
      <c r="G11" s="127" t="n">
        <v>-174</v>
      </c>
      <c r="H11" s="127" t="n">
        <v>-332</v>
      </c>
      <c r="I11" s="127" t="n">
        <v>0</v>
      </c>
      <c r="J11" s="127" t="n">
        <v>0</v>
      </c>
      <c r="K11" s="127" t="n">
        <v>0</v>
      </c>
    </row>
    <row r="12" ht="16" customHeight="1">
      <c r="A12" s="132" t="inlineStr">
        <is>
          <t>Resultado Neto</t>
        </is>
      </c>
      <c r="B12" s="133">
        <f>SUM(B9:B11)+B8</f>
        <v/>
      </c>
      <c r="C12" s="133">
        <f>SUM(C9:C11)+C8</f>
        <v/>
      </c>
      <c r="D12" s="133">
        <f>SUM(D9:D11)+D8</f>
        <v/>
      </c>
      <c r="E12" s="133">
        <f>SUM(E9:E11)+E8</f>
        <v/>
      </c>
      <c r="F12" s="133">
        <f>SUM(F9:F11)+F8</f>
        <v/>
      </c>
      <c r="G12" s="133">
        <f>SUM(G9:G11)+G8</f>
        <v/>
      </c>
      <c r="H12" s="133">
        <f>SUM(H9:H11)+H8</f>
        <v/>
      </c>
      <c r="I12" s="133">
        <f>SUM(I9:I11)+I8</f>
        <v/>
      </c>
      <c r="J12" s="133">
        <f>SUM(J9:J11)+J8</f>
        <v/>
      </c>
      <c r="K12" s="133">
        <f>SUM(K9:K11)+K8</f>
        <v/>
      </c>
    </row>
    <row r="14" ht="16" customHeight="1">
      <c r="A14" s="123" t="inlineStr">
        <is>
          <t>Cuentas Bajo Administración</t>
        </is>
      </c>
      <c r="B14" s="124" t="n">
        <v>44713</v>
      </c>
      <c r="C14" s="124" t="n">
        <v>44805</v>
      </c>
      <c r="D14" s="124" t="n">
        <v>44896</v>
      </c>
      <c r="E14" s="124" t="n">
        <v>44986</v>
      </c>
      <c r="F14" s="124" t="n">
        <v>45078</v>
      </c>
      <c r="G14" s="124" t="n">
        <v>45170</v>
      </c>
      <c r="H14" s="124" t="n">
        <v>45261</v>
      </c>
      <c r="I14" s="124" t="n">
        <v>45352</v>
      </c>
      <c r="J14" s="124" t="n">
        <v>45444</v>
      </c>
      <c r="K14" s="124" t="n">
        <v>45536</v>
      </c>
    </row>
    <row r="15" ht="16" customHeight="1">
      <c r="A15" s="137" t="inlineStr">
        <is>
          <t>Deuda cuentas corrientes</t>
        </is>
      </c>
      <c r="B15" s="127" t="n">
        <v>2339</v>
      </c>
      <c r="C15" s="127" t="n">
        <v>3307</v>
      </c>
      <c r="D15" s="127" t="n">
        <v>5406</v>
      </c>
      <c r="E15" s="127" t="n">
        <v>4330</v>
      </c>
      <c r="F15" s="127" t="n">
        <v>4512</v>
      </c>
      <c r="G15" s="127" t="n">
        <v>4995</v>
      </c>
      <c r="H15" s="127" t="n">
        <v>6718</v>
      </c>
      <c r="I15" s="127" t="n">
        <v>5575</v>
      </c>
      <c r="J15" s="127" t="n">
        <v>5215</v>
      </c>
      <c r="K15" s="127" t="n">
        <v>6889</v>
      </c>
    </row>
    <row r="16" ht="16" customHeight="1">
      <c r="A16" s="137" t="inlineStr">
        <is>
          <t>Depósitos de inversionistas</t>
        </is>
      </c>
      <c r="B16" s="127" t="n">
        <v>4458</v>
      </c>
      <c r="C16" s="127" t="n">
        <v>5356</v>
      </c>
      <c r="D16" s="127" t="n">
        <v>4906</v>
      </c>
      <c r="E16" s="127" t="n">
        <v>7587</v>
      </c>
      <c r="F16" s="127" t="n">
        <v>7267</v>
      </c>
      <c r="G16" s="127" t="n">
        <v>6142</v>
      </c>
      <c r="H16" s="127" t="n">
        <v>6825</v>
      </c>
      <c r="I16" s="127" t="n">
        <v>8451</v>
      </c>
      <c r="J16" s="127" t="n">
        <v>9034</v>
      </c>
      <c r="K16" s="127" t="n">
        <v>8643</v>
      </c>
    </row>
    <row r="17" ht="16" customHeight="1">
      <c r="A17" s="137" t="inlineStr">
        <is>
          <t>Otras cuentas corrientes</t>
        </is>
      </c>
      <c r="B17" s="127" t="n">
        <v>6524</v>
      </c>
      <c r="C17" s="127" t="n">
        <v>8079</v>
      </c>
      <c r="D17" s="127" t="n">
        <v>10063</v>
      </c>
      <c r="E17" s="127" t="n">
        <v>11779</v>
      </c>
      <c r="F17" s="127" t="n">
        <v>11608</v>
      </c>
      <c r="G17" s="127" t="n">
        <v>10980</v>
      </c>
      <c r="H17" s="127" t="n">
        <v>13791</v>
      </c>
      <c r="I17" s="127" t="n">
        <v>13851</v>
      </c>
      <c r="J17" s="127" t="n">
        <v>13566</v>
      </c>
      <c r="K17" s="127" t="n">
        <v>15240</v>
      </c>
    </row>
    <row r="18" ht="16" customHeight="1">
      <c r="A18" s="137" t="inlineStr">
        <is>
          <t>Instrumentos financieros de clientes en administración</t>
        </is>
      </c>
      <c r="B18" s="127" t="n">
        <v>97373</v>
      </c>
      <c r="C18" s="127" t="n">
        <v>100058</v>
      </c>
      <c r="D18" s="127" t="n">
        <v>111072</v>
      </c>
      <c r="E18" s="127" t="n">
        <v>116535</v>
      </c>
      <c r="F18" s="127" t="n">
        <v>119344</v>
      </c>
      <c r="G18" s="127" t="n">
        <v>130759</v>
      </c>
      <c r="H18" s="127" t="n">
        <v>136571</v>
      </c>
      <c r="I18" s="127" t="n">
        <v>152097</v>
      </c>
      <c r="J18" s="127" t="n">
        <v>152920</v>
      </c>
      <c r="K18" s="127" t="n">
        <v>160492</v>
      </c>
    </row>
    <row r="19" ht="16" customHeight="1">
      <c r="A19" s="137" t="inlineStr">
        <is>
          <t>Colaterales recibidos en garanía por cuenta de solicitantes</t>
        </is>
      </c>
      <c r="B19" s="127" t="n">
        <v>117285</v>
      </c>
      <c r="C19" s="127" t="n">
        <v>125400</v>
      </c>
      <c r="D19" s="127" t="n">
        <v>134270</v>
      </c>
      <c r="E19" s="127" t="n">
        <v>151502</v>
      </c>
      <c r="F19" s="127" t="n">
        <v>166160</v>
      </c>
      <c r="G19" s="127" t="n">
        <v>186115</v>
      </c>
      <c r="H19" s="127" t="n">
        <v>203482</v>
      </c>
      <c r="I19" s="127" t="n">
        <v>198647</v>
      </c>
      <c r="J19" s="127" t="n">
        <v>208366</v>
      </c>
      <c r="K19" s="127" t="n">
        <v>216152</v>
      </c>
    </row>
    <row r="20" ht="16" customHeight="1">
      <c r="A20" s="139" t="inlineStr">
        <is>
          <t>Total Operaciones de Administración</t>
        </is>
      </c>
      <c r="B20" s="133">
        <f>SUM(B15:B19)</f>
        <v/>
      </c>
      <c r="C20" s="133">
        <f>SUM(C15:C19)</f>
        <v/>
      </c>
      <c r="D20" s="133">
        <f>SUM(D15:D19)</f>
        <v/>
      </c>
      <c r="E20" s="133">
        <f>SUM(E15:E19)</f>
        <v/>
      </c>
      <c r="F20" s="133">
        <f>SUM(F15:F19)</f>
        <v/>
      </c>
      <c r="G20" s="133">
        <f>SUM(G15:G19)</f>
        <v/>
      </c>
      <c r="H20" s="133">
        <f>SUM(H15:H19)</f>
        <v/>
      </c>
      <c r="I20" s="133">
        <f>SUM(I15:I19)</f>
        <v/>
      </c>
      <c r="J20" s="133">
        <f>SUM(J15:J19)</f>
        <v/>
      </c>
      <c r="K20" s="133">
        <f>SUM(K15:K19)</f>
        <v/>
      </c>
    </row>
    <row r="21" ht="15.75" customHeight="1"/>
    <row r="22" ht="15.75" customHeight="1">
      <c r="A22" s="123" t="inlineStr">
        <is>
          <t>Balance General</t>
        </is>
      </c>
      <c r="B22" s="124" t="n">
        <v>44713</v>
      </c>
      <c r="C22" s="124" t="n">
        <v>44805</v>
      </c>
      <c r="D22" s="124" t="n">
        <v>44896</v>
      </c>
      <c r="E22" s="124" t="n">
        <v>44986</v>
      </c>
      <c r="F22" s="124" t="n">
        <v>45078</v>
      </c>
      <c r="G22" s="124" t="n">
        <v>45170</v>
      </c>
      <c r="H22" s="124" t="n">
        <v>45261</v>
      </c>
      <c r="I22" s="124" t="n">
        <v>45352</v>
      </c>
      <c r="J22" s="124" t="n">
        <v>45444</v>
      </c>
      <c r="K22" s="124" t="n">
        <v>45536</v>
      </c>
    </row>
    <row r="23" ht="15.75" customHeight="1">
      <c r="A23" s="137" t="inlineStr">
        <is>
          <t>Efectivo y equivalentes de efectivo</t>
        </is>
      </c>
      <c r="B23" s="127" t="n">
        <v>544</v>
      </c>
      <c r="C23" s="127" t="n">
        <v>6371</v>
      </c>
      <c r="D23" s="127" t="n">
        <v>1962</v>
      </c>
      <c r="E23" s="127" t="n">
        <v>3241</v>
      </c>
      <c r="F23" s="127" t="n">
        <v>2397</v>
      </c>
      <c r="G23" s="127" t="n">
        <v>3151</v>
      </c>
      <c r="H23" s="127" t="n">
        <v>945</v>
      </c>
      <c r="I23" s="127" t="n">
        <v>113</v>
      </c>
      <c r="J23" s="127" t="n">
        <v>634</v>
      </c>
      <c r="K23" s="127" t="n">
        <v>458</v>
      </c>
    </row>
    <row r="24" ht="15.75" customHeight="1">
      <c r="A24" s="137" t="inlineStr">
        <is>
          <t>Inversiones en instrumentos financieros</t>
        </is>
      </c>
      <c r="B24" s="127" t="n">
        <v>6209</v>
      </c>
      <c r="C24" s="127" t="n">
        <v>6678</v>
      </c>
      <c r="D24" s="127" t="n">
        <v>6905</v>
      </c>
      <c r="E24" s="127" t="n">
        <v>6430</v>
      </c>
      <c r="F24" s="127" t="n">
        <v>6187</v>
      </c>
      <c r="G24" s="127" t="n">
        <v>1298</v>
      </c>
      <c r="H24" s="127" t="n">
        <v>1996</v>
      </c>
      <c r="I24" s="127" t="n">
        <v>1476</v>
      </c>
      <c r="J24" s="127" t="n">
        <v>1516</v>
      </c>
      <c r="K24" s="127" t="n">
        <v>6208</v>
      </c>
    </row>
    <row r="25" ht="15.75" customHeight="1">
      <c r="A25" s="137" t="inlineStr">
        <is>
          <t>Estimación de pérdidas crediticias</t>
        </is>
      </c>
      <c r="B25" s="127" t="n">
        <v>-1683</v>
      </c>
      <c r="C25" s="127" t="n">
        <v>-1495</v>
      </c>
      <c r="D25" s="127" t="n">
        <v>-1548</v>
      </c>
      <c r="E25" s="127" t="n">
        <v>-1550</v>
      </c>
      <c r="F25" s="127" t="n">
        <v>-1221</v>
      </c>
      <c r="G25" s="127" t="n">
        <v>-403</v>
      </c>
      <c r="H25" s="127" t="n">
        <v>-403</v>
      </c>
      <c r="I25" s="127" t="n">
        <v>-403</v>
      </c>
      <c r="J25" s="127" t="n">
        <v>-403</v>
      </c>
      <c r="K25" s="127" t="n">
        <v>-403</v>
      </c>
    </row>
    <row r="26" ht="15.75" customHeight="1">
      <c r="A26" s="137" t="inlineStr">
        <is>
          <t>Cuentas por cobrar, neto</t>
        </is>
      </c>
      <c r="B26" s="127" t="n">
        <v>325</v>
      </c>
      <c r="C26" s="127" t="n">
        <v>1231</v>
      </c>
      <c r="D26" s="127" t="n">
        <v>6980</v>
      </c>
      <c r="E26" s="127" t="n">
        <v>7253</v>
      </c>
      <c r="F26" s="127" t="n">
        <v>7160</v>
      </c>
      <c r="G26" s="127" t="n">
        <v>11824</v>
      </c>
      <c r="H26" s="127" t="n">
        <v>11779</v>
      </c>
      <c r="I26" s="127" t="n">
        <v>11677</v>
      </c>
      <c r="J26" s="127" t="n">
        <v>11821</v>
      </c>
      <c r="K26" s="127" t="n">
        <v>11405</v>
      </c>
    </row>
    <row r="27" ht="15.75" customHeight="1">
      <c r="A27" s="137" t="inlineStr">
        <is>
          <t>Pagos anticipados y otros activos, neto</t>
        </is>
      </c>
      <c r="B27" s="127" t="n">
        <v>1630</v>
      </c>
      <c r="C27" s="127" t="n">
        <v>2000</v>
      </c>
      <c r="D27" s="127" t="n">
        <v>2472</v>
      </c>
      <c r="E27" s="127" t="n">
        <v>1696</v>
      </c>
      <c r="F27" s="127" t="n">
        <v>1675</v>
      </c>
      <c r="G27" s="127" t="n">
        <v>1529</v>
      </c>
      <c r="H27" s="127" t="n">
        <v>1549</v>
      </c>
      <c r="I27" s="127" t="n">
        <v>1511</v>
      </c>
      <c r="J27" s="127" t="n">
        <v>1460</v>
      </c>
      <c r="K27" s="127" t="n">
        <v>1419</v>
      </c>
    </row>
    <row r="28" ht="15.75" customHeight="1">
      <c r="A28" s="137" t="inlineStr">
        <is>
          <t>Propiedades, mobiliario y equipo, neto</t>
        </is>
      </c>
      <c r="B28" s="127" t="n">
        <v>132</v>
      </c>
      <c r="C28" s="127" t="n">
        <v>114</v>
      </c>
      <c r="D28" s="127" t="n">
        <v>96</v>
      </c>
      <c r="E28" s="127" t="n">
        <v>109</v>
      </c>
      <c r="F28" s="127" t="n">
        <v>180</v>
      </c>
      <c r="G28" s="127" t="n">
        <v>174</v>
      </c>
      <c r="H28" s="127" t="n">
        <v>207</v>
      </c>
      <c r="I28" s="127" t="n">
        <v>208</v>
      </c>
      <c r="J28" s="127" t="n">
        <v>210</v>
      </c>
      <c r="K28" s="127" t="n">
        <v>208</v>
      </c>
    </row>
    <row r="29" ht="15.75" customHeight="1">
      <c r="A29" s="137" t="inlineStr">
        <is>
          <t>Activo por impuestos a la utilidad diferidos, neto</t>
        </is>
      </c>
      <c r="B29" s="127" t="n">
        <v>505</v>
      </c>
      <c r="C29" s="127" t="n">
        <v>449</v>
      </c>
      <c r="D29" s="127" t="n">
        <v>520</v>
      </c>
      <c r="E29" s="127" t="n">
        <v>521</v>
      </c>
      <c r="F29" s="127" t="n">
        <v>366</v>
      </c>
      <c r="G29" s="127" t="n">
        <v>346</v>
      </c>
      <c r="H29" s="127" t="n">
        <v>268</v>
      </c>
      <c r="I29" s="127" t="n">
        <v>346</v>
      </c>
      <c r="J29" s="127" t="n">
        <v>346</v>
      </c>
      <c r="K29" s="127" t="n">
        <v>346</v>
      </c>
    </row>
    <row r="30" ht="15.75" customHeight="1">
      <c r="A30" s="139" t="inlineStr">
        <is>
          <t>Total Activo</t>
        </is>
      </c>
      <c r="B30" s="133">
        <f>SUM(B23:B29)</f>
        <v/>
      </c>
      <c r="C30" s="133">
        <f>SUM(C23:C29)</f>
        <v/>
      </c>
      <c r="D30" s="133">
        <f>SUM(D23:D29)</f>
        <v/>
      </c>
      <c r="E30" s="133">
        <f>SUM(E23:E29)+1</f>
        <v/>
      </c>
      <c r="F30" s="133">
        <f>SUM(F23:F29)+1</f>
        <v/>
      </c>
      <c r="G30" s="133">
        <f>SUM(G23:G29)+1</f>
        <v/>
      </c>
      <c r="H30" s="133">
        <f>SUM(H23:H29)</f>
        <v/>
      </c>
      <c r="I30" s="133">
        <f>SUM(I23:I29)+1</f>
        <v/>
      </c>
      <c r="J30" s="133">
        <f>SUM(J23:J29)</f>
        <v/>
      </c>
      <c r="K30" s="133">
        <f>SUM(K23:K29)+1</f>
        <v/>
      </c>
    </row>
    <row r="31" ht="15.75" customHeight="1">
      <c r="A31" s="137" t="n"/>
      <c r="B31" s="127" t="n"/>
      <c r="C31" s="127" t="n"/>
      <c r="D31" s="127" t="n"/>
      <c r="E31" s="127" t="n"/>
      <c r="F31" s="127" t="n"/>
      <c r="G31" s="127" t="n"/>
      <c r="H31" s="127" t="n"/>
      <c r="I31" s="127" t="n"/>
      <c r="J31" s="127" t="n"/>
      <c r="K31" s="127" t="n"/>
    </row>
    <row r="32" ht="15.75" customHeight="1">
      <c r="A32" s="137" t="inlineStr">
        <is>
          <t>Préstamos de corto plazo</t>
        </is>
      </c>
      <c r="B32" s="127" t="n">
        <v>1058</v>
      </c>
      <c r="C32" s="127" t="n">
        <v>115</v>
      </c>
      <c r="D32" s="127" t="n">
        <v>17</v>
      </c>
      <c r="E32" s="127" t="n">
        <v>50</v>
      </c>
      <c r="F32" s="127" t="n">
        <v>89</v>
      </c>
      <c r="G32" s="127" t="n">
        <v>142</v>
      </c>
      <c r="H32" s="127" t="n">
        <v>114</v>
      </c>
      <c r="I32" s="127" t="n">
        <v>255</v>
      </c>
      <c r="J32" s="127" t="n">
        <v>59</v>
      </c>
      <c r="K32" s="127" t="n">
        <v>139</v>
      </c>
    </row>
    <row r="33" ht="15.75" customHeight="1">
      <c r="A33" s="137" t="inlineStr">
        <is>
          <t>Préstamos de largo plazo</t>
        </is>
      </c>
      <c r="B33" s="127" t="n">
        <v>1477</v>
      </c>
      <c r="C33" s="127" t="n">
        <v>10611</v>
      </c>
      <c r="D33" s="127" t="n">
        <v>10405</v>
      </c>
      <c r="E33" s="127" t="n">
        <v>9400</v>
      </c>
      <c r="F33" s="127" t="n">
        <v>8803</v>
      </c>
      <c r="G33" s="127" t="n">
        <v>8206</v>
      </c>
      <c r="H33" s="127" t="n">
        <v>7609</v>
      </c>
      <c r="I33" s="127" t="n">
        <v>7459</v>
      </c>
      <c r="J33" s="127" t="n">
        <v>6862</v>
      </c>
      <c r="K33" s="127" t="n">
        <v>11265</v>
      </c>
    </row>
    <row r="34" ht="15.75" customHeight="1">
      <c r="A34" s="137" t="inlineStr">
        <is>
          <t>Contribuciones por pagar</t>
        </is>
      </c>
      <c r="B34" s="127" t="n">
        <v>95</v>
      </c>
      <c r="C34" s="127" t="n">
        <v>155</v>
      </c>
      <c r="D34" s="127" t="n">
        <v>497</v>
      </c>
      <c r="E34" s="127" t="n">
        <v>450</v>
      </c>
      <c r="F34" s="127" t="n">
        <v>316</v>
      </c>
      <c r="G34" s="127" t="n">
        <v>461</v>
      </c>
      <c r="H34" s="127" t="n">
        <v>348</v>
      </c>
      <c r="I34" s="127" t="n">
        <v>633</v>
      </c>
      <c r="J34" s="127" t="n">
        <v>1021</v>
      </c>
      <c r="K34" s="127" t="n">
        <v>1011</v>
      </c>
    </row>
    <row r="35" ht="15.75" customHeight="1">
      <c r="A35" s="137" t="inlineStr">
        <is>
          <t>Acreedores diversas y otras cuentas por pagar</t>
        </is>
      </c>
      <c r="B35" s="127" t="n">
        <v>185</v>
      </c>
      <c r="C35" s="127" t="n">
        <v>310</v>
      </c>
      <c r="D35" s="127" t="n">
        <v>335</v>
      </c>
      <c r="E35" s="127" t="n">
        <v>505</v>
      </c>
      <c r="F35" s="127" t="n">
        <v>41</v>
      </c>
      <c r="G35" s="127" t="n">
        <v>229</v>
      </c>
      <c r="H35" s="127" t="n">
        <v>356</v>
      </c>
      <c r="I35" s="127" t="n">
        <v>80</v>
      </c>
      <c r="J35" s="127" t="n">
        <v>62</v>
      </c>
      <c r="K35" s="127" t="n">
        <v>223</v>
      </c>
    </row>
    <row r="36" ht="15.75" customHeight="1">
      <c r="A36" s="137" t="inlineStr">
        <is>
          <t>Aportaciones para futuros aumentos de capital como pasivos</t>
        </is>
      </c>
      <c r="B36" s="127" t="n">
        <v>0</v>
      </c>
      <c r="C36" s="127" t="n">
        <v>0</v>
      </c>
      <c r="D36" s="127" t="n">
        <v>0</v>
      </c>
      <c r="E36" s="127" t="n">
        <v>0</v>
      </c>
      <c r="F36" s="127" t="n">
        <v>0</v>
      </c>
      <c r="G36" s="127" t="n">
        <v>0</v>
      </c>
      <c r="H36" s="127" t="n">
        <v>0</v>
      </c>
      <c r="I36" s="127" t="n">
        <v>0</v>
      </c>
      <c r="J36" s="127" t="n">
        <v>2250</v>
      </c>
      <c r="K36" s="127" t="n">
        <v>0</v>
      </c>
    </row>
    <row r="37" ht="15.75" customHeight="1">
      <c r="A37" s="137" t="inlineStr">
        <is>
          <t>Pasivo por impuestos a la utilidad</t>
        </is>
      </c>
      <c r="B37" s="127" t="n">
        <v>44</v>
      </c>
      <c r="C37" s="127" t="n">
        <v>120</v>
      </c>
      <c r="D37" s="127" t="n">
        <v>88</v>
      </c>
      <c r="E37" s="127" t="n">
        <v>44</v>
      </c>
      <c r="F37" s="127" t="n">
        <v>92</v>
      </c>
      <c r="G37" s="127" t="n">
        <v>71</v>
      </c>
      <c r="H37" s="127" t="n">
        <v>164</v>
      </c>
      <c r="I37" s="127" t="n">
        <v>270</v>
      </c>
      <c r="J37" s="127" t="n">
        <v>211</v>
      </c>
      <c r="K37" s="127" t="n">
        <v>294</v>
      </c>
    </row>
    <row r="38" ht="15.75" customHeight="1">
      <c r="A38" s="137" t="inlineStr">
        <is>
          <t>Pasivo por Beneficios a Empleados</t>
        </is>
      </c>
      <c r="B38" s="127" t="n">
        <v>0</v>
      </c>
      <c r="C38" s="127" t="n">
        <v>0</v>
      </c>
      <c r="D38" s="127" t="n">
        <v>0</v>
      </c>
      <c r="E38" s="127" t="n">
        <v>185</v>
      </c>
      <c r="F38" s="127" t="n">
        <v>185</v>
      </c>
      <c r="G38" s="127" t="n">
        <v>185</v>
      </c>
      <c r="H38" s="127" t="n">
        <v>0</v>
      </c>
      <c r="I38" s="127" t="n">
        <v>232</v>
      </c>
      <c r="J38" s="127" t="n">
        <v>368</v>
      </c>
      <c r="K38" s="127" t="n">
        <v>506</v>
      </c>
    </row>
    <row r="39" ht="15.75" customHeight="1">
      <c r="A39" s="139" t="inlineStr">
        <is>
          <t>Total Pasivo</t>
        </is>
      </c>
      <c r="B39" s="133">
        <f>SUM(B32:B38)</f>
        <v/>
      </c>
      <c r="C39" s="133">
        <f>SUM(C32:C38)+1</f>
        <v/>
      </c>
      <c r="D39" s="133">
        <f>SUM(D32:D38)</f>
        <v/>
      </c>
      <c r="E39" s="133">
        <f>SUM(E32:E38)</f>
        <v/>
      </c>
      <c r="F39" s="133">
        <f>SUM(F32:F38)-1</f>
        <v/>
      </c>
      <c r="G39" s="133">
        <f>SUM(G32:G38)</f>
        <v/>
      </c>
      <c r="H39" s="133">
        <f>SUM(H32:H38)</f>
        <v/>
      </c>
      <c r="I39" s="133">
        <f>SUM(I32:I38)</f>
        <v/>
      </c>
      <c r="J39" s="133">
        <f>SUM(J32:J38)</f>
        <v/>
      </c>
      <c r="K39" s="133">
        <f>SUM(K32:K38)</f>
        <v/>
      </c>
    </row>
    <row r="40" ht="15.75" customHeight="1">
      <c r="A40" s="137" t="n"/>
      <c r="B40" s="127" t="n"/>
      <c r="C40" s="127" t="n"/>
      <c r="D40" s="127" t="n"/>
      <c r="E40" s="127" t="n"/>
      <c r="F40" s="127" t="n"/>
      <c r="G40" s="127" t="n"/>
      <c r="H40" s="127" t="n"/>
      <c r="I40" s="127" t="n"/>
      <c r="J40" s="127" t="n"/>
      <c r="K40" s="127" t="n"/>
    </row>
    <row r="41" ht="15.75" customHeight="1">
      <c r="A41" s="137" t="inlineStr">
        <is>
          <t>Capital Social</t>
        </is>
      </c>
      <c r="B41" s="127" t="n">
        <v>3564</v>
      </c>
      <c r="C41" s="127" t="n">
        <v>3564</v>
      </c>
      <c r="D41" s="127" t="n">
        <v>3564</v>
      </c>
      <c r="E41" s="127" t="n">
        <v>3564</v>
      </c>
      <c r="F41" s="127" t="n">
        <v>3564</v>
      </c>
      <c r="G41" s="127" t="n">
        <v>3564</v>
      </c>
      <c r="H41" s="127" t="n">
        <v>3564</v>
      </c>
      <c r="I41" s="127" t="n">
        <v>3564</v>
      </c>
      <c r="J41" s="127" t="n">
        <v>3564</v>
      </c>
      <c r="K41" s="127" t="n">
        <v>3564</v>
      </c>
    </row>
    <row r="42" ht="15.75" customHeight="1">
      <c r="A42" s="137" t="inlineStr">
        <is>
          <t>Aportaciones para futuros aumentos de capital</t>
        </is>
      </c>
      <c r="B42" s="127" t="n">
        <v>4568</v>
      </c>
      <c r="C42" s="127" t="n">
        <v>4568</v>
      </c>
      <c r="D42" s="127" t="n">
        <v>10568</v>
      </c>
      <c r="E42" s="127" t="n">
        <v>13068</v>
      </c>
      <c r="F42" s="127" t="n">
        <v>15568</v>
      </c>
      <c r="G42" s="127" t="n">
        <v>18568</v>
      </c>
      <c r="H42" s="127" t="n">
        <v>19768</v>
      </c>
      <c r="I42" s="127" t="n">
        <v>19768</v>
      </c>
      <c r="J42" s="127" t="n">
        <v>19768</v>
      </c>
      <c r="K42" s="127" t="n">
        <v>22768</v>
      </c>
    </row>
    <row r="43" ht="15.75" customHeight="1">
      <c r="A43" s="137" t="inlineStr">
        <is>
          <t>Resultados acumulados</t>
        </is>
      </c>
      <c r="B43" s="127" t="n">
        <v>-3329</v>
      </c>
      <c r="C43" s="127" t="n">
        <v>-4096</v>
      </c>
      <c r="D43" s="127" t="n">
        <v>-8087</v>
      </c>
      <c r="E43" s="127" t="n">
        <v>-9565</v>
      </c>
      <c r="F43" s="127" t="n">
        <v>-11912</v>
      </c>
      <c r="G43" s="127" t="n">
        <v>-13506</v>
      </c>
      <c r="H43" s="127" t="n">
        <v>-15582</v>
      </c>
      <c r="I43" s="127" t="n">
        <v>-17332</v>
      </c>
      <c r="J43" s="127" t="n">
        <v>-18581</v>
      </c>
      <c r="K43" s="127" t="n">
        <v>-20128</v>
      </c>
    </row>
    <row r="44" ht="15.75" customHeight="1">
      <c r="A44" s="139" t="inlineStr">
        <is>
          <t>Total Capital</t>
        </is>
      </c>
      <c r="B44" s="133">
        <f>SUM(B41:B43)</f>
        <v/>
      </c>
      <c r="C44" s="133">
        <f>SUM(C41:C43)</f>
        <v/>
      </c>
      <c r="D44" s="133">
        <f>SUM(D41:D43)</f>
        <v/>
      </c>
      <c r="E44" s="133">
        <f>SUM(E41:E43)</f>
        <v/>
      </c>
      <c r="F44" s="133">
        <f>SUM(F41:F43)</f>
        <v/>
      </c>
      <c r="G44" s="133">
        <f>SUM(G41:G43)</f>
        <v/>
      </c>
      <c r="H44" s="133">
        <f>SUM(H41:H43)</f>
        <v/>
      </c>
      <c r="I44" s="133">
        <f>SUM(I41:I43)</f>
        <v/>
      </c>
      <c r="J44" s="133">
        <f>SUM(J41:J43)</f>
        <v/>
      </c>
      <c r="K44" s="133">
        <f>SUM(K41:K43)</f>
        <v/>
      </c>
    </row>
    <row r="45" ht="15.75" customHeight="1">
      <c r="A45" s="137" t="n"/>
      <c r="B45" s="127" t="n"/>
      <c r="C45" s="127" t="n"/>
      <c r="D45" s="127" t="n"/>
      <c r="E45" s="127" t="n"/>
      <c r="F45" s="127" t="n"/>
      <c r="G45" s="127" t="n"/>
      <c r="H45" s="127" t="n"/>
      <c r="I45" s="127" t="n"/>
      <c r="J45" s="127" t="n"/>
      <c r="K45" s="127" t="n"/>
    </row>
    <row r="46" ht="15.75" customHeight="1">
      <c r="A46" s="139" t="inlineStr">
        <is>
          <t>Balance</t>
        </is>
      </c>
      <c r="B46" s="133">
        <f>B39+B44-B30</f>
        <v/>
      </c>
      <c r="C46" s="133">
        <f>C39+C44-C30</f>
        <v/>
      </c>
      <c r="D46" s="133">
        <f>D39+D44-D30</f>
        <v/>
      </c>
      <c r="E46" s="133">
        <f>E39+E44-E30</f>
        <v/>
      </c>
      <c r="F46" s="133">
        <f>F39+F44-F30</f>
        <v/>
      </c>
      <c r="G46" s="133">
        <f>G39+G44-G30</f>
        <v/>
      </c>
      <c r="H46" s="133">
        <f>H39+H44-H30</f>
        <v/>
      </c>
      <c r="I46" s="133">
        <f>I39+I44-I30</f>
        <v/>
      </c>
      <c r="J46" s="133">
        <f>J39+J44-J30</f>
        <v/>
      </c>
      <c r="K46" s="133">
        <f>K39+K44-K30</f>
        <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scale="100" fitToHeight="1" fitToWidth="1" firstPageNumber="1" useFirstPageNumber="1" horizontalDpi="4294967295" verticalDpi="4294967295" copies="1"/>
</worksheet>
</file>

<file path=xl/worksheets/sheet9.xml><?xml version="1.0" encoding="utf-8"?>
<worksheet xmlns="http://schemas.openxmlformats.org/spreadsheetml/2006/main">
  <sheetPr>
    <outlinePr summaryBelow="1" summaryRight="1"/>
    <pageSetUpPr/>
  </sheetPr>
  <dimension ref="B2:E98"/>
  <sheetViews>
    <sheetView showGridLines="0" zoomScale="100" zoomScaleNormal="100" workbookViewId="0">
      <selection activeCell="A1" sqref="A1"/>
    </sheetView>
  </sheetViews>
  <sheetFormatPr baseColWidth="8" defaultColWidth="12.6640625" defaultRowHeight="15" outlineLevelRow="1" outlineLevelCol="0"/>
  <cols>
    <col width="10.6640625" customWidth="1" min="1" max="1"/>
    <col width="66" customWidth="1" min="2" max="2"/>
    <col width="30.1640625" customWidth="1" min="3" max="3"/>
    <col width="55.6640625" customWidth="1" min="4" max="4"/>
    <col width="70" customWidth="1" min="5" max="5"/>
    <col width="10.6640625" customWidth="1" min="6" max="26"/>
  </cols>
  <sheetData>
    <row r="2" hidden="1" outlineLevel="1" collapsed="1" ht="16" customHeight="1">
      <c r="B2" s="176" t="inlineStr">
        <is>
          <t>Notas check Septiembre-25</t>
        </is>
      </c>
    </row>
    <row r="3" hidden="1" outlineLevel="1" collapsed="1" ht="15.75" customHeight="1">
      <c r="B3" s="177" t="inlineStr">
        <is>
          <t>Insights</t>
        </is>
      </c>
      <c r="C3" s="177" t="inlineStr">
        <is>
          <t>Referencia</t>
        </is>
      </c>
      <c r="D3" s="177" t="inlineStr">
        <is>
          <t>Next Steps</t>
        </is>
      </c>
      <c r="E3" s="178" t="inlineStr">
        <is>
          <t>Avances</t>
        </is>
      </c>
    </row>
    <row r="4" hidden="1" outlineLevel="1" collapsed="1" ht="36.75" customHeight="1">
      <c r="B4" s="265" t="inlineStr">
        <is>
          <t>Se esta viendo la opción de hacer un aumento de la linea de $10MDP. Se hablo con Mau para ver si esta opcion es viable dependiendo de como mejora tanto su cobranza como sus covenants. Nos comento que uno de los clientes con mayor concentración que esta atrasado "Materiales Franco" va a liquidar la linea y "Birsa" ya se recupero pero pedimos info para validar esto. Ahorita se encuentran en incumplimiento de todos los covenants porque en contrato se tiene que a partir del mes de agosto los covenants se iban a apretar.</t>
        </is>
      </c>
      <c r="C4" s="266" t="n"/>
      <c r="D4" s="266" t="n"/>
      <c r="E4" s="267" t="n"/>
    </row>
    <row r="5" hidden="1" outlineLevel="1" collapsed="1" ht="32" customHeight="1">
      <c r="B5" s="182" t="inlineStr">
        <is>
          <t>Birsa cliente con mayor concentracion paso a atraso con 38 dias y cuenta con un saldo de $13MDP llevando a un incumplimiento de cartera atrasada pasando de 6% a 15%.</t>
        </is>
      </c>
      <c r="C5" s="183" t="inlineStr">
        <is>
          <t>Loan Tape Septiembre 2025</t>
        </is>
      </c>
      <c r="D5" s="182" t="inlineStr">
        <is>
          <t>Preguntar sobre la cobranza de este caso en particular y si se ve recuperación o no</t>
        </is>
      </c>
      <c r="E5" s="184" t="inlineStr">
        <is>
          <t>Nos comentaron que al día de hoy  Oct ya se recuperó y no debería atrasarse nuevamente</t>
        </is>
      </c>
    </row>
    <row r="6" hidden="1" outlineLevel="1" collapsed="1" ht="48" customHeight="1">
      <c r="B6" s="185" t="inlineStr">
        <is>
          <t>9 créditos desaparecidos que contaban con días de atraso, afectando la confiabilidad de los datos que nos pasan e indicadores. Estos créditos representan un saldo insoluto total de $445,170</t>
        </is>
      </c>
      <c r="C6" s="186" t="inlineStr">
        <is>
          <t>Loan Tape Septiembre 2025</t>
        </is>
      </c>
      <c r="D6" s="185" t="inlineStr">
        <is>
          <t>Estos créditos realmente se liquidaron o porque no se registraron en la cartera de septiembre?</t>
        </is>
      </c>
      <c r="E6" s="187" t="n"/>
    </row>
    <row r="7" hidden="1" outlineLevel="1" collapsed="1" ht="64" customHeight="1">
      <c r="B7" s="182" t="inlineStr">
        <is>
          <t>6 créditos con cambio en fecha de finalizacion, dos de ellos que debieron de terminar este mes con un saldo de $820,979 y se les aumento otro mes por lo que podrían ser créditos que no pagaron y solamente se les cambio la fecha de finalización para no tomarlos como atrasados.</t>
        </is>
      </c>
      <c r="C7" s="183" t="inlineStr">
        <is>
          <t>Loan Tape Septiembre 2025</t>
        </is>
      </c>
      <c r="D7" s="182" t="inlineStr">
        <is>
          <t xml:space="preserve">Preguntar sobre el cambio de estas fechas, fueron acuerdos con los clientes? </t>
        </is>
      </c>
      <c r="E7" s="184" t="n"/>
    </row>
    <row r="8" hidden="1" outlineLevel="1" collapsed="1" ht="48" customHeight="1">
      <c r="B8" s="185" t="inlineStr">
        <is>
          <t>1 crédito vencido sin movimiento en días de atraso y sin cambio en monto histórico pagado. Este crédito comoquiera ya se considera vencido pero el que no cambien los días de atraso desmuestra inconsistencias y errores dentro de su LT</t>
        </is>
      </c>
      <c r="C8" s="186" t="inlineStr">
        <is>
          <t>Loan Tape Septiembre 2025</t>
        </is>
      </c>
      <c r="D8" s="185" t="inlineStr">
        <is>
          <t>Pedir que se registre este cambio en los días de atraso del cliente</t>
        </is>
      </c>
      <c r="E8" s="187" t="n"/>
    </row>
    <row r="9" hidden="1" outlineLevel="1" collapsed="1" ht="64" customHeight="1">
      <c r="B9" s="182" t="inlineStr">
        <is>
          <t>Recuperación de un crédito vencido: un crédito paso de 196 días a 0 días por lo que parece que se recupero porque si se ve aumento en el monto pagado histórico solo validar que se haya recuperado y ese monto pagado no solo represente lo que estaba vencido si no también lo que le tocaba pagar este mes</t>
        </is>
      </c>
      <c r="C9" s="183" t="inlineStr">
        <is>
          <t>Loan Tape Septiembre 2025</t>
        </is>
      </c>
      <c r="D9" s="182" t="inlineStr">
        <is>
          <t>Platicar con ellos para comprobar que efectivamente el pago de este cliente se hizo incluyendo lo que le tocaba en el mes de septiembre y  ya se encuentra al corriente</t>
        </is>
      </c>
      <c r="E9" s="184" t="n"/>
    </row>
    <row r="10" hidden="1" outlineLevel="1" collapsed="1" ht="48" customHeight="1">
      <c r="B10" s="185" t="inlineStr">
        <is>
          <t>5 créditos que debieron de haber terminado este mes y pero siguen apareciendo con saldo insoluto y sin días de atraso. Estos 5 créditos representan un saldo total de $1,059,577</t>
        </is>
      </c>
      <c r="C10" s="186" t="inlineStr">
        <is>
          <t>Loan Tape Septiembre 2025</t>
        </is>
      </c>
      <c r="D10" s="185" t="inlineStr">
        <is>
          <t>Preguntar porque no se hicieron las liquidaciones de estos créditos, deben de ser atrasados?, fue error en el reporte?, se les dio chance?</t>
        </is>
      </c>
      <c r="E10" s="187" t="n"/>
    </row>
    <row r="11" hidden="1" outlineLevel="1" collapsed="1" ht="60.75" customHeight="1">
      <c r="B11" s="188" t="inlineStr">
        <is>
          <t>Hubo una baja en el capital contable ajustado que viene directamente de el aumento en pérdidas por resultado del ejercicio, por otro lado la cartera se quedo igual y dentro de sus pasivos aumentaron las contribuciones por pagar; llevando a un incumplimiento de capitalización que se encuentre en 13% y de apalancamiento ajustado en un 89%.</t>
        </is>
      </c>
      <c r="C11" s="189" t="inlineStr">
        <is>
          <t>Balance General Agosto 2025</t>
        </is>
      </c>
      <c r="D11" s="190" t="inlineStr">
        <is>
          <t>Tomar en cuenta estos cambios para ver el aumento de la línea que se les quiere dar</t>
        </is>
      </c>
      <c r="E11" s="191" t="n"/>
    </row>
    <row r="12" hidden="1" outlineLevel="1" collapsed="1" ht="48" customHeight="1">
      <c r="B12" s="192" t="inlineStr">
        <is>
          <t>Aumento de estimación preventiva por aumento en cartera vencida llevando a mayores pérdidas en el mes y a un incumplimiento en la rentabilidad dejando el indicador en -0.8%</t>
        </is>
      </c>
      <c r="C12" s="193" t="inlineStr">
        <is>
          <t>Estado de Resultados Agosto 2025</t>
        </is>
      </c>
      <c r="D12" s="194" t="n"/>
      <c r="E12" s="195" t="n"/>
    </row>
    <row r="13">
      <c r="B13" s="196" t="n"/>
      <c r="C13" s="196" t="n"/>
      <c r="D13" s="196" t="n"/>
      <c r="E13" s="196" t="n"/>
    </row>
    <row r="14" ht="16" customHeight="1">
      <c r="B14" s="176" t="inlineStr">
        <is>
          <t>Notas check Agosto-25</t>
        </is>
      </c>
    </row>
    <row r="15" hidden="1" outlineLevel="1" collapsed="1" ht="15.75" customHeight="1">
      <c r="B15" s="177" t="inlineStr">
        <is>
          <t>Insights</t>
        </is>
      </c>
      <c r="C15" s="177" t="inlineStr">
        <is>
          <t>Referencia</t>
        </is>
      </c>
      <c r="D15" s="177" t="inlineStr">
        <is>
          <t>Next Steps</t>
        </is>
      </c>
      <c r="E15" s="178" t="inlineStr">
        <is>
          <t>Avances</t>
        </is>
      </c>
    </row>
    <row r="16" hidden="1" outlineLevel="1" collapsed="1" ht="36.75" customHeight="1">
      <c r="B16" s="265" t="inlineStr">
        <is>
          <t>Se sigue avanzando con la compra de cartera de CiBanco y con Fincitri. Mauricio quiere dar una propiedad suya como garantia.Si se completa esta compra de cartera es es bueno tanto para RG como para nosotros porque van a tener una cartera mas sana y más grande por lo que nuestros indicadores como el IMOR16 van a bajar y esta cartera se debe compartar de mejor manera (es menos riesgosa).</t>
        </is>
      </c>
      <c r="C16" s="266" t="n"/>
      <c r="D16" s="266" t="n"/>
      <c r="E16" s="267" t="n"/>
    </row>
    <row r="17" hidden="1" outlineLevel="1" collapsed="1" ht="32" customHeight="1">
      <c r="B17" s="182" t="inlineStr">
        <is>
          <t>Aumento IMOR16 de 9.89% a 11.19%: algunos créditos pasaron a 90 días afectando el indicador y demostrando que no han podido manejar la cobranza.</t>
        </is>
      </c>
      <c r="C17" s="183" t="inlineStr">
        <is>
          <t>Loan Tape Agosto 2025</t>
        </is>
      </c>
      <c r="D17" s="182" t="inlineStr">
        <is>
          <t>Seguir monitoreando la cobranza, preguntando sobre updates de alguna recuperación, y presionar para mejorar el indicador</t>
        </is>
      </c>
      <c r="E17" s="184" t="n"/>
    </row>
    <row r="18" hidden="1" outlineLevel="1" collapsed="1" ht="16" customHeight="1">
      <c r="B18" s="185" t="inlineStr">
        <is>
          <t>Aumento cartera vencida de 14.9% a 15.85%: ligado a lo mismo del IMOR16.</t>
        </is>
      </c>
      <c r="C18" s="186" t="inlineStr">
        <is>
          <t>Loan Tape Agosto 2025</t>
        </is>
      </c>
      <c r="D18" s="185" t="n"/>
      <c r="E18" s="187" t="n"/>
    </row>
    <row r="19" hidden="1" outlineLevel="1" collapsed="1" ht="32" customHeight="1">
      <c r="B19" s="182" t="inlineStr">
        <is>
          <t>Tendencia de baja en rendimiento: por temas de menor cobranza se refleja en menores ingresos proporcionale al valor de su portafolio.</t>
        </is>
      </c>
      <c r="C19" s="183" t="inlineStr">
        <is>
          <t>Monitoreo Julio 2025</t>
        </is>
      </c>
      <c r="D19" s="182" t="n"/>
      <c r="E19" s="184" t="n"/>
    </row>
    <row r="20" hidden="1" outlineLevel="1" collapsed="1" ht="32" customHeight="1">
      <c r="B20" s="185" t="inlineStr">
        <is>
          <t>Sin aumento de estimacion preventiva: No se ve un aumento en la estimación preventiva aun teniendo aumento en cartera vencida</t>
        </is>
      </c>
      <c r="C20" s="186" t="inlineStr">
        <is>
          <t>Estado de Resultados Julio 2025</t>
        </is>
      </c>
      <c r="D20" s="185" t="inlineStr">
        <is>
          <t>Preguntar porque no se ve este aumento y pedir que se haga</t>
        </is>
      </c>
      <c r="E20" s="187" t="n"/>
    </row>
    <row r="21" hidden="1" outlineLevel="1" collapsed="1" ht="15.75" customHeight="1">
      <c r="B21" s="182" t="inlineStr">
        <is>
          <t>Clientes sin movimientos en días de atraso: Se ven algunos clientes como Birsa, acciones ecologicas, materiales franco, que tienen alta concentración en la cartera sin movimiento en los días de atraso y ya se válido que se debe a que si han estado haciendo sus pagos correspondientes mes con mes solo no han pagado los meses atrasados. Esto demuestra que han podido estar en contacto con estos clientes y cobrando lo actual sin dejar que pasen a ser vencidos.</t>
        </is>
      </c>
      <c r="C21" s="183" t="inlineStr">
        <is>
          <t>Loan Tape Agosto 2025</t>
        </is>
      </c>
      <c r="D21" s="182" t="inlineStr">
        <is>
          <t>Seguir monitoreando estos clientes que tienen mayor concentración</t>
        </is>
      </c>
      <c r="E21" s="184" t="n"/>
    </row>
    <row r="22" hidden="1" outlineLevel="1" collapsed="1" ht="15.75" customHeight="1">
      <c r="B22" s="197" t="inlineStr">
        <is>
          <t>Cliente "desplasificate" con baja en días de atraso: Este cliente sigue pagando y también pago un mes de los que estaba atrasado por lo que se ve esa baja en dís de atraso y demuestra igual comunicación en cobranza y recuperación.</t>
        </is>
      </c>
      <c r="C22" s="186" t="inlineStr">
        <is>
          <t>Loan Tape Agosto 2025</t>
        </is>
      </c>
      <c r="D22" s="186" t="n"/>
      <c r="E22" s="198" t="n"/>
    </row>
    <row r="23" hidden="1" outlineLevel="1" collapsed="1" ht="15.75" customHeight="1">
      <c r="B23" s="199" t="n"/>
      <c r="C23" s="200" t="n"/>
      <c r="D23" s="201" t="inlineStr">
        <is>
          <t>Seguir monitoreando el proceso con CiBanco y Fincitri</t>
        </is>
      </c>
      <c r="E23" s="202" t="n"/>
    </row>
    <row r="24" ht="15.75" customHeight="1">
      <c r="B24" s="196" t="n"/>
      <c r="C24" s="196" t="n"/>
      <c r="D24" s="196" t="n"/>
      <c r="E24" s="196" t="n"/>
    </row>
    <row r="25" ht="15.75" customHeight="1">
      <c r="B25" s="176" t="inlineStr">
        <is>
          <t>Notas check Julio-25</t>
        </is>
      </c>
    </row>
    <row r="26" hidden="1" outlineLevel="1" collapsed="1" ht="15.75" customHeight="1">
      <c r="B26" s="177" t="inlineStr">
        <is>
          <t>Insights</t>
        </is>
      </c>
      <c r="C26" s="177" t="inlineStr">
        <is>
          <t>Referencia</t>
        </is>
      </c>
      <c r="D26" s="177" t="inlineStr">
        <is>
          <t>Next Steps</t>
        </is>
      </c>
      <c r="E26" s="178" t="inlineStr">
        <is>
          <t>Avances</t>
        </is>
      </c>
    </row>
    <row r="27" hidden="1" outlineLevel="1" collapsed="1" ht="36.75" customHeight="1">
      <c r="B27" s="265" t="inlineStr">
        <is>
          <t>Contexto: Incumplimientos de covenants cartera vencida e IMOR16. El IMOR16 ya subio de 7.5% por lo que el aforo debe subir a 1.5. Acutalmente estamos desaforados con 4.75, se esta viendo el proceso para esa nueva cesión pero Mau de mucha igual esta buscando bajar ese indicador del IMOR16 porque si le afecta en otros financiamientos el tenernos cedido 1.5 de aforo.</t>
        </is>
      </c>
      <c r="C27" s="266" t="n"/>
      <c r="D27" s="266" t="n"/>
      <c r="E27" s="267" t="n"/>
    </row>
    <row r="28" hidden="1" outlineLevel="1" collapsed="1" ht="15.75" customHeight="1">
      <c r="B28" s="182" t="inlineStr">
        <is>
          <t>Atraso de 8 dias del cliente más grande (Birsa) representa un 7%. No se habia visto con atrasos anteriormente</t>
        </is>
      </c>
      <c r="C28" s="183" t="inlineStr">
        <is>
          <t>Loan Tape Julio 2025</t>
        </is>
      </c>
      <c r="D28" s="182" t="inlineStr">
        <is>
          <t>Montirorear que el proximo mes haya pagado y en caso de que no hablar con RG notificarles esto y presionar en que se mejore la cobranza</t>
        </is>
      </c>
      <c r="E28" s="184" t="n"/>
    </row>
    <row r="29" hidden="1" outlineLevel="1" collapsed="1" ht="15.75" customHeight="1">
      <c r="B29" s="185" t="inlineStr">
        <is>
          <t>Materiales franco sigue atrasado y en algunos de sus créditos a un mes de pasar a vencido. Es el crédito que comentaron que es un primo de el y si va a pagar pero seguirlo monitoreando porque representa un 4%.</t>
        </is>
      </c>
      <c r="C29" s="186" t="inlineStr">
        <is>
          <t>Loan Tape Julio 2025</t>
        </is>
      </c>
      <c r="D29" s="185" t="inlineStr">
        <is>
          <t>Preguntar porque no se ha recuperado este cliente que es primo y cuando debe verse recuperado</t>
        </is>
      </c>
      <c r="E29" s="187" t="n"/>
    </row>
    <row r="30" hidden="1" outlineLevel="1" collapsed="1" ht="15.75" customHeight="1">
      <c r="B30" s="182" t="inlineStr">
        <is>
          <t>Aportaciones para futuros aumentos de capital: sigue aumentando las aportaciones desde 2024 pero no se ve un aumento en capital social. De mayo a junio aumento 2.5MDP</t>
        </is>
      </c>
      <c r="C30" s="183" t="inlineStr">
        <is>
          <t>Estado de Resultados Junio 2025</t>
        </is>
      </c>
      <c r="D30" s="182" t="n"/>
      <c r="E30" s="184" t="n"/>
    </row>
    <row r="31" hidden="1" outlineLevel="1" collapsed="1" ht="15.75" customHeight="1">
      <c r="B31" s="185" t="inlineStr">
        <is>
          <t>Acciones ecologicas: Cliente atrasado con 30 días que representa 1% de la cartera total</t>
        </is>
      </c>
      <c r="C31" s="186" t="inlineStr">
        <is>
          <t>Loan Tape Julio 2025</t>
        </is>
      </c>
      <c r="D31" s="185" t="n"/>
      <c r="E31" s="187" t="n"/>
    </row>
    <row r="32" hidden="1" outlineLevel="1" collapsed="1" ht="15.75" customHeight="1">
      <c r="B32" s="182" t="inlineStr">
        <is>
          <t>Comentaron sobre una oportunidad que tienen de comprar cartera de créditos solares de CI Banco, con tasa de 15% esos créditos.</t>
        </is>
      </c>
      <c r="C32" s="183" t="n"/>
      <c r="D32" s="182" t="n"/>
      <c r="E32" s="184" t="n"/>
    </row>
    <row r="33" hidden="1" outlineLevel="1" collapsed="1" ht="15.75" customHeight="1">
      <c r="B33" s="197" t="n"/>
      <c r="C33" s="186" t="n"/>
      <c r="D33" s="186" t="n"/>
      <c r="E33" s="198" t="n"/>
    </row>
    <row r="34" hidden="1" outlineLevel="1" collapsed="1" ht="15.75" customHeight="1">
      <c r="B34" s="182" t="n"/>
      <c r="C34" s="183" t="n"/>
      <c r="D34" s="183" t="n"/>
      <c r="E34" s="184" t="n"/>
    </row>
    <row r="35" hidden="1" outlineLevel="1" collapsed="1" ht="15.75" customHeight="1">
      <c r="B35" s="185" t="n"/>
      <c r="C35" s="186" t="n"/>
      <c r="D35" s="186" t="n"/>
      <c r="E35" s="187" t="n"/>
    </row>
    <row r="36" hidden="1" outlineLevel="1" collapsed="1" ht="15.75" customHeight="1">
      <c r="B36" s="200" t="n"/>
      <c r="C36" s="200" t="n"/>
      <c r="D36" s="200" t="n"/>
      <c r="E36" s="202" t="n"/>
    </row>
    <row r="37" ht="15.75" customHeight="1">
      <c r="B37" s="196" t="n"/>
      <c r="C37" s="196" t="n"/>
      <c r="D37" s="196" t="n"/>
      <c r="E37" s="196" t="n"/>
    </row>
    <row r="38" ht="15.75" customHeight="1">
      <c r="B38" s="196" t="n"/>
      <c r="C38" s="196" t="n"/>
      <c r="D38" s="196" t="n"/>
      <c r="E38" s="196" t="n"/>
    </row>
    <row r="39" ht="15.75" customHeight="1">
      <c r="B39" s="176" t="inlineStr">
        <is>
          <t>Notas check Junio-25</t>
        </is>
      </c>
    </row>
    <row r="40" hidden="1" outlineLevel="1" collapsed="1" ht="15.75" customHeight="1">
      <c r="B40" s="177" t="inlineStr">
        <is>
          <t>Insights</t>
        </is>
      </c>
      <c r="C40" s="177" t="inlineStr">
        <is>
          <t>Referencia</t>
        </is>
      </c>
      <c r="D40" s="177" t="inlineStr">
        <is>
          <t>Next Steps</t>
        </is>
      </c>
      <c r="E40" s="178" t="inlineStr">
        <is>
          <t>Avances</t>
        </is>
      </c>
    </row>
    <row r="41" hidden="1" outlineLevel="1" collapsed="1" ht="36.75" customHeight="1">
      <c r="B41" s="265" t="inlineStr">
        <is>
          <t>Contexto: Se hizo nueva cesión e hicieron una disposición el lunes de $3MDP. Se planea hacer la última disposición de $6MDP la próxima semana pero hubo unos errores con OPAM entonces se debe resolver y checar 100% que el aforo este bien para ver si se puede hacer esa siguiente disposición o si nos deben ceder más.</t>
        </is>
      </c>
      <c r="C41" s="266" t="n"/>
      <c r="D41" s="266" t="n"/>
      <c r="E41" s="267" t="n"/>
    </row>
    <row r="42" hidden="1" outlineLevel="1" collapsed="1" ht="15.75" customHeight="1">
      <c r="B42" s="182" t="inlineStr">
        <is>
          <t>En abril no se reportaron gastos por intereses y en mayo se vio un monto más grande. Validamos los intereses que nos pagaron a nosotros esos meses y coincide lo que pusieron en mayo con la sujma de sus pagos de abril y mayo.</t>
        </is>
      </c>
      <c r="C42" s="183" t="inlineStr">
        <is>
          <t>Estado de Resultados Mayo 25</t>
        </is>
      </c>
      <c r="D42" s="182" t="inlineStr">
        <is>
          <t>Platicar sobre los desfases en los gastos, que fue lo que paso con no llevaron ese registro en abril?</t>
        </is>
      </c>
      <c r="E42" s="184" t="inlineStr">
        <is>
          <t>Nosotros les facturamos esos gastos hasta despues</t>
        </is>
      </c>
    </row>
    <row r="43" hidden="1" outlineLevel="1" collapsed="1" ht="15.75" customHeight="1">
      <c r="B43" s="185" t="inlineStr">
        <is>
          <t>Reportaron mayores gastos en Mayo dejandolos con muy pooco margen financiero positivo. La cuenta de "resultado por valuación a valor razonable" no sabemos que es y paso de $0MXN a -$725 mil MXN de abril a mayo. Asi como mayores gastos en admin y menores ingresos.</t>
        </is>
      </c>
      <c r="C43" s="186" t="inlineStr">
        <is>
          <t>Estado de Resultados Mayo 25</t>
        </is>
      </c>
      <c r="D43" s="185" t="inlineStr">
        <is>
          <t xml:space="preserve">Preguntar y entender que es esqa cuenta de "Resultado por valuación a valor razonable" y que cambios hubo que hicieron que haya menos ingresos y mayores gastos </t>
        </is>
      </c>
      <c r="E43" s="187" t="inlineStr">
        <is>
          <t>La cuenta de resutaldo por valuacion razonable es la estimacion preventiva</t>
        </is>
      </c>
    </row>
    <row r="44" hidden="1" outlineLevel="1" collapsed="1" ht="15.75" customHeight="1">
      <c r="B44" s="182" t="inlineStr">
        <is>
          <t>La cartera se mantuvo practicamente igual de abril a mayo</t>
        </is>
      </c>
      <c r="C44" s="183" t="inlineStr">
        <is>
          <t>Balance general Mayo 25</t>
        </is>
      </c>
      <c r="D44" s="182" t="inlineStr">
        <is>
          <t>Preguntar si no hubo muchas colocaciones? Se amortizo la misma cantidad que se coloco?</t>
        </is>
      </c>
      <c r="E44" s="184" t="inlineStr">
        <is>
          <t>Lo iban a checar porque dijeron que no deberia ser igual</t>
        </is>
      </c>
    </row>
    <row r="45" hidden="1" outlineLevel="1" collapsed="1" ht="15.75" customHeight="1">
      <c r="B45" s="185" t="inlineStr">
        <is>
          <t>IMOR16 sigue aumentando. Paso de 7.11% en mayo a 7.40% en junio. Si llegan a 7.5% es cuando aumenta el aforo requerido</t>
        </is>
      </c>
      <c r="C45" s="186" t="inlineStr">
        <is>
          <t>Loan Tape Junio 25</t>
        </is>
      </c>
      <c r="D45" s="185" t="inlineStr">
        <is>
          <t>Tenerlos al tanto de la situación y estar pendiente de como se mueve el IMOR16 en julio para ver si brinca a ese nuevo aforo de 1.5</t>
        </is>
      </c>
      <c r="E45" s="187" t="n"/>
    </row>
    <row r="46" hidden="1" outlineLevel="1" collapsed="1" ht="15.75" customHeight="1">
      <c r="B46" s="182" t="inlineStr">
        <is>
          <t>Cartera atrasada aumento de 5% a 10% dejandolos muy cerca del incumplimiento del covenant. Y lo mismo con la cartera vencido aumento de 12.9% a 13.3% lo que los acerca al incumplimiento del convenant de cartera vencida con diferencia de 0.7%</t>
        </is>
      </c>
      <c r="C46" s="183" t="inlineStr">
        <is>
          <t>Loan Tape Junio 25</t>
        </is>
      </c>
      <c r="D46" s="182" t="inlineStr">
        <is>
          <t>Hablar con ellos sobre la cobranza, qué esta ocasionando estos aumentos y que planes tienen para recuperarlos?</t>
        </is>
      </c>
      <c r="E46" s="184" t="n"/>
    </row>
    <row r="47" hidden="1" outlineLevel="1" collapsed="1" ht="15.75" customHeight="1">
      <c r="B47" s="197" t="inlineStr">
        <is>
          <t>Incumplimiento de covenant: apalancamiento ajustado con 91%. En las proyecciones de originación si se esperaba que el apalancamiento este más alto estos meses, esperando que baje cuando empiece a amortizar. Al igual sacamos el apalancamiento restandole el efectivo a los pasivos (que es lo correcto) y asi se encuentran en 88.5%</t>
        </is>
      </c>
      <c r="C47" s="186" t="inlineStr">
        <is>
          <t>Estado de Resultados Mayo 25</t>
        </is>
      </c>
      <c r="D47" s="186" t="inlineStr">
        <is>
          <t>Seguir monitoreando</t>
        </is>
      </c>
      <c r="E47" s="198" t="n"/>
    </row>
    <row r="48" hidden="1" outlineLevel="1" collapsed="1" ht="15.75" customHeight="1">
      <c r="B48" s="182" t="inlineStr">
        <is>
          <t>Caso Herguin: Cliente de puebla que representa un 3% de la cartera total de RG atrasado ya con 148 días no se ha recuperado ninguno de sus créditos. Desde abril paso a cartera vencida.</t>
        </is>
      </c>
      <c r="C48" s="183" t="inlineStr">
        <is>
          <t>Loan Tape Junio 25</t>
        </is>
      </c>
      <c r="D48" s="183" t="inlineStr">
        <is>
          <t>Preguntar contexto y actualización del caso</t>
        </is>
      </c>
      <c r="E48" s="184" t="n"/>
    </row>
    <row r="49" hidden="1" outlineLevel="1" collapsed="1" ht="15.75" customHeight="1">
      <c r="B49" s="185" t="inlineStr">
        <is>
          <t xml:space="preserve">Caso Materiales Franco: cliente que representa un 4% con 8 créditos en su cartera de los cuales 6 ya pasaron a cartera atrasada y las otras dos tienen 28 dias de atraso pero se consideran vigentes. </t>
        </is>
      </c>
      <c r="C49" s="186" t="inlineStr">
        <is>
          <t>Loan Tape Junio 25</t>
        </is>
      </c>
      <c r="D49" s="186" t="inlineStr">
        <is>
          <t>Preguntar contexto y actualización del caso</t>
        </is>
      </c>
      <c r="E49" s="187" t="inlineStr">
        <is>
          <t>Nos comenta que es un primo y si debe de pagar</t>
        </is>
      </c>
    </row>
    <row r="50" hidden="1" outlineLevel="1" collapsed="1" ht="15.75" customHeight="1">
      <c r="B50" s="200" t="inlineStr">
        <is>
          <t>Nuevo cliento con mayor concentración: Ebony que representa un 4%</t>
        </is>
      </c>
      <c r="C50" s="200" t="inlineStr">
        <is>
          <t>Loan Tape Junio 25</t>
        </is>
      </c>
      <c r="D50" s="200" t="n"/>
      <c r="E50" s="202" t="n"/>
    </row>
    <row r="51" ht="15.75" customHeight="1"/>
    <row r="52" ht="15.75" customHeight="1">
      <c r="B52" s="176" t="inlineStr">
        <is>
          <t>Notas check Mayo-25</t>
        </is>
      </c>
    </row>
    <row r="53" hidden="1" outlineLevel="1" collapsed="1" ht="15.75" customHeight="1">
      <c r="B53" s="177" t="inlineStr">
        <is>
          <t>Insights</t>
        </is>
      </c>
      <c r="C53" s="177" t="inlineStr">
        <is>
          <t>Referencia</t>
        </is>
      </c>
      <c r="D53" s="177" t="inlineStr">
        <is>
          <t>Next Steps</t>
        </is>
      </c>
      <c r="E53" s="178" t="inlineStr">
        <is>
          <t>Avances</t>
        </is>
      </c>
    </row>
    <row r="54" hidden="1" outlineLevel="1" collapsed="1" ht="36.75" customHeight="1">
      <c r="B54" s="265" t="inlineStr">
        <is>
          <t>Contexto: se hizo una cesión de cartera para las nuevas disposiciones. Dos disposiciones una de $4MDP y otra de $9MDP. Se espera hacer otra disposición de $9MDP</t>
        </is>
      </c>
      <c r="C54" s="266" t="n"/>
      <c r="D54" s="266" t="n"/>
      <c r="E54" s="267" t="n"/>
    </row>
    <row r="55" hidden="1" outlineLevel="1" collapsed="1" ht="15.75" customHeight="1">
      <c r="B55" s="183" t="inlineStr">
        <is>
          <t>1.- Aumento de IMOR16, se encuentra en 7.11% y si llega a 7.5% el aforo debe de subir</t>
        </is>
      </c>
      <c r="C55" s="183" t="inlineStr">
        <is>
          <t>Loan Tape Mayo 25</t>
        </is>
      </c>
      <c r="D55" s="183" t="n"/>
      <c r="E55" s="184" t="n"/>
    </row>
    <row r="56" hidden="1" outlineLevel="1" collapsed="1" ht="15.75" customHeight="1">
      <c r="B56" s="185" t="inlineStr">
        <is>
          <t xml:space="preserve">2.- Aumento de cartera vencida a 13% con incumplimiento en 14% </t>
        </is>
      </c>
      <c r="C56" s="186" t="inlineStr">
        <is>
          <t>Loan tape Mayo 25</t>
        </is>
      </c>
      <c r="D56" s="186" t="n"/>
      <c r="E56" s="187" t="n"/>
    </row>
    <row r="57" hidden="1" outlineLevel="1" collapsed="1" ht="15.75" customHeight="1">
      <c r="B57" s="182" t="inlineStr">
        <is>
          <t>3.- Nuevo cliente con mayor concentración</t>
        </is>
      </c>
      <c r="C57" s="183" t="n"/>
      <c r="D57" s="182" t="n"/>
      <c r="E57" s="184" t="n"/>
    </row>
    <row r="58" hidden="1" outlineLevel="1" collapsed="1" ht="15.75" customHeight="1">
      <c r="B58" s="185" t="n"/>
      <c r="C58" s="186" t="n"/>
      <c r="D58" s="185" t="n"/>
      <c r="E58" s="187" t="n"/>
    </row>
    <row r="59" hidden="1" outlineLevel="1" collapsed="1" ht="15.75" customHeight="1">
      <c r="B59" s="183" t="n"/>
      <c r="C59" s="183" t="n"/>
      <c r="D59" s="183" t="n"/>
      <c r="E59" s="184" t="n"/>
    </row>
    <row r="60" hidden="1" outlineLevel="1" collapsed="1" ht="15.75" customHeight="1">
      <c r="B60" s="197" t="n"/>
      <c r="C60" s="203" t="n"/>
      <c r="D60" s="203" t="n"/>
      <c r="E60" s="198" t="n"/>
    </row>
    <row r="61" hidden="1" outlineLevel="1" collapsed="1" ht="15.75" customHeight="1">
      <c r="B61" s="199" t="n"/>
      <c r="C61" s="202" t="n"/>
      <c r="D61" s="200" t="n"/>
      <c r="E61" s="202" t="n"/>
    </row>
    <row r="62" hidden="1" outlineLevel="1" collapsed="1" ht="15.75" customHeight="1"/>
    <row r="63" ht="15.75" customHeight="1"/>
    <row r="64" ht="15.75" customHeight="1">
      <c r="B64" s="176" t="inlineStr">
        <is>
          <t>Notas check Abr-25</t>
        </is>
      </c>
    </row>
    <row r="65" hidden="1" outlineLevel="1" collapsed="1" ht="15.75" customHeight="1">
      <c r="B65" s="177" t="inlineStr">
        <is>
          <t>Insights</t>
        </is>
      </c>
      <c r="C65" s="177" t="inlineStr">
        <is>
          <t>Referencia</t>
        </is>
      </c>
      <c r="D65" s="177" t="inlineStr">
        <is>
          <t>Next Steps</t>
        </is>
      </c>
      <c r="E65" s="178" t="inlineStr">
        <is>
          <t>Avances</t>
        </is>
      </c>
    </row>
    <row r="66" hidden="1" outlineLevel="1" collapsed="1" ht="36.75" customHeight="1">
      <c r="B66" s="265" t="inlineStr">
        <is>
          <t>Contexto: Se dispusieron $14MDP de los que se pensaba que con la cesión pasada para el aforo se podia disponer, hubo errores de comunicación entre OPAM, nosotros, y Red Girasol. OPAM nos dijo que si tenian el aforo para disponer $4MDP despues de los $10MDP que dispusieron pero realmente no se tenia el aforo suficiente. Se esta buscando tener otra cesión pero RG esta esperando saber si si vamos a poder darles el saldo faltante del crédito para que ya nos cedan todo o solamente lo de los $4MDP.</t>
        </is>
      </c>
      <c r="C66" s="266" t="n"/>
      <c r="D66" s="266" t="n"/>
      <c r="E66" s="267" t="n"/>
    </row>
    <row r="67" hidden="1" outlineLevel="1" collapsed="1" ht="15.75" customHeight="1">
      <c r="B67" s="183" t="inlineStr">
        <is>
          <t>1.- No existe registro de estimación preventiva en el ER, solamente en el BG</t>
        </is>
      </c>
      <c r="C67" s="183" t="inlineStr">
        <is>
          <t>Estado de Resultados Abr 25</t>
        </is>
      </c>
      <c r="D67" s="183" t="inlineStr">
        <is>
          <t>Preguntarles porque no se lleva ese registro e incitar a que es importante que lo agreguen</t>
        </is>
      </c>
      <c r="E67" s="184" t="n"/>
    </row>
    <row r="68" hidden="1" outlineLevel="1" collapsed="1" ht="15.75" customHeight="1">
      <c r="B68" s="185" t="inlineStr">
        <is>
          <t>2.- No estan incluyendo gastos por intereses, la cuenta sale como $0 cuando si nos pagaron a nosotros</t>
        </is>
      </c>
      <c r="C68" s="186" t="inlineStr">
        <is>
          <t>Estado de Resultados Abr25</t>
        </is>
      </c>
      <c r="D68" s="186" t="inlineStr">
        <is>
          <t>Preguntar porque no incluyen los gastos por intereses? Hay algun tema en la contabilidad?</t>
        </is>
      </c>
      <c r="E68" s="187" t="n"/>
    </row>
    <row r="69" hidden="1" outlineLevel="1" collapsed="1" ht="15.75" customHeight="1">
      <c r="B69" s="182" t="inlineStr">
        <is>
          <t>3.- Aportaciones para futuros aumentos: tienen esta cuenta la cual va aumentando desde el 2023 y ahorita cuentan con $25MDP a diferencia de $22MDPO del mes pasado.</t>
        </is>
      </c>
      <c r="C69" s="183" t="inlineStr">
        <is>
          <t>Balance General Abr25</t>
        </is>
      </c>
      <c r="D69" s="182" t="inlineStr">
        <is>
          <t>Preguntarles si planean protocalizar esto y pasarlo a su capital, porque esta ahí parado, de donde vienen estos aumentos? Cuales es su plan con esta cuenta? Saber donde esta en activos</t>
        </is>
      </c>
      <c r="E69" s="184" t="n"/>
    </row>
    <row r="70" hidden="1" outlineLevel="1" collapsed="1" ht="15.75" customHeight="1">
      <c r="B70" s="185" t="inlineStr">
        <is>
          <t>4.- Nueva cuenta en capital reportada como "Total participación no controlada" de $-642 mil pesos</t>
        </is>
      </c>
      <c r="C70" s="186" t="inlineStr">
        <is>
          <t>Balance General Abr25</t>
        </is>
      </c>
      <c r="D70" s="185" t="inlineStr">
        <is>
          <t xml:space="preserve">Preguntarles sobre esta nueva cuenta, qué es? </t>
        </is>
      </c>
      <c r="E70" s="187" t="n"/>
    </row>
    <row r="71" hidden="1" outlineLevel="1" collapsed="1" ht="15.75" customHeight="1">
      <c r="B71" s="183" t="inlineStr">
        <is>
          <t>5.- Vemos que OPAM no esta restando unas cuentas que deben ser como inelegibles</t>
        </is>
      </c>
      <c r="C71" s="183" t="inlineStr">
        <is>
          <t>OPAM Abr25</t>
        </is>
      </c>
      <c r="D71" s="183" t="inlineStr">
        <is>
          <t>Platicar con ellos para no dejar pasar esas pequeñas diferencias</t>
        </is>
      </c>
      <c r="E71" s="184" t="n"/>
    </row>
    <row r="72" hidden="1" outlineLevel="1" collapsed="1" ht="15.75" customHeight="1">
      <c r="B72" s="197" t="inlineStr">
        <is>
          <t>6.- Aumento su cartera $12MDP al igual que su deuda, demostrando que si están utilizando su fondeo para colocar y crecer su cartera</t>
        </is>
      </c>
      <c r="C72" s="203" t="n"/>
      <c r="D72" s="203" t="n"/>
      <c r="E72" s="198" t="n"/>
    </row>
    <row r="73" hidden="1" outlineLevel="1" collapsed="1" ht="15.75" customHeight="1">
      <c r="B73" s="199" t="inlineStr">
        <is>
          <t>7.- Hacer nuevo check y análisis de atrasos y vencido por cliente, no solo por crédito. Ver esa diferencia para ver si es importante tomarlo en cuenta en los covenants.</t>
        </is>
      </c>
      <c r="C73" s="202" t="inlineStr">
        <is>
          <t>Análisis LT Abr25</t>
        </is>
      </c>
      <c r="D73" s="200" t="n"/>
      <c r="E73" s="202" t="n"/>
    </row>
    <row r="74" hidden="1" outlineLevel="1" collapsed="1" ht="15.75" customHeight="1"/>
    <row r="75" ht="15.75" customHeight="1"/>
    <row r="76" ht="15.75" customHeight="1">
      <c r="B76" s="89" t="n"/>
    </row>
    <row r="77" ht="15.75" customHeight="1">
      <c r="B77" s="176" t="inlineStr">
        <is>
          <t>Notas check Mar-25</t>
        </is>
      </c>
    </row>
    <row r="78" outlineLevel="1" collapsed="1" ht="15.75" customHeight="1">
      <c r="B78" s="177" t="inlineStr">
        <is>
          <t>Insights</t>
        </is>
      </c>
      <c r="C78" s="177" t="inlineStr">
        <is>
          <t>Referencia</t>
        </is>
      </c>
      <c r="D78" s="177" t="inlineStr">
        <is>
          <t>Next Steps</t>
        </is>
      </c>
      <c r="E78" s="178" t="inlineStr">
        <is>
          <t>Avances</t>
        </is>
      </c>
    </row>
    <row r="79" outlineLevel="1" collapsed="1" ht="15.75" customHeight="1">
      <c r="B79" s="186" t="inlineStr">
        <is>
          <t>1.- No existe registro de estimación preventiva en el ER</t>
        </is>
      </c>
      <c r="C79" s="186" t="inlineStr">
        <is>
          <t>Estado de resultados</t>
        </is>
      </c>
      <c r="D79" s="186" t="inlineStr">
        <is>
          <t>Checar con ellos, porque no ponen ese registro?</t>
        </is>
      </c>
      <c r="E79" s="204" t="inlineStr">
        <is>
          <t>Prioridades: creemos que el aforo es más importante y salieron temas acerca de eso entonces decidimos buscar reslover antes de hacer estas preguntas, vamos a esperar a cuando manden la info de mayo para hacer esa pregunta</t>
        </is>
      </c>
    </row>
    <row r="80" outlineLevel="1" collapsed="1" ht="15.75" customHeight="1">
      <c r="B80" s="183" t="inlineStr">
        <is>
          <t>2.- Aumento de cartera vencida y atrasada</t>
        </is>
      </c>
      <c r="C80" s="183" t="inlineStr">
        <is>
          <t>Loan Tape</t>
        </is>
      </c>
      <c r="D80" s="183" t="inlineStr">
        <is>
          <t>Platicar con ellos sobre porque esta pasando con la cobranza, y si esperan recuperar algo</t>
        </is>
      </c>
      <c r="E80" s="205" t="inlineStr">
        <is>
          <t>Si vimos recuperación tanto de cartera atrasada como de cartera vencida, nos comentaron que si tenian tema con un cliente de $4MDP que no estaba contestando y ya lo estaban demandando. Creemos que recuperaron ese cliente</t>
        </is>
      </c>
    </row>
    <row r="81" outlineLevel="1" collapsed="1" ht="15.75" customHeight="1">
      <c r="B81" s="186" t="inlineStr">
        <is>
          <t>3.- El LT no se esta compartiendo en el formato solicitado</t>
        </is>
      </c>
      <c r="C81" s="186" t="inlineStr">
        <is>
          <t>Loan Tape</t>
        </is>
      </c>
      <c r="D81" s="186" t="inlineStr">
        <is>
          <t>Pedir que no se cambie el formato y regrese al formato solicitado</t>
        </is>
      </c>
      <c r="E81" s="187" t="n"/>
    </row>
    <row r="82" outlineLevel="1" collapsed="1" ht="15.75" customHeight="1">
      <c r="B82" s="183" t="inlineStr">
        <is>
          <t>4.- Agregar el check de moffin/syntage</t>
        </is>
      </c>
      <c r="C82" s="183" t="n"/>
      <c r="D82" s="183" t="n"/>
      <c r="E82" s="184" t="inlineStr">
        <is>
          <t>Ya se agregó, hace falta la declaración anual</t>
        </is>
      </c>
    </row>
    <row r="83" outlineLevel="1" collapsed="1" ht="15.75" customHeight="1">
      <c r="B83" s="185" t="inlineStr">
        <is>
          <t>5.- No se ve la declaración anual en syntage</t>
        </is>
      </c>
      <c r="C83" s="186" t="inlineStr">
        <is>
          <t>Syntage</t>
        </is>
      </c>
      <c r="D83" s="185" t="inlineStr">
        <is>
          <t>Preguntar que pasó, porque no se ve el registro</t>
        </is>
      </c>
      <c r="E83" s="204" t="inlineStr">
        <is>
          <t>Volvimos a correr la declaración anual de syntage y siguen sin tenerla, junto con la opinión de cumplimiento negativa</t>
        </is>
      </c>
    </row>
    <row r="84" outlineLevel="1" collapsed="1" ht="15.75" customHeight="1">
      <c r="B84" s="183" t="n"/>
      <c r="C84" s="183" t="n"/>
      <c r="D84" s="183" t="n"/>
      <c r="E84" s="184" t="n"/>
    </row>
    <row r="85" outlineLevel="1" collapsed="1" ht="15.75" customHeight="1">
      <c r="B85" s="203" t="n"/>
      <c r="C85" s="203" t="n"/>
      <c r="D85" s="203" t="n"/>
      <c r="E85" s="198" t="n"/>
    </row>
    <row r="86" outlineLevel="1" collapsed="1" ht="15.75" customHeight="1">
      <c r="B86" s="200" t="n"/>
      <c r="C86" s="202" t="n"/>
      <c r="D86" s="200" t="n"/>
      <c r="E86" s="202" t="n"/>
    </row>
    <row r="87" ht="15.75" customHeight="1"/>
    <row r="88" ht="15.75" customHeight="1"/>
    <row r="89" ht="15.75" customHeight="1">
      <c r="B89" s="176" t="n"/>
    </row>
    <row r="90" ht="15.75" customHeight="1">
      <c r="B90" s="139" t="n"/>
      <c r="C90" s="139" t="n"/>
      <c r="D90" s="139" t="n"/>
      <c r="E90" s="139" t="n"/>
    </row>
    <row r="91" ht="16.5" customHeight="1">
      <c r="B91" s="206" t="n"/>
      <c r="C91" s="206" t="n"/>
      <c r="D91" s="206" t="n"/>
      <c r="E91" s="206" t="n"/>
    </row>
    <row r="92" ht="15.75" customHeight="1">
      <c r="B92" s="196" t="n"/>
      <c r="C92" s="196" t="n"/>
      <c r="D92" s="196" t="n"/>
      <c r="E92" s="196" t="n"/>
    </row>
    <row r="93" ht="15.75" customHeight="1">
      <c r="B93" s="206" t="n"/>
      <c r="C93" s="196" t="n"/>
      <c r="D93" s="196" t="n"/>
      <c r="E93" s="196" t="n"/>
    </row>
    <row r="94" ht="15.75" customHeight="1">
      <c r="B94" s="206" t="n"/>
      <c r="C94" s="196" t="n"/>
      <c r="D94" s="206" t="n"/>
      <c r="E94" s="196" t="n"/>
    </row>
    <row r="95" ht="15.75" customHeight="1">
      <c r="B95" s="206" t="n"/>
      <c r="C95" s="196" t="n"/>
      <c r="D95" s="206" t="n"/>
      <c r="E95" s="196" t="n"/>
    </row>
    <row r="96" ht="15.75" customHeight="1">
      <c r="B96" s="196" t="n"/>
      <c r="C96" s="196" t="n"/>
      <c r="D96" s="196" t="n"/>
      <c r="E96" s="196" t="n"/>
    </row>
    <row r="97" ht="15.75" customHeight="1">
      <c r="B97" s="207" t="n"/>
    </row>
    <row r="98" ht="15.75" customHeight="1">
      <c r="B98" s="206" t="n"/>
      <c r="C98" s="196" t="n"/>
      <c r="D98" s="196" t="n"/>
      <c r="E98" s="196" t="n"/>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7:E27"/>
    <mergeCell ref="B41:E41"/>
    <mergeCell ref="B4:E4"/>
    <mergeCell ref="B54:E54"/>
    <mergeCell ref="B16:E16"/>
    <mergeCell ref="B66:E66"/>
  </mergeCells>
  <pageMargins left="0.7" right="0.7" top="0.75" bottom="0.75" header="0" footer="0"/>
  <pageSetup orientation="landscape" scale="100" fitToHeight="1" fitToWidth="1" firstPageNumber="1" useFirstPageNumber="1" horizontalDpi="4294967295" verticalDpi="4294967295" copies="1"/>
</worksheet>
</file>

<file path=xl/worksheets/sheet10.xml><?xml version="1.0" encoding="utf-8"?>
<worksheet xmlns="http://schemas.openxmlformats.org/spreadsheetml/2006/main">
  <sheetPr>
    <tabColor rgb="FF0F766E"/>
    <outlinePr summaryBelow="1" summaryRight="1"/>
    <pageSetUpPr fitToPage="1"/>
  </sheetPr>
  <dimension ref="A1:F40"/>
  <sheetViews>
    <sheetView workbookViewId="0">
      <pane ySplit="4" topLeftCell="A5" activePane="bottomLeft" state="frozen"/>
      <selection pane="bottomLeft" activeCell="A1" sqref="A1"/>
    </sheetView>
  </sheetViews>
  <sheetFormatPr baseColWidth="8" defaultRowHeight="15" outlineLevelRow="0" outlineLevelCol="0"/>
  <cols>
    <col width="20" customWidth="1" min="1" max="1"/>
    <col width="36" customWidth="1" min="2" max="2"/>
    <col width="58" customWidth="1" min="3" max="3"/>
    <col width="48" customWidth="1" min="4" max="4"/>
    <col width="18" customWidth="1" min="5" max="5"/>
    <col width="58" customWidth="1" min="6" max="6"/>
  </cols>
  <sheetData>
    <row r="1" ht="28" customHeight="1">
      <c r="A1" s="208" t="inlineStr">
        <is>
          <t>Catalogo de Indicadores IFNB</t>
        </is>
      </c>
    </row>
    <row r="2" ht="34" customHeight="1">
      <c r="A2" s="209" t="inlineStr">
        <is>
          <t>Indicadores para monitoreo de instituciones financieras no bancarias fondeadas por Syscap. Usar formulas como definicion base y ajustar umbrales segun contrato, vintage, producto, colateral y madurez operativa.</t>
        </is>
      </c>
    </row>
    <row r="4" ht="22" customHeight="1">
      <c r="A4" s="210" t="inlineStr">
        <is>
          <t>Categoria</t>
        </is>
      </c>
      <c r="B4" s="210" t="inlineStr">
        <is>
          <t>Indicador</t>
        </is>
      </c>
      <c r="C4" s="210" t="inlineStr">
        <is>
          <t>Formula</t>
        </is>
      </c>
      <c r="D4" s="210" t="inlineStr">
        <is>
          <t>Campos requeridos / mapeo</t>
        </is>
      </c>
      <c r="E4" s="210" t="inlineStr">
        <is>
          <t>Criterio</t>
        </is>
      </c>
      <c r="F4" s="210" t="inlineStr">
        <is>
          <t>Uso analitico</t>
        </is>
      </c>
    </row>
    <row r="5" ht="42" customHeight="1">
      <c r="A5" s="211" t="inlineStr">
        <is>
          <t>Rentabilidad</t>
        </is>
      </c>
      <c r="B5" s="212" t="inlineStr">
        <is>
          <t>Margen Financiero</t>
        </is>
      </c>
      <c r="C5" s="213" t="inlineStr">
        <is>
          <t>Margen Financiero Aj. / (Ingresos por Intereses + Ingresos por Comisiones)</t>
        </is>
      </c>
      <c r="D5" s="212" t="inlineStr">
        <is>
          <t>Margen financiero ajustado; ingresos por intereses; ingresos por comisiones</t>
        </is>
      </c>
      <c r="E5" s="212" t="inlineStr">
        <is>
          <t>Mayor es mejor</t>
        </is>
      </c>
      <c r="F5" s="212" t="inlineStr">
        <is>
          <t>Mide capacidad del negocio financiero para generar margen sobre ingresos core.</t>
        </is>
      </c>
    </row>
    <row r="6" ht="42" customHeight="1">
      <c r="A6" s="214" t="inlineStr">
        <is>
          <t>Rentabilidad</t>
        </is>
      </c>
      <c r="B6" s="215" t="inlineStr">
        <is>
          <t>Rentabilidad Operativa</t>
        </is>
      </c>
      <c r="C6" s="216" t="inlineStr">
        <is>
          <t>Utilidad Operativa Aj. / (Ingresos por Intereses + Ingresos por Comisiones)</t>
        </is>
      </c>
      <c r="D6" s="215" t="inlineStr">
        <is>
          <t>Utilidad operativa ajustada; ingresos por intereses; ingresos por comisiones</t>
        </is>
      </c>
      <c r="E6" s="215" t="inlineStr">
        <is>
          <t>Mayor es mejor</t>
        </is>
      </c>
      <c r="F6" s="215" t="inlineStr">
        <is>
          <t>Evalua si el core cubre gasto operativo antes de partidas no recurrentes.</t>
        </is>
      </c>
    </row>
    <row r="7" ht="42" customHeight="1">
      <c r="A7" s="211" t="inlineStr">
        <is>
          <t>Rentabilidad</t>
        </is>
      </c>
      <c r="B7" s="212" t="inlineStr">
        <is>
          <t>Margen Neto</t>
        </is>
      </c>
      <c r="C7" s="213" t="inlineStr">
        <is>
          <t>Utilidad Neta / (Ingresos por Intereses + Ingresos por Comisiones)</t>
        </is>
      </c>
      <c r="D7" s="212" t="inlineStr">
        <is>
          <t>Utilidad neta; ingresos por intereses; ingresos por comisiones</t>
        </is>
      </c>
      <c r="E7" s="212" t="inlineStr">
        <is>
          <t>Mayor es mejor</t>
        </is>
      </c>
      <c r="F7" s="212" t="inlineStr">
        <is>
          <t>Resume rentabilidad final sobre ingresos core.</t>
        </is>
      </c>
    </row>
    <row r="8" ht="42" customHeight="1">
      <c r="A8" s="214" t="inlineStr">
        <is>
          <t>Eficiencia</t>
        </is>
      </c>
      <c r="B8" s="215" t="inlineStr">
        <is>
          <t>Eficiencia Operativa</t>
        </is>
      </c>
      <c r="C8" s="216" t="inlineStr">
        <is>
          <t>Gastos Adm., Venta y Opn. / (Ingresos por Intereses + Ingresos por Comisiones)</t>
        </is>
      </c>
      <c r="D8" s="215" t="inlineStr">
        <is>
          <t>Gastos de administracion, venta y operacion; ingresos por intereses; ingresos por comisiones</t>
        </is>
      </c>
      <c r="E8" s="215" t="inlineStr">
        <is>
          <t>Menor es mejor</t>
        </is>
      </c>
      <c r="F8" s="215" t="inlineStr">
        <is>
          <t>Una razon alta puede senalar escala insuficiente o estructura de costos pesada.</t>
        </is>
      </c>
    </row>
    <row r="9" ht="42" customHeight="1">
      <c r="A9" s="211" t="inlineStr">
        <is>
          <t>Rentabilidad</t>
        </is>
      </c>
      <c r="B9" s="212" t="inlineStr">
        <is>
          <t>ROE</t>
        </is>
      </c>
      <c r="C9" s="213" t="inlineStr">
        <is>
          <t>Utilidad Neta / Total Capital Contable</t>
        </is>
      </c>
      <c r="D9" s="212" t="inlineStr">
        <is>
          <t>Utilidad neta; total capital contable</t>
        </is>
      </c>
      <c r="E9" s="212" t="inlineStr">
        <is>
          <t>Mayor es mejor</t>
        </is>
      </c>
      <c r="F9" s="212" t="inlineStr">
        <is>
          <t>Retorno generado sobre capital contable.</t>
        </is>
      </c>
    </row>
    <row r="10" ht="42" customHeight="1">
      <c r="A10" s="214" t="inlineStr">
        <is>
          <t>Rentabilidad</t>
        </is>
      </c>
      <c r="B10" s="215" t="inlineStr">
        <is>
          <t>ROA</t>
        </is>
      </c>
      <c r="C10" s="216" t="inlineStr">
        <is>
          <t>Utilidad Neta / Total Activo</t>
        </is>
      </c>
      <c r="D10" s="215" t="inlineStr">
        <is>
          <t>Utilidad neta; total activo</t>
        </is>
      </c>
      <c r="E10" s="215" t="inlineStr">
        <is>
          <t>Mayor es mejor</t>
        </is>
      </c>
      <c r="F10" s="215" t="inlineStr">
        <is>
          <t>Retorno generado por la base total de activos.</t>
        </is>
      </c>
    </row>
    <row r="11" ht="42" customHeight="1">
      <c r="A11" s="211" t="inlineStr">
        <is>
          <t>Calidad de cartera</t>
        </is>
      </c>
      <c r="B11" s="212" t="inlineStr">
        <is>
          <t>Cartera Vencida</t>
        </is>
      </c>
      <c r="C11" s="213" t="inlineStr">
        <is>
          <t>Cartera Vencida / Cartera Administrada</t>
        </is>
      </c>
      <c r="D11" s="212" t="inlineStr">
        <is>
          <t>Cartera vencida; cartera administrada</t>
        </is>
      </c>
      <c r="E11" s="212" t="inlineStr">
        <is>
          <t>Menor es mejor</t>
        </is>
      </c>
      <c r="F11" s="212" t="inlineStr">
        <is>
          <t>Indicador principal de deterioro y cobranza.</t>
        </is>
      </c>
    </row>
    <row r="12" ht="42" customHeight="1">
      <c r="A12" s="214" t="inlineStr">
        <is>
          <t>Calidad de cartera</t>
        </is>
      </c>
      <c r="B12" s="215" t="inlineStr">
        <is>
          <t>Cartera Vencida Neta</t>
        </is>
      </c>
      <c r="C12" s="216" t="inlineStr">
        <is>
          <t>(Cartera Vencida - Estimacion Preventiva) / Cartera Administrada</t>
        </is>
      </c>
      <c r="D12" s="215" t="inlineStr">
        <is>
          <t>Cartera vencida; estimacion preventiva; cartera administrada</t>
        </is>
      </c>
      <c r="E12" s="215" t="inlineStr">
        <is>
          <t>Menor es mejor</t>
        </is>
      </c>
      <c r="F12" s="215" t="inlineStr">
        <is>
          <t>Aproxima la exposicion vencida no cubierta por reservas.</t>
        </is>
      </c>
    </row>
    <row r="13" ht="42" customHeight="1">
      <c r="A13" s="211" t="inlineStr">
        <is>
          <t>Capitalizacion</t>
        </is>
      </c>
      <c r="B13" s="212" t="inlineStr">
        <is>
          <t>Apalancamiento</t>
        </is>
      </c>
      <c r="C13" s="213" t="inlineStr">
        <is>
          <t>(Bancos y Fondos CP + Bancos y Fondos LP) / Total Activo</t>
        </is>
      </c>
      <c r="D13" s="212" t="inlineStr">
        <is>
          <t>Bancos y fondos CP; bancos y fondos LP; total activo</t>
        </is>
      </c>
      <c r="E13" s="212" t="inlineStr">
        <is>
          <t>Menor es mejor</t>
        </is>
      </c>
      <c r="F13" s="212" t="inlineStr">
        <is>
          <t>Mide dependencia de fondeo con costo respecto al tamano del balance.</t>
        </is>
      </c>
    </row>
    <row r="14" ht="42" customHeight="1">
      <c r="A14" s="214" t="inlineStr">
        <is>
          <t>Capitalizacion</t>
        </is>
      </c>
      <c r="B14" s="215" t="inlineStr">
        <is>
          <t>ICAP</t>
        </is>
      </c>
      <c r="C14" s="216" t="inlineStr">
        <is>
          <t>Total Capital Contable / Total Activo</t>
        </is>
      </c>
      <c r="D14" s="215" t="inlineStr">
        <is>
          <t>Total capital contable; total activo</t>
        </is>
      </c>
      <c r="E14" s="215" t="inlineStr">
        <is>
          <t>Mayor es mejor</t>
        </is>
      </c>
      <c r="F14" s="215" t="inlineStr">
        <is>
          <t>Capital contable como colchon frente a activos totales.</t>
        </is>
      </c>
    </row>
    <row r="15" ht="42" customHeight="1">
      <c r="A15" s="211" t="inlineStr">
        <is>
          <t>Capitalizacion</t>
        </is>
      </c>
      <c r="B15" s="212" t="inlineStr">
        <is>
          <t>ICAP Ajustado</t>
        </is>
      </c>
      <c r="C15" s="213" t="inlineStr">
        <is>
          <t>Total Capital Contable / Cartera Neta</t>
        </is>
      </c>
      <c r="D15" s="212" t="inlineStr">
        <is>
          <t>Total capital contable; cartera neta</t>
        </is>
      </c>
      <c r="E15" s="212" t="inlineStr">
        <is>
          <t>Mayor es mejor</t>
        </is>
      </c>
      <c r="F15" s="212" t="inlineStr">
        <is>
          <t>Capital relativo a cartera neta de reservas.</t>
        </is>
      </c>
    </row>
    <row r="16" ht="42" customHeight="1">
      <c r="A16" s="214" t="inlineStr">
        <is>
          <t>Cobertura y liquidez</t>
        </is>
      </c>
      <c r="B16" s="215" t="inlineStr">
        <is>
          <t>Cobertura de Deuda</t>
        </is>
      </c>
      <c r="C16" s="216" t="inlineStr">
        <is>
          <t>Activos Productivos / Total Pasivo</t>
        </is>
      </c>
      <c r="D16" s="215" t="inlineStr">
        <is>
          <t>Activos productivos; total pasivo</t>
        </is>
      </c>
      <c r="E16" s="215" t="inlineStr">
        <is>
          <t>Mayor es mejor</t>
        </is>
      </c>
      <c r="F16" s="215" t="inlineStr">
        <is>
          <t>Compara activos que generan flujo contra obligaciones.</t>
        </is>
      </c>
    </row>
    <row r="17" ht="42" customHeight="1">
      <c r="A17" s="211" t="inlineStr">
        <is>
          <t>Definicion base</t>
        </is>
      </c>
      <c r="B17" s="212" t="inlineStr">
        <is>
          <t>Activos Productivos</t>
        </is>
      </c>
      <c r="C17" s="213" t="inlineStr">
        <is>
          <t>Bancos + Inversiones disponibles no comprometidas + Cartera de credito</t>
        </is>
      </c>
      <c r="D17" s="212" t="inlineStr">
        <is>
          <t>Bancos; inversiones disponibles no comprometidas; cartera de credito</t>
        </is>
      </c>
      <c r="E17" s="212" t="inlineStr">
        <is>
          <t>Mayor es mejor</t>
        </is>
      </c>
      <c r="F17" s="212" t="inlineStr">
        <is>
          <t>Base de activos que deberia respaldar fondeo y generacion de ingresos.</t>
        </is>
      </c>
    </row>
    <row r="18" ht="42" customHeight="1">
      <c r="A18" s="214" t="inlineStr">
        <is>
          <t>Calidad de cartera</t>
        </is>
      </c>
      <c r="B18" s="215" t="inlineStr">
        <is>
          <t>Indice de Cobertura de Cartera Vencida</t>
        </is>
      </c>
      <c r="C18" s="216" t="inlineStr">
        <is>
          <t>Estimacion Preventiva / Cartera Vencida</t>
        </is>
      </c>
      <c r="D18" s="215" t="inlineStr">
        <is>
          <t>Estimacion preventiva; cartera vencida</t>
        </is>
      </c>
      <c r="E18" s="215" t="inlineStr">
        <is>
          <t>Mayor es mejor</t>
        </is>
      </c>
      <c r="F18" s="215" t="inlineStr">
        <is>
          <t>Reserva disponible contra cartera vencida; util para IFNB con historia corta.</t>
        </is>
      </c>
    </row>
    <row r="19" ht="42" customHeight="1">
      <c r="A19" s="211" t="inlineStr">
        <is>
          <t>Fondeo</t>
        </is>
      </c>
      <c r="B19" s="212" t="inlineStr">
        <is>
          <t>Costo de Fondeo Aproximado</t>
        </is>
      </c>
      <c r="C19" s="213" t="inlineStr">
        <is>
          <t>Gasto Financiero / (Bancos y Fondos CP + Bancos y Fondos LP)</t>
        </is>
      </c>
      <c r="D19" s="212" t="inlineStr">
        <is>
          <t>Gasto financiero; bancos y fondos CP; bancos y fondos LP</t>
        </is>
      </c>
      <c r="E19" s="212" t="inlineStr">
        <is>
          <t>Menor es mejor</t>
        </is>
      </c>
      <c r="F19" s="212" t="inlineStr">
        <is>
          <t>Costo promedio aproximado de deuda con costo.</t>
        </is>
      </c>
    </row>
    <row r="20" ht="42" customHeight="1">
      <c r="A20" s="214" t="inlineStr">
        <is>
          <t>Fondeo</t>
        </is>
      </c>
      <c r="B20" s="215" t="inlineStr">
        <is>
          <t>Rendimiento de Cartera (Yield)</t>
        </is>
      </c>
      <c r="C20" s="216" t="inlineStr">
        <is>
          <t>Ingresos por Intereses / Cartera Administrada</t>
        </is>
      </c>
      <c r="D20" s="215" t="inlineStr">
        <is>
          <t>Ingresos por intereses; cartera administrada</t>
        </is>
      </c>
      <c r="E20" s="215" t="inlineStr">
        <is>
          <t>Mayor es mejor</t>
        </is>
      </c>
      <c r="F20" s="215" t="inlineStr">
        <is>
          <t>Rendimiento bruto de la cartera antes de costo de fondeo y perdidas.</t>
        </is>
      </c>
    </row>
    <row r="21" ht="42" customHeight="1">
      <c r="A21" s="211" t="inlineStr">
        <is>
          <t>Fondeo</t>
        </is>
      </c>
      <c r="B21" s="212" t="inlineStr">
        <is>
          <t>Spread Financiero Aproximado</t>
        </is>
      </c>
      <c r="C21" s="213" t="inlineStr">
        <is>
          <t>Rendimiento de Cartera - Costo de Fondeo Aproximado</t>
        </is>
      </c>
      <c r="D21" s="212" t="inlineStr">
        <is>
          <t>Rendimiento de cartera; costo de fondeo aproximado</t>
        </is>
      </c>
      <c r="E21" s="212" t="inlineStr">
        <is>
          <t>Mayor es mejor</t>
        </is>
      </c>
      <c r="F21" s="212" t="inlineStr">
        <is>
          <t>Margen entre yield y fondeo; presiona rentabilidad si se comprime.</t>
        </is>
      </c>
    </row>
    <row r="22" ht="42" customHeight="1">
      <c r="A22" s="214" t="inlineStr">
        <is>
          <t>Liquidez</t>
        </is>
      </c>
      <c r="B22" s="215" t="inlineStr">
        <is>
          <t>Liquidez Inmediata</t>
        </is>
      </c>
      <c r="C22" s="216" t="inlineStr">
        <is>
          <t>(Bancos + Inversiones disponibles no comprometidas) / Pasivo Corriente</t>
        </is>
      </c>
      <c r="D22" s="215" t="inlineStr">
        <is>
          <t>Bancos; inversiones disponibles no comprometidas; pasivo corriente</t>
        </is>
      </c>
      <c r="E22" s="215" t="inlineStr">
        <is>
          <t>Mayor es mejor</t>
        </is>
      </c>
      <c r="F22" s="215" t="inlineStr">
        <is>
          <t>Liquidez disponible para atender obligaciones de corto plazo.</t>
        </is>
      </c>
    </row>
    <row r="23" ht="42" customHeight="1">
      <c r="A23" s="211" t="inlineStr">
        <is>
          <t>Capitalizacion</t>
        </is>
      </c>
      <c r="B23" s="212" t="inlineStr">
        <is>
          <t>Cartera Vencida / Capital Contable</t>
        </is>
      </c>
      <c r="C23" s="213" t="inlineStr">
        <is>
          <t>Cartera Vencida / Capital Contable</t>
        </is>
      </c>
      <c r="D23" s="212" t="inlineStr">
        <is>
          <t>Cartera vencida; capital contable</t>
        </is>
      </c>
      <c r="E23" s="212" t="inlineStr">
        <is>
          <t>Menor es mejor</t>
        </is>
      </c>
      <c r="F23" s="212" t="inlineStr">
        <is>
          <t>Dimensiona cartera problemática contra el colchon patrimonial.</t>
        </is>
      </c>
    </row>
    <row r="26">
      <c r="A26" s="217" t="inlineStr">
        <is>
          <t>Supuestos de mapeo y auditoria</t>
        </is>
      </c>
    </row>
    <row r="27" ht="28" customHeight="1">
      <c r="A27" s="212" t="inlineStr">
        <is>
          <t>Ingresos core del negocio = ingresos por intereses + ingresos por comisiones. Si la entidad solo reporta ingresos totales comparables, documentar el criterio.</t>
        </is>
      </c>
      <c r="B27" s="268" t="n"/>
      <c r="C27" s="268" t="n"/>
      <c r="D27" s="268" t="n"/>
      <c r="E27" s="268" t="n"/>
      <c r="F27" s="268" t="n"/>
    </row>
    <row r="28" ht="28" customHeight="1">
      <c r="A28" s="212" t="inlineStr">
        <is>
          <t>Activos productivos = bancos, inversiones disponibles/no comprometidas y cartera de credito. Excluir inversiones restringidas o colaterales comprometidos.</t>
        </is>
      </c>
      <c r="B28" s="268" t="n"/>
      <c r="C28" s="268" t="n"/>
      <c r="D28" s="268" t="n"/>
      <c r="E28" s="268" t="n"/>
      <c r="F28" s="268" t="n"/>
    </row>
    <row r="29" ht="28" customHeight="1">
      <c r="A29" s="212" t="inlineStr">
        <is>
          <t>Cartera administrada debe reconciliar contra loan tape o reporte de cartera. Para IFNB en etapa temprana, documentar cambios de definicion o vintage.</t>
        </is>
      </c>
      <c r="B29" s="268" t="n"/>
      <c r="C29" s="268" t="n"/>
      <c r="D29" s="268" t="n"/>
      <c r="E29" s="268" t="n"/>
      <c r="F29" s="268" t="n"/>
    </row>
    <row r="30" ht="28" customHeight="1">
      <c r="A30" s="212" t="inlineStr">
        <is>
          <t>Estimacion preventiva debe mapearse contra reservas de credito; si no existe o esta subestimada, marcar como area de oportunidad.</t>
        </is>
      </c>
      <c r="B30" s="268" t="n"/>
      <c r="C30" s="268" t="n"/>
      <c r="D30" s="268" t="n"/>
      <c r="E30" s="268" t="n"/>
      <c r="F30" s="268" t="n"/>
    </row>
    <row r="31" ht="28" customHeight="1">
      <c r="A31" s="212" t="inlineStr">
        <is>
          <t>Los umbrales no son universales: deben calibrarse por producto, plazo, garantia, calidad de originacion, concentracion y madurez de cobranza.</t>
        </is>
      </c>
      <c r="B31" s="268" t="n"/>
      <c r="C31" s="268" t="n"/>
      <c r="D31" s="268" t="n"/>
      <c r="E31" s="268" t="n"/>
      <c r="F31" s="268" t="n"/>
    </row>
    <row r="33">
      <c r="A33" s="217" t="inlineStr">
        <is>
          <t>Fuentes / criterios</t>
        </is>
      </c>
    </row>
    <row r="34">
      <c r="A34" s="218" t="inlineStr">
        <is>
          <t>Fuente</t>
        </is>
      </c>
      <c r="B34" s="218" t="inlineStr">
        <is>
          <t>Criterio aplicado</t>
        </is>
      </c>
      <c r="C34" s="218" t="inlineStr">
        <is>
          <t>URL</t>
        </is>
      </c>
      <c r="D34" s="218" t="inlineStr"/>
      <c r="E34" s="218" t="inlineStr"/>
      <c r="F34" s="218" t="inlineStr"/>
    </row>
    <row r="35" ht="34" customHeight="1">
      <c r="A35" s="212" t="inlineStr">
        <is>
          <t>NIF B-3</t>
        </is>
      </c>
      <c r="B35" s="212" t="inlineStr">
        <is>
          <t>Estado de resultado integral; base para ingresos, gastos, utilidad operativa y utilidad neta.</t>
        </is>
      </c>
      <c r="C35" s="219" t="inlineStr">
        <is>
          <t>https://www.cinif.org.mx/</t>
        </is>
      </c>
    </row>
    <row r="36" ht="34" customHeight="1">
      <c r="A36" s="215" t="inlineStr">
        <is>
          <t>NIF B-6</t>
        </is>
      </c>
      <c r="B36" s="215" t="inlineStr">
        <is>
          <t>Estado de situacion financiera; base para activos, pasivos y capital contable.</t>
        </is>
      </c>
      <c r="C36" s="220" t="inlineStr">
        <is>
          <t>https://www.cinif.org.mx/</t>
        </is>
      </c>
    </row>
    <row r="37" ht="34" customHeight="1">
      <c r="A37" s="212" t="inlineStr">
        <is>
          <t>CNBV - Circular Unica</t>
        </is>
      </c>
      <c r="B37" s="212" t="inlineStr">
        <is>
          <t>Criterios prudenciales usados como referencia para cartera vencida y estimaciones preventivas.</t>
        </is>
      </c>
      <c r="C37" s="219" t="inlineStr">
        <is>
          <t>https://www.cnbv.gob.mx/Normatividad/Paginas/Disposiciones.aspx</t>
        </is>
      </c>
    </row>
    <row r="38" ht="34" customHeight="1">
      <c r="A38" s="215" t="inlineStr">
        <is>
          <t>CFA Institute / analisis financiero</t>
        </is>
      </c>
      <c r="B38" s="215" t="inlineStr">
        <is>
          <t>Practica comun para margenes, ROA, ROE, liquidez, apalancamiento y eficiencia.</t>
        </is>
      </c>
      <c r="C38" s="220" t="inlineStr">
        <is>
          <t>https://www.cfainstitute.org/</t>
        </is>
      </c>
    </row>
    <row r="39" ht="34" customHeight="1">
      <c r="A39" s="212" t="inlineStr">
        <is>
          <t>Practica de fondeo warehouse a IFNB</t>
        </is>
      </c>
      <c r="B39" s="212" t="inlineStr">
        <is>
          <t>Covenants tipicos: morosidad, cobertura de reservas, capitalizacion, liquidez, borrowing base y concentracion.</t>
        </is>
      </c>
      <c r="C39" s="219" t="inlineStr">
        <is>
          <t>https://www.lsta.org/</t>
        </is>
      </c>
    </row>
    <row r="40" ht="34" customHeight="1">
      <c r="A40" s="215" t="inlineStr">
        <is>
          <t>Damodaran / practica de spreads y costo de capital</t>
        </is>
      </c>
      <c r="B40" s="215" t="inlineStr">
        <is>
          <t>Referencia de analisis de rentabilidad, spreads y retornos ajustados a riesgo.</t>
        </is>
      </c>
      <c r="C40" s="220" t="inlineStr">
        <is>
          <t>https://pages.stern.nyu.edu/~adamodar/</t>
        </is>
      </c>
    </row>
  </sheetData>
  <autoFilter ref="A4:F4"/>
  <mergeCells count="9">
    <mergeCell ref="A2:F2"/>
    <mergeCell ref="A33:F33"/>
    <mergeCell ref="A28:F28"/>
    <mergeCell ref="A1:F1"/>
    <mergeCell ref="A27:F27"/>
    <mergeCell ref="A31:F31"/>
    <mergeCell ref="A26:F26"/>
    <mergeCell ref="A30:F30"/>
    <mergeCell ref="A29:F29"/>
  </mergeCells>
  <pageMargins left="0.25" right="0.25" top="0.35" bottom="0.35" header="0.1" footer="0.1"/>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2024-11-08T01:00:45Z</dcterms:created>
  <dcterms:modified xmlns:dcterms="http://purl.org/dc/terms/" xmlns:xsi="http://www.w3.org/2001/XMLSchema-instance" xsi:type="dcterms:W3CDTF">2026-07-06T21:13:26Z</dcterms:modified>
  <cp:lastModifiedBy>RICARDO BARRON LOYA</cp:lastModifiedBy>
</cp:coreProperties>
</file>